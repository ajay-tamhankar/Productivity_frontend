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praisl-my.sharepoint.com/personal/manager_vistar_sprautotech_com/Documents/FY_26_27/May_2026/Bill May 2026/"/>
    </mc:Choice>
  </mc:AlternateContent>
  <xr:revisionPtr revIDLastSave="582" documentId="13_ncr:1_{550775A4-BF84-4C88-A9EA-53894B5221E6}" xr6:coauthVersionLast="47" xr6:coauthVersionMax="47" xr10:uidLastSave="{6C596B05-D5E0-4DE1-BF4B-8CA984366027}"/>
  <bookViews>
    <workbookView xWindow="-110" yWindow="-110" windowWidth="19420" windowHeight="10300" firstSheet="6" activeTab="6" xr2:uid="{2E651FB7-C8C6-4905-A2A7-1482D3E1E52D}"/>
  </bookViews>
  <sheets>
    <sheet name="Summary-1" sheetId="5" state="hidden" r:id="rId1"/>
    <sheet name="Nov 2025" sheetId="3" state="hidden" r:id="rId2"/>
    <sheet name="Dec 2025" sheetId="6" state="hidden" r:id="rId3"/>
    <sheet name="Jan 2026" sheetId="9" state="hidden" r:id="rId4"/>
    <sheet name="Feb 2026" sheetId="12" state="hidden" r:id="rId5"/>
    <sheet name="Mar 2026" sheetId="10" state="hidden" r:id="rId6"/>
    <sheet name="May 2026" sheetId="13" r:id="rId7"/>
    <sheet name="Down Time Summary" sheetId="11" r:id="rId8"/>
    <sheet name="Summary Jan 2026" sheetId="7" state="hidden" r:id="rId9"/>
    <sheet name="Summary_Dec 2025 (2)" sheetId="8" state="hidden" r:id="rId10"/>
  </sheets>
  <definedNames>
    <definedName name="Excel_BuiltIn__FilterDatabase_10">#REF!</definedName>
    <definedName name="_xlnm.Print_Area" localSheetId="6">'May 2026'!$Y$2:$AA$29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3" l="1"/>
  <c r="F5" i="13"/>
  <c r="F4" i="13"/>
  <c r="F3" i="13"/>
  <c r="K21" i="13"/>
  <c r="J21" i="13"/>
  <c r="I21" i="13"/>
  <c r="H21" i="13"/>
  <c r="G21" i="13"/>
  <c r="F21" i="13"/>
  <c r="E21" i="13"/>
  <c r="K20" i="13"/>
  <c r="J20" i="13"/>
  <c r="I20" i="13"/>
  <c r="H20" i="13"/>
  <c r="G20" i="13"/>
  <c r="F20" i="13"/>
  <c r="E20" i="13"/>
  <c r="D16" i="13"/>
  <c r="D17" i="13"/>
  <c r="D18" i="13"/>
  <c r="D19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K25" i="13"/>
  <c r="J31" i="13"/>
  <c r="D23" i="13" l="1"/>
  <c r="D21" i="13"/>
  <c r="D20" i="13"/>
  <c r="S13" i="13"/>
  <c r="S12" i="13"/>
  <c r="B8" i="11" l="1"/>
  <c r="B32" i="11"/>
  <c r="D1" i="13"/>
  <c r="B21" i="11"/>
  <c r="B41" i="11" l="1"/>
  <c r="B33" i="11"/>
  <c r="B24" i="11"/>
  <c r="B7" i="11"/>
  <c r="B6" i="11"/>
  <c r="B47" i="11" l="1"/>
  <c r="B39" i="11"/>
  <c r="B25" i="11"/>
  <c r="B9" i="11"/>
  <c r="B46" i="11" l="1"/>
  <c r="B23" i="11"/>
  <c r="B15" i="11"/>
  <c r="B22" i="11"/>
  <c r="B5" i="11"/>
  <c r="B4" i="11"/>
  <c r="T59" i="13"/>
  <c r="S59" i="13"/>
  <c r="R59" i="13"/>
  <c r="T58" i="13"/>
  <c r="S58" i="13"/>
  <c r="R58" i="13"/>
  <c r="T57" i="13"/>
  <c r="S57" i="13"/>
  <c r="R57" i="13"/>
  <c r="T56" i="13"/>
  <c r="S56" i="13"/>
  <c r="R56" i="13"/>
  <c r="T55" i="13"/>
  <c r="S55" i="13"/>
  <c r="R55" i="13"/>
  <c r="T54" i="13"/>
  <c r="S54" i="13"/>
  <c r="R54" i="13"/>
  <c r="Q59" i="13"/>
  <c r="Q58" i="13"/>
  <c r="Q57" i="13"/>
  <c r="Q56" i="13"/>
  <c r="Q55" i="13"/>
  <c r="Q54" i="13"/>
  <c r="P59" i="13"/>
  <c r="P58" i="13"/>
  <c r="P57" i="13"/>
  <c r="P56" i="13"/>
  <c r="P55" i="13"/>
  <c r="P54" i="13"/>
  <c r="O59" i="13"/>
  <c r="O58" i="13"/>
  <c r="O57" i="13"/>
  <c r="O56" i="13"/>
  <c r="O55" i="13"/>
  <c r="O54" i="13"/>
  <c r="N59" i="13"/>
  <c r="N58" i="13"/>
  <c r="N57" i="13"/>
  <c r="N56" i="13"/>
  <c r="N55" i="13"/>
  <c r="N54" i="13"/>
  <c r="M59" i="13"/>
  <c r="M58" i="13"/>
  <c r="M57" i="13"/>
  <c r="M56" i="13"/>
  <c r="M55" i="13"/>
  <c r="M54" i="13"/>
  <c r="L59" i="13"/>
  <c r="L58" i="13"/>
  <c r="L57" i="13"/>
  <c r="L56" i="13"/>
  <c r="L55" i="13"/>
  <c r="L54" i="13"/>
  <c r="K59" i="13"/>
  <c r="K58" i="13"/>
  <c r="K57" i="13"/>
  <c r="K56" i="13"/>
  <c r="K55" i="13"/>
  <c r="K54" i="13"/>
  <c r="J59" i="13"/>
  <c r="J58" i="13"/>
  <c r="J57" i="13"/>
  <c r="J56" i="13"/>
  <c r="J55" i="13"/>
  <c r="J54" i="13"/>
  <c r="I59" i="13"/>
  <c r="I58" i="13"/>
  <c r="I57" i="13"/>
  <c r="I56" i="13"/>
  <c r="I55" i="13"/>
  <c r="I54" i="13"/>
  <c r="H59" i="13"/>
  <c r="H58" i="13"/>
  <c r="H57" i="13"/>
  <c r="H56" i="13"/>
  <c r="H55" i="13"/>
  <c r="H54" i="13"/>
  <c r="G59" i="13"/>
  <c r="G58" i="13"/>
  <c r="G57" i="13"/>
  <c r="G56" i="13"/>
  <c r="G55" i="13"/>
  <c r="G54" i="13"/>
  <c r="F59" i="13"/>
  <c r="F58" i="13"/>
  <c r="F57" i="13"/>
  <c r="F56" i="13"/>
  <c r="F55" i="13"/>
  <c r="F54" i="13"/>
  <c r="E59" i="13"/>
  <c r="E58" i="13"/>
  <c r="E57" i="13"/>
  <c r="E56" i="13"/>
  <c r="E55" i="13"/>
  <c r="E54" i="13"/>
  <c r="B45" i="11" l="1"/>
  <c r="B44" i="11"/>
  <c r="B37" i="11"/>
  <c r="B36" i="11"/>
  <c r="B30" i="11"/>
  <c r="B29" i="11"/>
  <c r="B28" i="11"/>
  <c r="T47" i="13"/>
  <c r="T49" i="13" s="1"/>
  <c r="B3" i="11"/>
  <c r="U28" i="13"/>
  <c r="T28" i="13"/>
  <c r="AI59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AI58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AI57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I60" i="13"/>
  <c r="H60" i="13"/>
  <c r="AI50" i="13"/>
  <c r="AI52" i="13" s="1"/>
  <c r="AH50" i="13"/>
  <c r="AH52" i="13" s="1"/>
  <c r="AG50" i="13"/>
  <c r="AG52" i="13" s="1"/>
  <c r="AF50" i="13"/>
  <c r="AF52" i="13" s="1"/>
  <c r="AE50" i="13"/>
  <c r="AE52" i="13" s="1"/>
  <c r="AD50" i="13"/>
  <c r="AD52" i="13" s="1"/>
  <c r="AC50" i="13"/>
  <c r="AC52" i="13" s="1"/>
  <c r="AB50" i="13"/>
  <c r="AB52" i="13" s="1"/>
  <c r="AA50" i="13"/>
  <c r="AA52" i="13" s="1"/>
  <c r="Z50" i="13"/>
  <c r="Z52" i="13" s="1"/>
  <c r="Y50" i="13"/>
  <c r="Y52" i="13" s="1"/>
  <c r="X50" i="13"/>
  <c r="X52" i="13" s="1"/>
  <c r="W50" i="13"/>
  <c r="W52" i="13" s="1"/>
  <c r="V50" i="13"/>
  <c r="V52" i="13" s="1"/>
  <c r="U50" i="13"/>
  <c r="U52" i="13" s="1"/>
  <c r="T50" i="13"/>
  <c r="T52" i="13" s="1"/>
  <c r="S50" i="13"/>
  <c r="S52" i="13" s="1"/>
  <c r="R50" i="13"/>
  <c r="R52" i="13" s="1"/>
  <c r="Q50" i="13"/>
  <c r="Q52" i="13" s="1"/>
  <c r="P50" i="13"/>
  <c r="P52" i="13" s="1"/>
  <c r="O50" i="13"/>
  <c r="O52" i="13" s="1"/>
  <c r="N50" i="13"/>
  <c r="N52" i="13" s="1"/>
  <c r="M50" i="13"/>
  <c r="M52" i="13" s="1"/>
  <c r="L50" i="13"/>
  <c r="L52" i="13" s="1"/>
  <c r="K50" i="13"/>
  <c r="K52" i="13" s="1"/>
  <c r="J50" i="13"/>
  <c r="J52" i="13" s="1"/>
  <c r="I50" i="13"/>
  <c r="I52" i="13" s="1"/>
  <c r="H50" i="13"/>
  <c r="H52" i="13" s="1"/>
  <c r="G50" i="13"/>
  <c r="G52" i="13" s="1"/>
  <c r="F50" i="13"/>
  <c r="F52" i="13" s="1"/>
  <c r="E50" i="13"/>
  <c r="E52" i="13" s="1"/>
  <c r="AI47" i="13"/>
  <c r="AI49" i="13" s="1"/>
  <c r="AH47" i="13"/>
  <c r="AH49" i="13" s="1"/>
  <c r="AG47" i="13"/>
  <c r="AG49" i="13" s="1"/>
  <c r="AF47" i="13"/>
  <c r="AF49" i="13" s="1"/>
  <c r="AE47" i="13"/>
  <c r="AE49" i="13" s="1"/>
  <c r="AD47" i="13"/>
  <c r="AD49" i="13" s="1"/>
  <c r="AC47" i="13"/>
  <c r="AC49" i="13" s="1"/>
  <c r="AB47" i="13"/>
  <c r="AB49" i="13" s="1"/>
  <c r="AA47" i="13"/>
  <c r="AA49" i="13" s="1"/>
  <c r="Z47" i="13"/>
  <c r="Z49" i="13" s="1"/>
  <c r="Y47" i="13"/>
  <c r="Y49" i="13" s="1"/>
  <c r="X47" i="13"/>
  <c r="X49" i="13" s="1"/>
  <c r="W47" i="13"/>
  <c r="W49" i="13" s="1"/>
  <c r="V47" i="13"/>
  <c r="V49" i="13" s="1"/>
  <c r="U47" i="13"/>
  <c r="U49" i="13" s="1"/>
  <c r="S47" i="13"/>
  <c r="S49" i="13" s="1"/>
  <c r="R47" i="13"/>
  <c r="R49" i="13" s="1"/>
  <c r="Q47" i="13"/>
  <c r="Q49" i="13" s="1"/>
  <c r="P47" i="13"/>
  <c r="P49" i="13" s="1"/>
  <c r="O47" i="13"/>
  <c r="O49" i="13" s="1"/>
  <c r="N47" i="13"/>
  <c r="N49" i="13" s="1"/>
  <c r="M47" i="13"/>
  <c r="M49" i="13" s="1"/>
  <c r="L47" i="13"/>
  <c r="L49" i="13" s="1"/>
  <c r="K47" i="13"/>
  <c r="K49" i="13" s="1"/>
  <c r="J47" i="13"/>
  <c r="J49" i="13" s="1"/>
  <c r="I47" i="13"/>
  <c r="I49" i="13" s="1"/>
  <c r="H47" i="13"/>
  <c r="H49" i="13" s="1"/>
  <c r="G47" i="13"/>
  <c r="G49" i="13" s="1"/>
  <c r="F47" i="13"/>
  <c r="F49" i="13" s="1"/>
  <c r="E47" i="13"/>
  <c r="E49" i="13" s="1"/>
  <c r="AI44" i="13"/>
  <c r="AI46" i="13" s="1"/>
  <c r="AH44" i="13"/>
  <c r="AH46" i="13" s="1"/>
  <c r="AG44" i="13"/>
  <c r="AG46" i="13" s="1"/>
  <c r="AF44" i="13"/>
  <c r="AF46" i="13" s="1"/>
  <c r="AE44" i="13"/>
  <c r="AE46" i="13" s="1"/>
  <c r="AD44" i="13"/>
  <c r="AD46" i="13" s="1"/>
  <c r="AC44" i="13"/>
  <c r="AC46" i="13" s="1"/>
  <c r="AB44" i="13"/>
  <c r="AB46" i="13" s="1"/>
  <c r="AA44" i="13"/>
  <c r="AA46" i="13" s="1"/>
  <c r="Z44" i="13"/>
  <c r="Z46" i="13" s="1"/>
  <c r="Y44" i="13"/>
  <c r="Y46" i="13" s="1"/>
  <c r="X44" i="13"/>
  <c r="X46" i="13" s="1"/>
  <c r="W44" i="13"/>
  <c r="W46" i="13" s="1"/>
  <c r="V44" i="13"/>
  <c r="V46" i="13" s="1"/>
  <c r="U44" i="13"/>
  <c r="U46" i="13" s="1"/>
  <c r="T44" i="13"/>
  <c r="T46" i="13" s="1"/>
  <c r="S44" i="13"/>
  <c r="S46" i="13" s="1"/>
  <c r="R44" i="13"/>
  <c r="R46" i="13" s="1"/>
  <c r="Q44" i="13"/>
  <c r="Q46" i="13" s="1"/>
  <c r="P44" i="13"/>
  <c r="P46" i="13" s="1"/>
  <c r="O44" i="13"/>
  <c r="O46" i="13" s="1"/>
  <c r="N44" i="13"/>
  <c r="N46" i="13" s="1"/>
  <c r="M44" i="13"/>
  <c r="M46" i="13" s="1"/>
  <c r="L44" i="13"/>
  <c r="L46" i="13" s="1"/>
  <c r="K44" i="13"/>
  <c r="K46" i="13" s="1"/>
  <c r="J44" i="13"/>
  <c r="J46" i="13" s="1"/>
  <c r="I44" i="13"/>
  <c r="I46" i="13" s="1"/>
  <c r="H44" i="13"/>
  <c r="H46" i="13" s="1"/>
  <c r="G44" i="13"/>
  <c r="G46" i="13" s="1"/>
  <c r="F44" i="13"/>
  <c r="F46" i="13" s="1"/>
  <c r="E44" i="13"/>
  <c r="E46" i="13" s="1"/>
  <c r="AI41" i="13"/>
  <c r="AI43" i="13" s="1"/>
  <c r="AH41" i="13"/>
  <c r="AH43" i="13" s="1"/>
  <c r="AG41" i="13"/>
  <c r="AG43" i="13" s="1"/>
  <c r="AF41" i="13"/>
  <c r="AF43" i="13" s="1"/>
  <c r="AE41" i="13"/>
  <c r="AE43" i="13" s="1"/>
  <c r="AD41" i="13"/>
  <c r="AD43" i="13" s="1"/>
  <c r="AC41" i="13"/>
  <c r="AC43" i="13" s="1"/>
  <c r="AB41" i="13"/>
  <c r="AB43" i="13" s="1"/>
  <c r="AA41" i="13"/>
  <c r="AA43" i="13" s="1"/>
  <c r="Z41" i="13"/>
  <c r="Z43" i="13" s="1"/>
  <c r="Y41" i="13"/>
  <c r="Y43" i="13" s="1"/>
  <c r="X41" i="13"/>
  <c r="X43" i="13" s="1"/>
  <c r="W41" i="13"/>
  <c r="W43" i="13" s="1"/>
  <c r="V41" i="13"/>
  <c r="V43" i="13" s="1"/>
  <c r="U41" i="13"/>
  <c r="U43" i="13" s="1"/>
  <c r="T41" i="13"/>
  <c r="T43" i="13" s="1"/>
  <c r="S41" i="13"/>
  <c r="S43" i="13" s="1"/>
  <c r="R41" i="13"/>
  <c r="R43" i="13" s="1"/>
  <c r="Q41" i="13"/>
  <c r="Q43" i="13" s="1"/>
  <c r="P41" i="13"/>
  <c r="P43" i="13" s="1"/>
  <c r="O41" i="13"/>
  <c r="O43" i="13" s="1"/>
  <c r="N41" i="13"/>
  <c r="N43" i="13" s="1"/>
  <c r="M41" i="13"/>
  <c r="M43" i="13" s="1"/>
  <c r="L41" i="13"/>
  <c r="L43" i="13" s="1"/>
  <c r="K41" i="13"/>
  <c r="K43" i="13" s="1"/>
  <c r="J41" i="13"/>
  <c r="J43" i="13" s="1"/>
  <c r="I41" i="13"/>
  <c r="I43" i="13" s="1"/>
  <c r="H41" i="13"/>
  <c r="H43" i="13" s="1"/>
  <c r="G41" i="13"/>
  <c r="G43" i="13" s="1"/>
  <c r="F41" i="13"/>
  <c r="F43" i="13" s="1"/>
  <c r="E41" i="13"/>
  <c r="E43" i="13" s="1"/>
  <c r="AI38" i="13"/>
  <c r="AI40" i="13" s="1"/>
  <c r="AH38" i="13"/>
  <c r="AH40" i="13" s="1"/>
  <c r="AG38" i="13"/>
  <c r="AG40" i="13" s="1"/>
  <c r="AF38" i="13"/>
  <c r="AF40" i="13" s="1"/>
  <c r="AE38" i="13"/>
  <c r="AE40" i="13" s="1"/>
  <c r="AD38" i="13"/>
  <c r="AD40" i="13" s="1"/>
  <c r="AC38" i="13"/>
  <c r="AC40" i="13" s="1"/>
  <c r="AB38" i="13"/>
  <c r="AB40" i="13" s="1"/>
  <c r="AA38" i="13"/>
  <c r="AA40" i="13" s="1"/>
  <c r="Z38" i="13"/>
  <c r="Z40" i="13" s="1"/>
  <c r="Y38" i="13"/>
  <c r="Y40" i="13" s="1"/>
  <c r="X38" i="13"/>
  <c r="X40" i="13" s="1"/>
  <c r="W38" i="13"/>
  <c r="W40" i="13" s="1"/>
  <c r="V38" i="13"/>
  <c r="V40" i="13" s="1"/>
  <c r="U38" i="13"/>
  <c r="U40" i="13" s="1"/>
  <c r="T38" i="13"/>
  <c r="T40" i="13" s="1"/>
  <c r="S38" i="13"/>
  <c r="S40" i="13" s="1"/>
  <c r="R38" i="13"/>
  <c r="R40" i="13" s="1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F38" i="13"/>
  <c r="F40" i="13" s="1"/>
  <c r="E38" i="13"/>
  <c r="E40" i="13" s="1"/>
  <c r="AI35" i="13"/>
  <c r="AI37" i="13" s="1"/>
  <c r="AH35" i="13"/>
  <c r="AH37" i="13" s="1"/>
  <c r="AG35" i="13"/>
  <c r="AG37" i="13" s="1"/>
  <c r="AF35" i="13"/>
  <c r="AF37" i="13" s="1"/>
  <c r="AE35" i="13"/>
  <c r="AE37" i="13" s="1"/>
  <c r="AD35" i="13"/>
  <c r="AD37" i="13" s="1"/>
  <c r="AC35" i="13"/>
  <c r="AC37" i="13" s="1"/>
  <c r="AB35" i="13"/>
  <c r="AB37" i="13" s="1"/>
  <c r="AA35" i="13"/>
  <c r="AA37" i="13" s="1"/>
  <c r="Z35" i="13"/>
  <c r="Z37" i="13" s="1"/>
  <c r="Y35" i="13"/>
  <c r="Y37" i="13" s="1"/>
  <c r="X35" i="13"/>
  <c r="X37" i="13" s="1"/>
  <c r="W35" i="13"/>
  <c r="W37" i="13" s="1"/>
  <c r="V35" i="13"/>
  <c r="V37" i="13" s="1"/>
  <c r="U35" i="13"/>
  <c r="U37" i="13" s="1"/>
  <c r="T35" i="13"/>
  <c r="T37" i="13" s="1"/>
  <c r="S35" i="13"/>
  <c r="S37" i="13" s="1"/>
  <c r="R35" i="13"/>
  <c r="R37" i="13" s="1"/>
  <c r="Q35" i="13"/>
  <c r="Q37" i="13" s="1"/>
  <c r="P35" i="13"/>
  <c r="P37" i="13" s="1"/>
  <c r="O35" i="13"/>
  <c r="O37" i="13" s="1"/>
  <c r="N35" i="13"/>
  <c r="N37" i="13" s="1"/>
  <c r="M35" i="13"/>
  <c r="M37" i="13" s="1"/>
  <c r="K35" i="13"/>
  <c r="K37" i="13" s="1"/>
  <c r="J35" i="13"/>
  <c r="J37" i="13" s="1"/>
  <c r="I35" i="13"/>
  <c r="I37" i="13" s="1"/>
  <c r="H35" i="13"/>
  <c r="H37" i="13" s="1"/>
  <c r="G35" i="13"/>
  <c r="F35" i="13"/>
  <c r="F37" i="13" s="1"/>
  <c r="E35" i="13"/>
  <c r="E37" i="13" s="1"/>
  <c r="F34" i="13"/>
  <c r="G34" i="13" s="1"/>
  <c r="H34" i="13" s="1"/>
  <c r="I34" i="13" s="1"/>
  <c r="J34" i="13" s="1"/>
  <c r="K34" i="13" s="1"/>
  <c r="L34" i="13" s="1"/>
  <c r="M34" i="13" s="1"/>
  <c r="N34" i="13" s="1"/>
  <c r="O34" i="13" s="1"/>
  <c r="P34" i="13" s="1"/>
  <c r="Q34" i="13" s="1"/>
  <c r="R34" i="13" s="1"/>
  <c r="S34" i="13" s="1"/>
  <c r="T34" i="13" s="1"/>
  <c r="U34" i="13" s="1"/>
  <c r="V34" i="13" s="1"/>
  <c r="W34" i="13" s="1"/>
  <c r="X34" i="13" s="1"/>
  <c r="Y34" i="13" s="1"/>
  <c r="Z34" i="13" s="1"/>
  <c r="AA34" i="13" s="1"/>
  <c r="AB34" i="13" s="1"/>
  <c r="AC34" i="13" s="1"/>
  <c r="AD34" i="13" s="1"/>
  <c r="AE34" i="13" s="1"/>
  <c r="AF34" i="13" s="1"/>
  <c r="AG34" i="13" s="1"/>
  <c r="AH34" i="13" s="1"/>
  <c r="AI34" i="13" s="1"/>
  <c r="D31" i="13"/>
  <c r="D30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N29" i="13"/>
  <c r="M29" i="13"/>
  <c r="L29" i="13"/>
  <c r="K29" i="13"/>
  <c r="J29" i="13"/>
  <c r="I29" i="13"/>
  <c r="H29" i="13"/>
  <c r="G29" i="13"/>
  <c r="F29" i="13"/>
  <c r="E29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S28" i="13"/>
  <c r="R28" i="13"/>
  <c r="P28" i="13"/>
  <c r="O28" i="13"/>
  <c r="L28" i="13"/>
  <c r="K28" i="13"/>
  <c r="J28" i="13"/>
  <c r="I28" i="13"/>
  <c r="H28" i="13"/>
  <c r="E28" i="13"/>
  <c r="D27" i="13"/>
  <c r="M28" i="13"/>
  <c r="N28" i="13"/>
  <c r="G28" i="13"/>
  <c r="D15" i="13"/>
  <c r="L35" i="13"/>
  <c r="L37" i="13" s="1"/>
  <c r="D14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Q12" i="13"/>
  <c r="P12" i="13"/>
  <c r="O12" i="13"/>
  <c r="L12" i="13"/>
  <c r="K12" i="13"/>
  <c r="J12" i="13"/>
  <c r="I12" i="13"/>
  <c r="H12" i="13"/>
  <c r="F12" i="13"/>
  <c r="D11" i="13"/>
  <c r="D9" i="13"/>
  <c r="N12" i="13"/>
  <c r="M12" i="13"/>
  <c r="G12" i="13"/>
  <c r="F7" i="13"/>
  <c r="F6" i="13" s="1"/>
  <c r="E6" i="13"/>
  <c r="A3" i="13"/>
  <c r="F2" i="13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I2" i="13" s="1"/>
  <c r="B20" i="11"/>
  <c r="B19" i="11"/>
  <c r="B14" i="11"/>
  <c r="B13" i="11"/>
  <c r="B12" i="11"/>
  <c r="G4" i="13" l="1"/>
  <c r="AF60" i="13"/>
  <c r="U60" i="13"/>
  <c r="AG60" i="13"/>
  <c r="Y5" i="13"/>
  <c r="I4" i="13"/>
  <c r="T60" i="13"/>
  <c r="T4" i="13"/>
  <c r="H4" i="13"/>
  <c r="AB4" i="13"/>
  <c r="I5" i="13"/>
  <c r="U5" i="13"/>
  <c r="AG5" i="13"/>
  <c r="S4" i="13"/>
  <c r="AE4" i="13"/>
  <c r="P4" i="13"/>
  <c r="AC4" i="13"/>
  <c r="V5" i="13"/>
  <c r="AH5" i="13"/>
  <c r="AF4" i="13"/>
  <c r="K5" i="13"/>
  <c r="W5" i="13"/>
  <c r="U4" i="13"/>
  <c r="AG4" i="13"/>
  <c r="L5" i="13"/>
  <c r="M5" i="13"/>
  <c r="D26" i="13"/>
  <c r="AG53" i="13"/>
  <c r="AG61" i="13" s="1"/>
  <c r="G60" i="13"/>
  <c r="K4" i="13"/>
  <c r="L4" i="13"/>
  <c r="R60" i="13"/>
  <c r="AD60" i="13"/>
  <c r="E60" i="13"/>
  <c r="Q60" i="13"/>
  <c r="X5" i="13"/>
  <c r="F28" i="13"/>
  <c r="F60" i="13"/>
  <c r="S60" i="13"/>
  <c r="N53" i="13"/>
  <c r="J5" i="13"/>
  <c r="O29" i="13"/>
  <c r="D29" i="13" s="1"/>
  <c r="D25" i="13"/>
  <c r="AE60" i="13"/>
  <c r="U53" i="13"/>
  <c r="D8" i="13"/>
  <c r="E12" i="13"/>
  <c r="E4" i="13" s="1"/>
  <c r="H53" i="13"/>
  <c r="H61" i="13" s="1"/>
  <c r="H1" i="13" s="1"/>
  <c r="K53" i="13"/>
  <c r="J60" i="13"/>
  <c r="V60" i="13"/>
  <c r="AH60" i="13"/>
  <c r="Z4" i="13"/>
  <c r="G5" i="13"/>
  <c r="G3" i="13" s="1"/>
  <c r="K60" i="13"/>
  <c r="W60" i="13"/>
  <c r="AI60" i="13"/>
  <c r="AC60" i="13"/>
  <c r="AA4" i="13"/>
  <c r="H5" i="13"/>
  <c r="T5" i="13"/>
  <c r="AF5" i="13"/>
  <c r="AI5" i="13"/>
  <c r="AD4" i="13"/>
  <c r="AA5" i="13"/>
  <c r="N60" i="13"/>
  <c r="Z60" i="13"/>
  <c r="V4" i="13"/>
  <c r="AH4" i="13"/>
  <c r="P5" i="13"/>
  <c r="AB5" i="13"/>
  <c r="J53" i="13"/>
  <c r="AH53" i="13"/>
  <c r="O60" i="13"/>
  <c r="AA60" i="13"/>
  <c r="G7" i="13"/>
  <c r="G6" i="13" s="1"/>
  <c r="W4" i="13"/>
  <c r="AI4" i="13"/>
  <c r="Q28" i="13"/>
  <c r="Q4" i="13" s="1"/>
  <c r="G37" i="13"/>
  <c r="S53" i="13"/>
  <c r="AI53" i="13"/>
  <c r="AI61" i="13" s="1"/>
  <c r="P60" i="13"/>
  <c r="AB60" i="13"/>
  <c r="X4" i="13"/>
  <c r="T53" i="13"/>
  <c r="S5" i="13"/>
  <c r="O4" i="13"/>
  <c r="Y53" i="13"/>
  <c r="N4" i="13"/>
  <c r="X53" i="13"/>
  <c r="M53" i="13"/>
  <c r="V53" i="13"/>
  <c r="V61" i="13" s="1"/>
  <c r="Z53" i="13"/>
  <c r="AE5" i="13"/>
  <c r="D10" i="13"/>
  <c r="R12" i="13"/>
  <c r="R4" i="13" s="1"/>
  <c r="L53" i="13"/>
  <c r="I53" i="13"/>
  <c r="I61" i="13" s="1"/>
  <c r="O53" i="13"/>
  <c r="AA53" i="13"/>
  <c r="W53" i="13"/>
  <c r="Q53" i="13"/>
  <c r="AE53" i="13"/>
  <c r="AE61" i="13" s="1"/>
  <c r="F53" i="13"/>
  <c r="N5" i="13"/>
  <c r="Z5" i="13"/>
  <c r="P53" i="13"/>
  <c r="E53" i="13"/>
  <c r="AF53" i="13"/>
  <c r="AB53" i="13"/>
  <c r="AC53" i="13"/>
  <c r="R53" i="13"/>
  <c r="AD53" i="13"/>
  <c r="J4" i="13"/>
  <c r="G40" i="13"/>
  <c r="D13" i="13"/>
  <c r="E5" i="13"/>
  <c r="Q5" i="13"/>
  <c r="AC5" i="13"/>
  <c r="D24" i="13"/>
  <c r="L60" i="13"/>
  <c r="X60" i="13"/>
  <c r="M4" i="13"/>
  <c r="Y4" i="13"/>
  <c r="R5" i="13"/>
  <c r="AD5" i="13"/>
  <c r="M60" i="13"/>
  <c r="Y60" i="13"/>
  <c r="W61" i="13" l="1"/>
  <c r="U61" i="13"/>
  <c r="U1" i="13" s="1"/>
  <c r="X61" i="13"/>
  <c r="X1" i="13" s="1"/>
  <c r="F61" i="13"/>
  <c r="F1" i="13" s="1"/>
  <c r="AF61" i="13"/>
  <c r="AF1" i="13" s="1"/>
  <c r="AD61" i="13"/>
  <c r="AD1" i="13" s="1"/>
  <c r="AC61" i="13"/>
  <c r="AC1" i="13" s="1"/>
  <c r="AH61" i="13"/>
  <c r="AH1" i="13" s="1"/>
  <c r="E61" i="13"/>
  <c r="E1" i="13" s="1"/>
  <c r="S61" i="13"/>
  <c r="S1" i="13" s="1"/>
  <c r="Y61" i="13"/>
  <c r="Y1" i="13" s="1"/>
  <c r="Z61" i="13"/>
  <c r="Z1" i="13" s="1"/>
  <c r="AB61" i="13"/>
  <c r="AB1" i="13" s="1"/>
  <c r="AA61" i="13"/>
  <c r="AA1" i="13" s="1"/>
  <c r="T61" i="13"/>
  <c r="T1" i="13" s="1"/>
  <c r="R61" i="13"/>
  <c r="R1" i="13" s="1"/>
  <c r="Q61" i="13"/>
  <c r="Q1" i="13" s="1"/>
  <c r="P61" i="13"/>
  <c r="P1" i="13" s="1"/>
  <c r="O61" i="13"/>
  <c r="O1" i="13" s="1"/>
  <c r="N61" i="13"/>
  <c r="N1" i="13" s="1"/>
  <c r="M61" i="13"/>
  <c r="M1" i="13" s="1"/>
  <c r="L61" i="13"/>
  <c r="L1" i="13" s="1"/>
  <c r="K61" i="13"/>
  <c r="K1" i="13" s="1"/>
  <c r="J61" i="13"/>
  <c r="J1" i="13" s="1"/>
  <c r="AG3" i="13"/>
  <c r="G53" i="13"/>
  <c r="I3" i="13"/>
  <c r="Y3" i="13"/>
  <c r="AF3" i="13"/>
  <c r="AG1" i="13"/>
  <c r="AH3" i="13"/>
  <c r="AI3" i="13"/>
  <c r="K3" i="13"/>
  <c r="J3" i="13"/>
  <c r="I1" i="13"/>
  <c r="AC3" i="13"/>
  <c r="AI1" i="13"/>
  <c r="X3" i="13"/>
  <c r="W3" i="13"/>
  <c r="V1" i="13"/>
  <c r="P3" i="13"/>
  <c r="V3" i="13"/>
  <c r="U3" i="13"/>
  <c r="H7" i="13"/>
  <c r="H6" i="13" s="1"/>
  <c r="S3" i="13"/>
  <c r="AB3" i="13"/>
  <c r="T3" i="13"/>
  <c r="M3" i="13"/>
  <c r="H3" i="13"/>
  <c r="AE3" i="13"/>
  <c r="L3" i="13"/>
  <c r="W1" i="13"/>
  <c r="R3" i="13"/>
  <c r="O5" i="13"/>
  <c r="O3" i="13" s="1"/>
  <c r="Z3" i="13"/>
  <c r="N3" i="13"/>
  <c r="AA3" i="13"/>
  <c r="Q3" i="13"/>
  <c r="D28" i="13"/>
  <c r="AD3" i="13"/>
  <c r="E3" i="13"/>
  <c r="D5" i="13"/>
  <c r="D12" i="13"/>
  <c r="AE1" i="13"/>
  <c r="G61" i="13" l="1"/>
  <c r="G1" i="13" s="1"/>
  <c r="I7" i="13"/>
  <c r="I6" i="13" s="1"/>
  <c r="B3" i="13"/>
  <c r="D4" i="13"/>
  <c r="B5" i="13" s="1"/>
  <c r="J7" i="13" l="1"/>
  <c r="J6" i="13" s="1"/>
  <c r="D3" i="13"/>
  <c r="B4" i="13" s="1"/>
  <c r="K7" i="13" l="1"/>
  <c r="K6" i="13" s="1"/>
  <c r="L7" i="13" l="1"/>
  <c r="M7" i="13" s="1"/>
  <c r="L6" i="13" l="1"/>
  <c r="N7" i="13"/>
  <c r="M6" i="13"/>
  <c r="O7" i="13" l="1"/>
  <c r="N6" i="13"/>
  <c r="P7" i="13" l="1"/>
  <c r="O6" i="13"/>
  <c r="Q7" i="13" l="1"/>
  <c r="P6" i="13"/>
  <c r="R7" i="13" l="1"/>
  <c r="Q6" i="13"/>
  <c r="R6" i="13" l="1"/>
  <c r="S7" i="13"/>
  <c r="S6" i="13" l="1"/>
  <c r="T7" i="13"/>
  <c r="T6" i="13" l="1"/>
  <c r="U7" i="13"/>
  <c r="U6" i="13" l="1"/>
  <c r="V7" i="13"/>
  <c r="V6" i="13" l="1"/>
  <c r="W7" i="13"/>
  <c r="W6" i="13" l="1"/>
  <c r="X7" i="13"/>
  <c r="Y7" i="13" l="1"/>
  <c r="X6" i="13"/>
  <c r="Z7" i="13" l="1"/>
  <c r="Y6" i="13"/>
  <c r="AA7" i="13" l="1"/>
  <c r="Z6" i="13"/>
  <c r="AB7" i="13" l="1"/>
  <c r="AA6" i="13"/>
  <c r="AC7" i="13" l="1"/>
  <c r="AB6" i="13"/>
  <c r="AD7" i="13" l="1"/>
  <c r="AC6" i="13"/>
  <c r="AD6" i="13" l="1"/>
  <c r="AE7" i="13"/>
  <c r="AE6" i="13" l="1"/>
  <c r="AF7" i="13"/>
  <c r="AF6" i="13" l="1"/>
  <c r="AG7" i="13"/>
  <c r="AG6" i="13" l="1"/>
  <c r="AH7" i="13"/>
  <c r="AH6" i="13" l="1"/>
  <c r="AI7" i="13"/>
  <c r="AI6" i="13" s="1"/>
  <c r="B2" i="11" l="1"/>
  <c r="E72" i="12"/>
  <c r="E41" i="12"/>
  <c r="E43" i="12" s="1"/>
  <c r="AH71" i="12"/>
  <c r="W71" i="12"/>
  <c r="V71" i="12"/>
  <c r="U71" i="12"/>
  <c r="T71" i="12"/>
  <c r="S71" i="12"/>
  <c r="R71" i="12"/>
  <c r="AI70" i="12"/>
  <c r="AH70" i="12"/>
  <c r="AG70" i="12"/>
  <c r="AG71" i="12" s="1"/>
  <c r="AF70" i="12"/>
  <c r="AE70" i="12"/>
  <c r="AD70" i="12"/>
  <c r="AC70" i="12"/>
  <c r="AB70" i="12"/>
  <c r="Y70" i="12"/>
  <c r="X70" i="12"/>
  <c r="W70" i="12"/>
  <c r="V70" i="12"/>
  <c r="U70" i="12"/>
  <c r="T70" i="12"/>
  <c r="Q70" i="12"/>
  <c r="O70" i="12"/>
  <c r="N70" i="12"/>
  <c r="M70" i="12"/>
  <c r="L70" i="12"/>
  <c r="K70" i="12"/>
  <c r="J70" i="12"/>
  <c r="I70" i="12"/>
  <c r="I71" i="12" s="1"/>
  <c r="H70" i="12"/>
  <c r="H71" i="12" s="1"/>
  <c r="G70" i="12"/>
  <c r="F70" i="12"/>
  <c r="E70" i="12"/>
  <c r="AI69" i="12"/>
  <c r="AH69" i="12"/>
  <c r="AG69" i="12"/>
  <c r="AF69" i="12"/>
  <c r="AE69" i="12"/>
  <c r="AD69" i="12"/>
  <c r="AC69" i="12"/>
  <c r="AB69" i="12"/>
  <c r="Y69" i="12"/>
  <c r="X69" i="12"/>
  <c r="W69" i="12"/>
  <c r="V69" i="12"/>
  <c r="U69" i="12"/>
  <c r="T69" i="12"/>
  <c r="P69" i="12"/>
  <c r="O69" i="12"/>
  <c r="N69" i="12"/>
  <c r="M69" i="12"/>
  <c r="L69" i="12"/>
  <c r="K69" i="12"/>
  <c r="J69" i="12"/>
  <c r="I69" i="12"/>
  <c r="H69" i="12"/>
  <c r="G69" i="12"/>
  <c r="F69" i="12"/>
  <c r="AI68" i="12"/>
  <c r="AH68" i="12"/>
  <c r="AG68" i="12"/>
  <c r="AF68" i="12"/>
  <c r="AE68" i="12"/>
  <c r="AD68" i="12"/>
  <c r="AC68" i="12"/>
  <c r="AB68" i="12"/>
  <c r="Y68" i="12"/>
  <c r="X68" i="12"/>
  <c r="W68" i="12"/>
  <c r="T68" i="12"/>
  <c r="R68" i="12"/>
  <c r="Q68" i="12"/>
  <c r="P68" i="12"/>
  <c r="N68" i="12"/>
  <c r="M68" i="12"/>
  <c r="L68" i="12"/>
  <c r="K68" i="12"/>
  <c r="J68" i="12"/>
  <c r="J71" i="12" s="1"/>
  <c r="I68" i="12"/>
  <c r="H68" i="12"/>
  <c r="G68" i="12"/>
  <c r="F68" i="12"/>
  <c r="F71" i="12" s="1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X71" i="12" s="1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E71" i="12" s="1"/>
  <c r="AI66" i="12"/>
  <c r="AI71" i="12" s="1"/>
  <c r="AH66" i="12"/>
  <c r="AG66" i="12"/>
  <c r="AF66" i="12"/>
  <c r="AE66" i="12"/>
  <c r="AD66" i="12"/>
  <c r="AC66" i="12"/>
  <c r="AB66" i="12"/>
  <c r="AA66" i="12"/>
  <c r="AA71" i="12" s="1"/>
  <c r="Z66" i="12"/>
  <c r="Z71" i="12" s="1"/>
  <c r="Y66" i="12"/>
  <c r="X66" i="12"/>
  <c r="W66" i="12"/>
  <c r="V66" i="12"/>
  <c r="U66" i="12"/>
  <c r="T66" i="12"/>
  <c r="S66" i="12"/>
  <c r="R66" i="12"/>
  <c r="Q66" i="12"/>
  <c r="P66" i="12"/>
  <c r="O66" i="12"/>
  <c r="O71" i="12" s="1"/>
  <c r="N66" i="12"/>
  <c r="N71" i="12" s="1"/>
  <c r="M66" i="12"/>
  <c r="L66" i="12"/>
  <c r="K66" i="12"/>
  <c r="K71" i="12" s="1"/>
  <c r="J66" i="12"/>
  <c r="I66" i="12"/>
  <c r="H66" i="12"/>
  <c r="G66" i="12"/>
  <c r="G71" i="12" s="1"/>
  <c r="F66" i="12"/>
  <c r="AI65" i="12"/>
  <c r="AH65" i="12"/>
  <c r="AG65" i="12"/>
  <c r="AF65" i="12"/>
  <c r="AF71" i="12" s="1"/>
  <c r="AE65" i="12"/>
  <c r="AD65" i="12"/>
  <c r="AD71" i="12" s="1"/>
  <c r="AC65" i="12"/>
  <c r="AC71" i="12" s="1"/>
  <c r="AB65" i="12"/>
  <c r="AB71" i="12" s="1"/>
  <c r="AA65" i="12"/>
  <c r="Z65" i="12"/>
  <c r="Y65" i="12"/>
  <c r="Y71" i="12" s="1"/>
  <c r="X65" i="12"/>
  <c r="W65" i="12"/>
  <c r="V65" i="12"/>
  <c r="U65" i="12"/>
  <c r="T65" i="12"/>
  <c r="S65" i="12"/>
  <c r="R65" i="12"/>
  <c r="Q65" i="12"/>
  <c r="P65" i="12"/>
  <c r="P71" i="12" s="1"/>
  <c r="O65" i="12"/>
  <c r="N65" i="12"/>
  <c r="M65" i="12"/>
  <c r="M71" i="12" s="1"/>
  <c r="L65" i="12"/>
  <c r="L71" i="12" s="1"/>
  <c r="K65" i="12"/>
  <c r="J65" i="12"/>
  <c r="I65" i="12"/>
  <c r="H65" i="12"/>
  <c r="G65" i="12"/>
  <c r="F65" i="12"/>
  <c r="AA62" i="12"/>
  <c r="Z62" i="12"/>
  <c r="Q62" i="12"/>
  <c r="P62" i="12"/>
  <c r="P64" i="12" s="1"/>
  <c r="P72" i="12" s="1"/>
  <c r="O62" i="12"/>
  <c r="N62" i="12"/>
  <c r="M62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AI59" i="12"/>
  <c r="AI61" i="12" s="1"/>
  <c r="AH59" i="12"/>
  <c r="AH61" i="12" s="1"/>
  <c r="AG59" i="12"/>
  <c r="AG61" i="12" s="1"/>
  <c r="AF59" i="12"/>
  <c r="AF61" i="12" s="1"/>
  <c r="AE59" i="12"/>
  <c r="AE61" i="12" s="1"/>
  <c r="AD59" i="12"/>
  <c r="AD61" i="12" s="1"/>
  <c r="AC59" i="12"/>
  <c r="AC61" i="12" s="1"/>
  <c r="AB59" i="12"/>
  <c r="E59" i="12"/>
  <c r="E61" i="12" s="1"/>
  <c r="AF58" i="12"/>
  <c r="AE58" i="12"/>
  <c r="AD58" i="12"/>
  <c r="AC58" i="12"/>
  <c r="AB58" i="12"/>
  <c r="AA58" i="12"/>
  <c r="Z58" i="12"/>
  <c r="Y58" i="12"/>
  <c r="X58" i="12"/>
  <c r="R58" i="12"/>
  <c r="Q58" i="12"/>
  <c r="P58" i="12"/>
  <c r="M58" i="12"/>
  <c r="L58" i="12"/>
  <c r="H58" i="12"/>
  <c r="G58" i="12"/>
  <c r="F58" i="12"/>
  <c r="E58" i="12"/>
  <c r="AI56" i="12"/>
  <c r="AI58" i="12" s="1"/>
  <c r="AH56" i="12"/>
  <c r="AH58" i="12" s="1"/>
  <c r="AG56" i="12"/>
  <c r="AG58" i="12" s="1"/>
  <c r="AF56" i="12"/>
  <c r="AE56" i="12"/>
  <c r="AD56" i="12"/>
  <c r="AC56" i="12"/>
  <c r="AB56" i="12"/>
  <c r="AA56" i="12"/>
  <c r="Z56" i="12"/>
  <c r="Y56" i="12"/>
  <c r="X56" i="12"/>
  <c r="W56" i="12"/>
  <c r="W58" i="12" s="1"/>
  <c r="V56" i="12"/>
  <c r="V58" i="12" s="1"/>
  <c r="U56" i="12"/>
  <c r="U58" i="12" s="1"/>
  <c r="T56" i="12"/>
  <c r="T58" i="12" s="1"/>
  <c r="S56" i="12"/>
  <c r="S58" i="12" s="1"/>
  <c r="R56" i="12"/>
  <c r="Q56" i="12"/>
  <c r="P56" i="12"/>
  <c r="O56" i="12"/>
  <c r="O58" i="12" s="1"/>
  <c r="N56" i="12"/>
  <c r="N58" i="12" s="1"/>
  <c r="M56" i="12"/>
  <c r="L56" i="12"/>
  <c r="K56" i="12"/>
  <c r="K58" i="12" s="1"/>
  <c r="J56" i="12"/>
  <c r="J58" i="12" s="1"/>
  <c r="I56" i="12"/>
  <c r="I58" i="12" s="1"/>
  <c r="H56" i="12"/>
  <c r="G56" i="12"/>
  <c r="F56" i="12"/>
  <c r="E56" i="12"/>
  <c r="AH55" i="12"/>
  <c r="AG55" i="12"/>
  <c r="AF55" i="12"/>
  <c r="AE55" i="12"/>
  <c r="AD55" i="12"/>
  <c r="AB55" i="12"/>
  <c r="AA55" i="12"/>
  <c r="T55" i="12"/>
  <c r="S55" i="12"/>
  <c r="R55" i="12"/>
  <c r="J55" i="12"/>
  <c r="I55" i="12"/>
  <c r="H55" i="12"/>
  <c r="G55" i="12"/>
  <c r="F55" i="12"/>
  <c r="AI53" i="12"/>
  <c r="AI55" i="12" s="1"/>
  <c r="AH53" i="12"/>
  <c r="AG53" i="12"/>
  <c r="AF53" i="12"/>
  <c r="AE53" i="12"/>
  <c r="AD53" i="12"/>
  <c r="AC53" i="12"/>
  <c r="AC55" i="12" s="1"/>
  <c r="AB53" i="12"/>
  <c r="AA53" i="12"/>
  <c r="Z53" i="12"/>
  <c r="Z55" i="12" s="1"/>
  <c r="Y53" i="12"/>
  <c r="Y55" i="12" s="1"/>
  <c r="X53" i="12"/>
  <c r="X55" i="12" s="1"/>
  <c r="W53" i="12"/>
  <c r="W55" i="12" s="1"/>
  <c r="V53" i="12"/>
  <c r="V55" i="12" s="1"/>
  <c r="U53" i="12"/>
  <c r="U55" i="12" s="1"/>
  <c r="T53" i="12"/>
  <c r="S53" i="12"/>
  <c r="R53" i="12"/>
  <c r="Q53" i="12"/>
  <c r="Q55" i="12" s="1"/>
  <c r="P53" i="12"/>
  <c r="P55" i="12" s="1"/>
  <c r="O53" i="12"/>
  <c r="O55" i="12" s="1"/>
  <c r="N53" i="12"/>
  <c r="N55" i="12" s="1"/>
  <c r="M53" i="12"/>
  <c r="M55" i="12" s="1"/>
  <c r="L53" i="12"/>
  <c r="L55" i="12" s="1"/>
  <c r="K53" i="12"/>
  <c r="K55" i="12" s="1"/>
  <c r="J53" i="12"/>
  <c r="I53" i="12"/>
  <c r="H53" i="12"/>
  <c r="G53" i="12"/>
  <c r="F53" i="12"/>
  <c r="E53" i="12"/>
  <c r="E55" i="12" s="1"/>
  <c r="AI52" i="12"/>
  <c r="AH52" i="12"/>
  <c r="AG52" i="12"/>
  <c r="AG62" i="12" s="1"/>
  <c r="AG64" i="12" s="1"/>
  <c r="AG72" i="12" s="1"/>
  <c r="AF52" i="12"/>
  <c r="AF62" i="12" s="1"/>
  <c r="AF64" i="12" s="1"/>
  <c r="AF72" i="12" s="1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AE51" i="12"/>
  <c r="AC51" i="12"/>
  <c r="AB51" i="12"/>
  <c r="AA51" i="12"/>
  <c r="S51" i="12"/>
  <c r="R51" i="12"/>
  <c r="Q51" i="12"/>
  <c r="P51" i="12"/>
  <c r="O51" i="12"/>
  <c r="G51" i="12"/>
  <c r="F51" i="12"/>
  <c r="E51" i="12"/>
  <c r="AI49" i="12"/>
  <c r="AI51" i="12" s="1"/>
  <c r="AH49" i="12"/>
  <c r="AH51" i="12" s="1"/>
  <c r="AG49" i="12"/>
  <c r="AG51" i="12" s="1"/>
  <c r="AF49" i="12"/>
  <c r="AF51" i="12" s="1"/>
  <c r="AE49" i="12"/>
  <c r="AD49" i="12"/>
  <c r="AD51" i="12" s="1"/>
  <c r="AC49" i="12"/>
  <c r="AB49" i="12"/>
  <c r="AA49" i="12"/>
  <c r="Z49" i="12"/>
  <c r="Z51" i="12" s="1"/>
  <c r="Y49" i="12"/>
  <c r="Y51" i="12" s="1"/>
  <c r="X49" i="12"/>
  <c r="X51" i="12" s="1"/>
  <c r="W49" i="12"/>
  <c r="W51" i="12" s="1"/>
  <c r="V49" i="12"/>
  <c r="V51" i="12" s="1"/>
  <c r="U49" i="12"/>
  <c r="U51" i="12" s="1"/>
  <c r="T49" i="12"/>
  <c r="T51" i="12" s="1"/>
  <c r="S49" i="12"/>
  <c r="R49" i="12"/>
  <c r="Q49" i="12"/>
  <c r="P49" i="12"/>
  <c r="O49" i="12"/>
  <c r="N49" i="12"/>
  <c r="N51" i="12" s="1"/>
  <c r="M49" i="12"/>
  <c r="M51" i="12" s="1"/>
  <c r="L49" i="12"/>
  <c r="L51" i="12" s="1"/>
  <c r="K49" i="12"/>
  <c r="K51" i="12" s="1"/>
  <c r="J49" i="12"/>
  <c r="J51" i="12" s="1"/>
  <c r="I49" i="12"/>
  <c r="I51" i="12" s="1"/>
  <c r="H49" i="12"/>
  <c r="H51" i="12" s="1"/>
  <c r="G49" i="12"/>
  <c r="F49" i="12"/>
  <c r="E49" i="12"/>
  <c r="AI48" i="12"/>
  <c r="AH48" i="12"/>
  <c r="AG48" i="12"/>
  <c r="AF48" i="12"/>
  <c r="AE48" i="12"/>
  <c r="AE62" i="12" s="1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S62" i="12" s="1"/>
  <c r="S64" i="12" s="1"/>
  <c r="S72" i="12" s="1"/>
  <c r="R48" i="12"/>
  <c r="R62" i="12" s="1"/>
  <c r="R64" i="12" s="1"/>
  <c r="R72" i="12" s="1"/>
  <c r="Q48" i="12"/>
  <c r="P48" i="12"/>
  <c r="O48" i="12"/>
  <c r="N48" i="12"/>
  <c r="M48" i="12"/>
  <c r="L48" i="12"/>
  <c r="K48" i="12"/>
  <c r="J48" i="12"/>
  <c r="I48" i="12"/>
  <c r="I62" i="12" s="1"/>
  <c r="H48" i="12"/>
  <c r="G48" i="12"/>
  <c r="G62" i="12" s="1"/>
  <c r="F48" i="12"/>
  <c r="E48" i="12"/>
  <c r="AB47" i="12"/>
  <c r="AA47" i="12"/>
  <c r="Z47" i="12"/>
  <c r="Y47" i="12"/>
  <c r="X47" i="12"/>
  <c r="W47" i="12"/>
  <c r="V47" i="12"/>
  <c r="U47" i="12"/>
  <c r="T47" i="12"/>
  <c r="N47" i="12"/>
  <c r="M47" i="12"/>
  <c r="L47" i="12"/>
  <c r="H47" i="12"/>
  <c r="AI45" i="12"/>
  <c r="AI47" i="12" s="1"/>
  <c r="AH45" i="12"/>
  <c r="AH47" i="12" s="1"/>
  <c r="AH63" i="12" s="1"/>
  <c r="AG45" i="12"/>
  <c r="AG47" i="12" s="1"/>
  <c r="AG63" i="12" s="1"/>
  <c r="AF45" i="12"/>
  <c r="AF47" i="12" s="1"/>
  <c r="AF63" i="12" s="1"/>
  <c r="AE45" i="12"/>
  <c r="AE47" i="12" s="1"/>
  <c r="AD45" i="12"/>
  <c r="AD47" i="12" s="1"/>
  <c r="AC45" i="12"/>
  <c r="AC47" i="12" s="1"/>
  <c r="AB45" i="12"/>
  <c r="AA45" i="12"/>
  <c r="Z45" i="12"/>
  <c r="Y45" i="12"/>
  <c r="X45" i="12"/>
  <c r="W45" i="12"/>
  <c r="V45" i="12"/>
  <c r="U45" i="12"/>
  <c r="T45" i="12"/>
  <c r="S45" i="12"/>
  <c r="S47" i="12" s="1"/>
  <c r="R45" i="12"/>
  <c r="R47" i="12" s="1"/>
  <c r="Q45" i="12"/>
  <c r="Q47" i="12" s="1"/>
  <c r="P45" i="12"/>
  <c r="P47" i="12" s="1"/>
  <c r="O45" i="12"/>
  <c r="O47" i="12" s="1"/>
  <c r="N45" i="12"/>
  <c r="M45" i="12"/>
  <c r="L45" i="12"/>
  <c r="K45" i="12"/>
  <c r="K47" i="12" s="1"/>
  <c r="J45" i="12"/>
  <c r="J47" i="12" s="1"/>
  <c r="I45" i="12"/>
  <c r="I47" i="12" s="1"/>
  <c r="H45" i="12"/>
  <c r="G45" i="12"/>
  <c r="G47" i="12" s="1"/>
  <c r="F45" i="12"/>
  <c r="F47" i="12" s="1"/>
  <c r="E45" i="12"/>
  <c r="E47" i="12" s="1"/>
  <c r="AI44" i="12"/>
  <c r="AH44" i="12"/>
  <c r="AG44" i="12"/>
  <c r="AF44" i="12"/>
  <c r="AE44" i="12"/>
  <c r="AD44" i="12"/>
  <c r="AD62" i="12" s="1"/>
  <c r="AC44" i="12"/>
  <c r="AC62" i="12" s="1"/>
  <c r="AC64" i="12" s="1"/>
  <c r="AC72" i="12" s="1"/>
  <c r="AB44" i="12"/>
  <c r="AB62" i="12" s="1"/>
  <c r="AB64" i="12" s="1"/>
  <c r="AB72" i="12" s="1"/>
  <c r="AA44" i="12"/>
  <c r="Z44" i="12"/>
  <c r="Y44" i="12"/>
  <c r="Y62" i="12" s="1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E62" i="12" s="1"/>
  <c r="AI43" i="12"/>
  <c r="AH43" i="12"/>
  <c r="AE43" i="12"/>
  <c r="AE63" i="12" s="1"/>
  <c r="AD43" i="12"/>
  <c r="AD63" i="12" s="1"/>
  <c r="X43" i="12"/>
  <c r="W43" i="12"/>
  <c r="V43" i="12"/>
  <c r="N43" i="12"/>
  <c r="M43" i="12"/>
  <c r="M63" i="12" s="1"/>
  <c r="M64" i="12" s="1"/>
  <c r="M72" i="12" s="1"/>
  <c r="L43" i="12"/>
  <c r="L63" i="12" s="1"/>
  <c r="K43" i="12"/>
  <c r="K63" i="12" s="1"/>
  <c r="J43" i="12"/>
  <c r="I43" i="12"/>
  <c r="AI41" i="12"/>
  <c r="AH41" i="12"/>
  <c r="AG41" i="12"/>
  <c r="AG43" i="12" s="1"/>
  <c r="AF41" i="12"/>
  <c r="AF43" i="12" s="1"/>
  <c r="AE41" i="12"/>
  <c r="AD41" i="12"/>
  <c r="AC41" i="12"/>
  <c r="AC43" i="12" s="1"/>
  <c r="AC63" i="12" s="1"/>
  <c r="AB41" i="12"/>
  <c r="AB43" i="12" s="1"/>
  <c r="AB63" i="12" s="1"/>
  <c r="AA41" i="12"/>
  <c r="AA43" i="12" s="1"/>
  <c r="Z41" i="12"/>
  <c r="Z43" i="12" s="1"/>
  <c r="Y41" i="12"/>
  <c r="Y43" i="12" s="1"/>
  <c r="Y63" i="12" s="1"/>
  <c r="X41" i="12"/>
  <c r="W41" i="12"/>
  <c r="V41" i="12"/>
  <c r="U41" i="12"/>
  <c r="U43" i="12" s="1"/>
  <c r="U63" i="12" s="1"/>
  <c r="T41" i="12"/>
  <c r="T43" i="12" s="1"/>
  <c r="T63" i="12" s="1"/>
  <c r="S41" i="12"/>
  <c r="S43" i="12" s="1"/>
  <c r="S63" i="12" s="1"/>
  <c r="R41" i="12"/>
  <c r="R43" i="12" s="1"/>
  <c r="R63" i="12" s="1"/>
  <c r="Q41" i="12"/>
  <c r="Q43" i="12" s="1"/>
  <c r="P41" i="12"/>
  <c r="P43" i="12" s="1"/>
  <c r="P63" i="12" s="1"/>
  <c r="O41" i="12"/>
  <c r="O43" i="12" s="1"/>
  <c r="N41" i="12"/>
  <c r="M41" i="12"/>
  <c r="L41" i="12"/>
  <c r="K41" i="12"/>
  <c r="I41" i="12"/>
  <c r="H41" i="12"/>
  <c r="H43" i="12" s="1"/>
  <c r="H63" i="12" s="1"/>
  <c r="G41" i="12"/>
  <c r="G43" i="12" s="1"/>
  <c r="G63" i="12" s="1"/>
  <c r="F41" i="12"/>
  <c r="F43" i="12" s="1"/>
  <c r="F63" i="12" s="1"/>
  <c r="G40" i="12"/>
  <c r="H40" i="12" s="1"/>
  <c r="I40" i="12" s="1"/>
  <c r="J40" i="12" s="1"/>
  <c r="K40" i="12" s="1"/>
  <c r="L40" i="12" s="1"/>
  <c r="M40" i="12" s="1"/>
  <c r="N40" i="12" s="1"/>
  <c r="O40" i="12" s="1"/>
  <c r="P40" i="12" s="1"/>
  <c r="Q40" i="12" s="1"/>
  <c r="R40" i="12" s="1"/>
  <c r="S40" i="12" s="1"/>
  <c r="T40" i="12" s="1"/>
  <c r="U40" i="12" s="1"/>
  <c r="V40" i="12" s="1"/>
  <c r="W40" i="12" s="1"/>
  <c r="X40" i="12" s="1"/>
  <c r="Y40" i="12" s="1"/>
  <c r="Z40" i="12" s="1"/>
  <c r="AA40" i="12" s="1"/>
  <c r="AB40" i="12" s="1"/>
  <c r="AC40" i="12" s="1"/>
  <c r="AD40" i="12" s="1"/>
  <c r="AE40" i="12" s="1"/>
  <c r="AF40" i="12" s="1"/>
  <c r="AG40" i="12" s="1"/>
  <c r="AH40" i="12" s="1"/>
  <c r="AI40" i="12" s="1"/>
  <c r="F40" i="12"/>
  <c r="D36" i="12"/>
  <c r="D35" i="12"/>
  <c r="D34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J33" i="12"/>
  <c r="I33" i="12"/>
  <c r="H33" i="12"/>
  <c r="D33" i="12" s="1"/>
  <c r="G33" i="12"/>
  <c r="F33" i="12"/>
  <c r="E33" i="12"/>
  <c r="AI32" i="12"/>
  <c r="AH32" i="12"/>
  <c r="AG32" i="12"/>
  <c r="AF32" i="12"/>
  <c r="AE32" i="12"/>
  <c r="AD32" i="12"/>
  <c r="AC32" i="12"/>
  <c r="AB32" i="12"/>
  <c r="AA32" i="12"/>
  <c r="Z32" i="12"/>
  <c r="Y32" i="12"/>
  <c r="W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H32" i="12"/>
  <c r="H4" i="12" s="1"/>
  <c r="G32" i="12"/>
  <c r="G4" i="12" s="1"/>
  <c r="E32" i="12"/>
  <c r="H31" i="12"/>
  <c r="D31" i="12"/>
  <c r="X30" i="12"/>
  <c r="X32" i="12" s="1"/>
  <c r="V30" i="12"/>
  <c r="V32" i="12" s="1"/>
  <c r="T30" i="12"/>
  <c r="H30" i="12"/>
  <c r="G30" i="12"/>
  <c r="F30" i="12"/>
  <c r="F32" i="12" s="1"/>
  <c r="K29" i="12"/>
  <c r="K33" i="12" s="1"/>
  <c r="AF28" i="12"/>
  <c r="I28" i="12"/>
  <c r="I32" i="12" s="1"/>
  <c r="D28" i="12"/>
  <c r="D26" i="12"/>
  <c r="D25" i="12"/>
  <c r="D24" i="12"/>
  <c r="AI23" i="12"/>
  <c r="AH23" i="12"/>
  <c r="AG23" i="12"/>
  <c r="AF23" i="12"/>
  <c r="AE23" i="12"/>
  <c r="AD23" i="12"/>
  <c r="AC23" i="12"/>
  <c r="AB23" i="12"/>
  <c r="AA23" i="12"/>
  <c r="Z23" i="12"/>
  <c r="Z5" i="12" s="1"/>
  <c r="Z3" i="12" s="1"/>
  <c r="Y23" i="12"/>
  <c r="X23" i="12"/>
  <c r="W23" i="12"/>
  <c r="V23" i="12"/>
  <c r="U23" i="12"/>
  <c r="U5" i="12" s="1"/>
  <c r="T23" i="12"/>
  <c r="S23" i="12"/>
  <c r="R23" i="12"/>
  <c r="Q23" i="12"/>
  <c r="P23" i="12"/>
  <c r="P5" i="12" s="1"/>
  <c r="O23" i="12"/>
  <c r="O5" i="12" s="1"/>
  <c r="N23" i="12"/>
  <c r="N5" i="12" s="1"/>
  <c r="M23" i="12"/>
  <c r="L23" i="12"/>
  <c r="J23" i="12"/>
  <c r="J5" i="12" s="1"/>
  <c r="I23" i="12"/>
  <c r="H23" i="12"/>
  <c r="G23" i="12"/>
  <c r="F23" i="12"/>
  <c r="E23" i="12"/>
  <c r="AI22" i="12"/>
  <c r="AI4" i="12" s="1"/>
  <c r="AH22" i="12"/>
  <c r="AG22" i="12"/>
  <c r="AF22" i="12"/>
  <c r="AD22" i="12"/>
  <c r="AD4" i="12" s="1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O22" i="12"/>
  <c r="N22" i="12"/>
  <c r="L22" i="12"/>
  <c r="K22" i="12"/>
  <c r="J22" i="12"/>
  <c r="I22" i="12"/>
  <c r="H22" i="12"/>
  <c r="G22" i="12"/>
  <c r="F22" i="12"/>
  <c r="F4" i="12" s="1"/>
  <c r="E22" i="12"/>
  <c r="D22" i="12" s="1"/>
  <c r="P21" i="12"/>
  <c r="D21" i="12"/>
  <c r="AE20" i="12"/>
  <c r="AE22" i="12" s="1"/>
  <c r="P20" i="12"/>
  <c r="K19" i="12"/>
  <c r="K23" i="12" s="1"/>
  <c r="D19" i="12"/>
  <c r="R18" i="12"/>
  <c r="Q18" i="12"/>
  <c r="P18" i="12"/>
  <c r="P22" i="12" s="1"/>
  <c r="M18" i="12"/>
  <c r="M22" i="12" s="1"/>
  <c r="D18" i="12"/>
  <c r="AB16" i="12"/>
  <c r="D16" i="12"/>
  <c r="AC15" i="12"/>
  <c r="D15" i="12" s="1"/>
  <c r="J14" i="12"/>
  <c r="J41" i="12" s="1"/>
  <c r="AI13" i="12"/>
  <c r="AI5" i="12" s="1"/>
  <c r="AI3" i="12" s="1"/>
  <c r="AH13" i="12"/>
  <c r="AG13" i="12"/>
  <c r="AF13" i="12"/>
  <c r="AF5" i="12" s="1"/>
  <c r="AE13" i="12"/>
  <c r="AE5" i="12" s="1"/>
  <c r="AE3" i="12" s="1"/>
  <c r="AD13" i="12"/>
  <c r="AD5" i="12" s="1"/>
  <c r="AD3" i="12" s="1"/>
  <c r="AC13" i="12"/>
  <c r="AC5" i="12" s="1"/>
  <c r="AC3" i="12" s="1"/>
  <c r="AB13" i="12"/>
  <c r="AA13" i="12"/>
  <c r="Z13" i="12"/>
  <c r="Y13" i="12"/>
  <c r="X13" i="12"/>
  <c r="W13" i="12"/>
  <c r="V13" i="12"/>
  <c r="U13" i="12"/>
  <c r="T13" i="12"/>
  <c r="T5" i="12" s="1"/>
  <c r="T3" i="12" s="1"/>
  <c r="S13" i="12"/>
  <c r="S5" i="12" s="1"/>
  <c r="S3" i="12" s="1"/>
  <c r="R13" i="12"/>
  <c r="R5" i="12" s="1"/>
  <c r="Q13" i="12"/>
  <c r="Q5" i="12" s="1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 s="1"/>
  <c r="AI12" i="12"/>
  <c r="AH12" i="12"/>
  <c r="AG12" i="12"/>
  <c r="AF12" i="12"/>
  <c r="AF4" i="12" s="1"/>
  <c r="AE12" i="12"/>
  <c r="AE4" i="12" s="1"/>
  <c r="AD12" i="12"/>
  <c r="AB12" i="12"/>
  <c r="AB4" i="12" s="1"/>
  <c r="AA12" i="12"/>
  <c r="AA4" i="12" s="1"/>
  <c r="Z12" i="12"/>
  <c r="Z4" i="12" s="1"/>
  <c r="Y12" i="12"/>
  <c r="Y4" i="12" s="1"/>
  <c r="X12" i="12"/>
  <c r="S12" i="12"/>
  <c r="N12" i="12"/>
  <c r="N4" i="12" s="1"/>
  <c r="N3" i="12" s="1"/>
  <c r="L12" i="12"/>
  <c r="L4" i="12" s="1"/>
  <c r="K12" i="12"/>
  <c r="K4" i="12" s="1"/>
  <c r="J12" i="12"/>
  <c r="J4" i="12" s="1"/>
  <c r="J3" i="12" s="1"/>
  <c r="I12" i="12"/>
  <c r="H12" i="12"/>
  <c r="G12" i="12"/>
  <c r="F12" i="12"/>
  <c r="E12" i="12"/>
  <c r="D11" i="12"/>
  <c r="AB10" i="12"/>
  <c r="Q10" i="12"/>
  <c r="P10" i="12"/>
  <c r="P12" i="12" s="1"/>
  <c r="P4" i="12" s="1"/>
  <c r="O10" i="12"/>
  <c r="O12" i="12" s="1"/>
  <c r="O4" i="12" s="1"/>
  <c r="M10" i="12"/>
  <c r="M12" i="12" s="1"/>
  <c r="M4" i="12" s="1"/>
  <c r="D10" i="12"/>
  <c r="D9" i="12"/>
  <c r="AF8" i="12"/>
  <c r="AE8" i="12"/>
  <c r="AC8" i="12"/>
  <c r="AC12" i="12" s="1"/>
  <c r="AC4" i="12" s="1"/>
  <c r="AB8" i="12"/>
  <c r="Y8" i="12"/>
  <c r="X8" i="12"/>
  <c r="W8" i="12"/>
  <c r="W12" i="12" s="1"/>
  <c r="W4" i="12" s="1"/>
  <c r="V8" i="12"/>
  <c r="V12" i="12" s="1"/>
  <c r="U8" i="12"/>
  <c r="U12" i="12" s="1"/>
  <c r="T8" i="12"/>
  <c r="T12" i="12" s="1"/>
  <c r="R8" i="12"/>
  <c r="R12" i="12" s="1"/>
  <c r="R4" i="12" s="1"/>
  <c r="Q8" i="12"/>
  <c r="M8" i="12"/>
  <c r="F7" i="12"/>
  <c r="F6" i="12" s="1"/>
  <c r="E6" i="12"/>
  <c r="AH5" i="12"/>
  <c r="AG5" i="12"/>
  <c r="W5" i="12"/>
  <c r="V5" i="12"/>
  <c r="I5" i="12"/>
  <c r="G5" i="12"/>
  <c r="F5" i="12"/>
  <c r="E5" i="12"/>
  <c r="T4" i="12"/>
  <c r="S4" i="12"/>
  <c r="A3" i="12"/>
  <c r="F2" i="12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AG2" i="12" s="1"/>
  <c r="AH2" i="12" s="1"/>
  <c r="AI2" i="12" s="1"/>
  <c r="D14" i="12" l="1"/>
  <c r="O64" i="12"/>
  <c r="O72" i="12" s="1"/>
  <c r="D12" i="12"/>
  <c r="AI63" i="12"/>
  <c r="D5" i="12"/>
  <c r="Q3" i="12"/>
  <c r="B3" i="12"/>
  <c r="Z63" i="12"/>
  <c r="Z64" i="12" s="1"/>
  <c r="AD64" i="12"/>
  <c r="AD72" i="12" s="1"/>
  <c r="O3" i="12"/>
  <c r="W3" i="12"/>
  <c r="X4" i="12"/>
  <c r="R3" i="12"/>
  <c r="P3" i="12"/>
  <c r="N63" i="12"/>
  <c r="N64" i="12" s="1"/>
  <c r="N72" i="12" s="1"/>
  <c r="AE64" i="12"/>
  <c r="AE72" i="12" s="1"/>
  <c r="AF3" i="12"/>
  <c r="E3" i="12"/>
  <c r="Y64" i="12"/>
  <c r="Y72" i="12" s="1"/>
  <c r="Q63" i="12"/>
  <c r="Q64" i="12" s="1"/>
  <c r="Q72" i="12" s="1"/>
  <c r="G3" i="12"/>
  <c r="E63" i="12"/>
  <c r="E64" i="12" s="1"/>
  <c r="H62" i="12"/>
  <c r="H64" i="12" s="1"/>
  <c r="H72" i="12" s="1"/>
  <c r="E4" i="12"/>
  <c r="H5" i="12"/>
  <c r="H3" i="12" s="1"/>
  <c r="U4" i="12"/>
  <c r="U3" i="12" s="1"/>
  <c r="D30" i="12"/>
  <c r="AH3" i="12"/>
  <c r="X5" i="12"/>
  <c r="X3" i="12" s="1"/>
  <c r="D32" i="12"/>
  <c r="J62" i="12"/>
  <c r="J64" i="12" s="1"/>
  <c r="J72" i="12" s="1"/>
  <c r="AH62" i="12"/>
  <c r="AH64" i="12" s="1"/>
  <c r="AH72" i="12" s="1"/>
  <c r="AA5" i="12"/>
  <c r="AA3" i="12" s="1"/>
  <c r="K62" i="12"/>
  <c r="K64" i="12" s="1"/>
  <c r="K72" i="12" s="1"/>
  <c r="W62" i="12"/>
  <c r="AI62" i="12"/>
  <c r="AE71" i="12"/>
  <c r="V3" i="12"/>
  <c r="J63" i="12"/>
  <c r="F3" i="12"/>
  <c r="G64" i="12"/>
  <c r="G72" i="12" s="1"/>
  <c r="I4" i="12"/>
  <c r="I3" i="12" s="1"/>
  <c r="T62" i="12"/>
  <c r="T64" i="12" s="1"/>
  <c r="T72" i="12" s="1"/>
  <c r="U62" i="12"/>
  <c r="U64" i="12" s="1"/>
  <c r="U72" i="12" s="1"/>
  <c r="V4" i="12"/>
  <c r="F62" i="12"/>
  <c r="F64" i="12" s="1"/>
  <c r="F72" i="12" s="1"/>
  <c r="K5" i="12"/>
  <c r="K3" i="12" s="1"/>
  <c r="D23" i="12"/>
  <c r="L5" i="12"/>
  <c r="L3" i="12" s="1"/>
  <c r="V63" i="12"/>
  <c r="AA64" i="12"/>
  <c r="AA72" i="12" s="1"/>
  <c r="W63" i="12"/>
  <c r="Q71" i="12"/>
  <c r="X63" i="12"/>
  <c r="V62" i="12"/>
  <c r="V64" i="12" s="1"/>
  <c r="V72" i="12" s="1"/>
  <c r="AB5" i="12"/>
  <c r="AB3" i="12" s="1"/>
  <c r="O63" i="12"/>
  <c r="AA63" i="12"/>
  <c r="I63" i="12"/>
  <c r="I64" i="12" s="1"/>
  <c r="I72" i="12" s="1"/>
  <c r="L62" i="12"/>
  <c r="L64" i="12" s="1"/>
  <c r="L72" i="12" s="1"/>
  <c r="X62" i="12"/>
  <c r="AG4" i="12"/>
  <c r="AG3" i="12" s="1"/>
  <c r="M5" i="12"/>
  <c r="M3" i="12" s="1"/>
  <c r="Y5" i="12"/>
  <c r="Y3" i="12" s="1"/>
  <c r="D20" i="12"/>
  <c r="G7" i="12"/>
  <c r="D8" i="12"/>
  <c r="AH4" i="12"/>
  <c r="D29" i="12"/>
  <c r="Q12" i="12"/>
  <c r="Q4" i="12" s="1"/>
  <c r="AI64" i="12" l="1"/>
  <c r="AI72" i="12" s="1"/>
  <c r="H7" i="12"/>
  <c r="G6" i="12"/>
  <c r="X64" i="12"/>
  <c r="X72" i="12" s="1"/>
  <c r="D4" i="12"/>
  <c r="D3" i="12" s="1"/>
  <c r="B4" i="12" s="1"/>
  <c r="W64" i="12"/>
  <c r="W72" i="12" s="1"/>
  <c r="H6" i="12" l="1"/>
  <c r="I7" i="12"/>
  <c r="B5" i="12"/>
  <c r="I6" i="12" l="1"/>
  <c r="J7" i="12"/>
  <c r="K7" i="12" l="1"/>
  <c r="J6" i="12"/>
  <c r="L7" i="12" l="1"/>
  <c r="K6" i="12"/>
  <c r="M7" i="12" l="1"/>
  <c r="L6" i="12"/>
  <c r="M6" i="12" l="1"/>
  <c r="N7" i="12"/>
  <c r="O7" i="12" l="1"/>
  <c r="N6" i="12"/>
  <c r="P7" i="12" l="1"/>
  <c r="O6" i="12"/>
  <c r="P6" i="12" l="1"/>
  <c r="Q7" i="12"/>
  <c r="Q6" i="12" l="1"/>
  <c r="R7" i="12"/>
  <c r="R6" i="12" l="1"/>
  <c r="S7" i="12"/>
  <c r="T7" i="12" l="1"/>
  <c r="S6" i="12"/>
  <c r="U7" i="12" l="1"/>
  <c r="T6" i="12"/>
  <c r="V7" i="12" l="1"/>
  <c r="U6" i="12"/>
  <c r="W7" i="12" l="1"/>
  <c r="V6" i="12"/>
  <c r="X7" i="12" l="1"/>
  <c r="W6" i="12"/>
  <c r="X6" i="12" l="1"/>
  <c r="Y7" i="12"/>
  <c r="Y6" i="12" l="1"/>
  <c r="Z7" i="12"/>
  <c r="Z6" i="12" l="1"/>
  <c r="AA7" i="12"/>
  <c r="AA6" i="12" l="1"/>
  <c r="AB7" i="12"/>
  <c r="AB6" i="12" l="1"/>
  <c r="AC7" i="12"/>
  <c r="AC6" i="12" l="1"/>
  <c r="AD7" i="12"/>
  <c r="AD6" i="12" l="1"/>
  <c r="AE7" i="12"/>
  <c r="AE6" i="12" l="1"/>
  <c r="AF7" i="12"/>
  <c r="AG7" i="12" l="1"/>
  <c r="AF6" i="12"/>
  <c r="AH7" i="12" l="1"/>
  <c r="AG6" i="12"/>
  <c r="AI7" i="12" l="1"/>
  <c r="AI6" i="12" s="1"/>
  <c r="AH6" i="12"/>
  <c r="AI70" i="10" l="1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R70" i="10"/>
  <c r="R69" i="10"/>
  <c r="R10" i="10" l="1"/>
  <c r="Q70" i="10" l="1"/>
  <c r="Q69" i="10"/>
  <c r="Q30" i="10"/>
  <c r="Q28" i="10"/>
  <c r="P70" i="10" l="1"/>
  <c r="P65" i="10"/>
  <c r="P69" i="10"/>
  <c r="M69" i="10"/>
  <c r="N69" i="10"/>
  <c r="O6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P62" i="10"/>
  <c r="O29" i="10" l="1"/>
  <c r="O20" i="10"/>
  <c r="N28" i="10"/>
  <c r="N20" i="10"/>
  <c r="N8" i="10"/>
  <c r="M30" i="10"/>
  <c r="Z1" i="10"/>
  <c r="O70" i="10"/>
  <c r="N70" i="10"/>
  <c r="M70" i="10"/>
  <c r="Q68" i="10"/>
  <c r="P68" i="10"/>
  <c r="O68" i="10"/>
  <c r="N68" i="10"/>
  <c r="M68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O65" i="10"/>
  <c r="N65" i="10"/>
  <c r="M8" i="10"/>
  <c r="L14" i="10"/>
  <c r="J26" i="10"/>
  <c r="J21" i="10"/>
  <c r="I40" i="10"/>
  <c r="I41" i="10"/>
  <c r="I43" i="10" s="1"/>
  <c r="I44" i="10"/>
  <c r="I45" i="10"/>
  <c r="I47" i="10"/>
  <c r="I48" i="10"/>
  <c r="I62" i="10" s="1"/>
  <c r="I49" i="10"/>
  <c r="I51" i="10"/>
  <c r="I52" i="10"/>
  <c r="I55" i="10"/>
  <c r="I58" i="10"/>
  <c r="I61" i="10"/>
  <c r="I65" i="10"/>
  <c r="I71" i="10" s="1"/>
  <c r="I66" i="10"/>
  <c r="I67" i="10"/>
  <c r="I68" i="10"/>
  <c r="I69" i="10"/>
  <c r="I70" i="10"/>
  <c r="I63" i="10" l="1"/>
  <c r="I64" i="10" s="1"/>
  <c r="G46" i="10"/>
  <c r="G42" i="10"/>
  <c r="G28" i="10"/>
  <c r="G8" i="10"/>
  <c r="E8" i="10"/>
  <c r="E12" i="10" s="1"/>
  <c r="F30" i="10"/>
  <c r="AE61" i="10"/>
  <c r="AE48" i="10"/>
  <c r="AD48" i="10"/>
  <c r="AE52" i="10"/>
  <c r="AD52" i="10"/>
  <c r="AI45" i="10"/>
  <c r="AH45" i="10"/>
  <c r="AH47" i="10" s="1"/>
  <c r="AG45" i="10"/>
  <c r="AG47" i="10" s="1"/>
  <c r="AF45" i="10"/>
  <c r="AF47" i="10" s="1"/>
  <c r="AE45" i="10"/>
  <c r="AE47" i="10" s="1"/>
  <c r="AD45" i="10"/>
  <c r="AD47" i="10" s="1"/>
  <c r="AI47" i="10"/>
  <c r="AI48" i="10"/>
  <c r="AH48" i="10"/>
  <c r="AG48" i="10"/>
  <c r="AF48" i="10"/>
  <c r="AI49" i="10"/>
  <c r="AH49" i="10"/>
  <c r="AG49" i="10"/>
  <c r="AF49" i="10"/>
  <c r="AF51" i="10" s="1"/>
  <c r="AE49" i="10"/>
  <c r="AE51" i="10" s="1"/>
  <c r="AD49" i="10"/>
  <c r="AD51" i="10" s="1"/>
  <c r="AI51" i="10"/>
  <c r="AH51" i="10"/>
  <c r="AG51" i="10"/>
  <c r="AI52" i="10"/>
  <c r="AH52" i="10"/>
  <c r="AG52" i="10"/>
  <c r="AF52" i="10"/>
  <c r="AH61" i="10"/>
  <c r="AG61" i="10"/>
  <c r="AF61" i="10"/>
  <c r="AI61" i="10"/>
  <c r="AD61" i="10"/>
  <c r="AC61" i="10"/>
  <c r="AC58" i="10"/>
  <c r="AC55" i="10"/>
  <c r="AC52" i="10"/>
  <c r="AC49" i="10"/>
  <c r="AC51" i="10" s="1"/>
  <c r="AC48" i="10"/>
  <c r="AC45" i="10"/>
  <c r="AC47" i="10" s="1"/>
  <c r="AC44" i="10"/>
  <c r="AC41" i="10"/>
  <c r="AC43" i="10" s="1"/>
  <c r="AB61" i="10" l="1"/>
  <c r="AB55" i="10"/>
  <c r="AB58" i="10"/>
  <c r="AB44" i="10"/>
  <c r="AB48" i="10"/>
  <c r="AB52" i="10"/>
  <c r="AB51" i="10"/>
  <c r="AB49" i="10"/>
  <c r="AB45" i="10"/>
  <c r="AB47" i="10" s="1"/>
  <c r="AB62" i="10" l="1"/>
  <c r="N13" i="10" l="1"/>
  <c r="M65" i="10"/>
  <c r="F70" i="10" l="1"/>
  <c r="F69" i="10"/>
  <c r="F68" i="10"/>
  <c r="L67" i="10"/>
  <c r="K67" i="10"/>
  <c r="J67" i="10"/>
  <c r="H67" i="10"/>
  <c r="G67" i="10"/>
  <c r="F67" i="10"/>
  <c r="L44" i="10"/>
  <c r="AC6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H52" i="10"/>
  <c r="G52" i="10"/>
  <c r="F52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H48" i="10"/>
  <c r="G48" i="10"/>
  <c r="F48" i="10"/>
  <c r="L62" i="10" l="1"/>
  <c r="E52" i="10"/>
  <c r="E48" i="10"/>
  <c r="AI44" i="10"/>
  <c r="AI62" i="10" s="1"/>
  <c r="AH44" i="10"/>
  <c r="AH62" i="10" s="1"/>
  <c r="AG44" i="10"/>
  <c r="AG62" i="10" s="1"/>
  <c r="AF44" i="10"/>
  <c r="AF62" i="10" s="1"/>
  <c r="AE44" i="10"/>
  <c r="AE62" i="10" s="1"/>
  <c r="AD44" i="10"/>
  <c r="AD62" i="10" s="1"/>
  <c r="AA44" i="10"/>
  <c r="AA62" i="10" s="1"/>
  <c r="Z44" i="10"/>
  <c r="Z62" i="10" s="1"/>
  <c r="Y44" i="10"/>
  <c r="Y62" i="10" s="1"/>
  <c r="X44" i="10"/>
  <c r="X62" i="10" s="1"/>
  <c r="W44" i="10"/>
  <c r="W62" i="10" s="1"/>
  <c r="V44" i="10"/>
  <c r="V62" i="10" s="1"/>
  <c r="U44" i="10"/>
  <c r="U62" i="10" s="1"/>
  <c r="T44" i="10"/>
  <c r="T62" i="10" s="1"/>
  <c r="S44" i="10"/>
  <c r="S62" i="10" s="1"/>
  <c r="R44" i="10"/>
  <c r="R62" i="10" s="1"/>
  <c r="Q44" i="10"/>
  <c r="Q62" i="10" s="1"/>
  <c r="P44" i="10"/>
  <c r="O44" i="10"/>
  <c r="O62" i="10" s="1"/>
  <c r="N44" i="10"/>
  <c r="N62" i="10" s="1"/>
  <c r="M44" i="10"/>
  <c r="K44" i="10"/>
  <c r="K62" i="10" s="1"/>
  <c r="J44" i="10"/>
  <c r="J62" i="10" s="1"/>
  <c r="H44" i="10"/>
  <c r="H62" i="10" s="1"/>
  <c r="G44" i="10"/>
  <c r="G62" i="10" s="1"/>
  <c r="F44" i="10"/>
  <c r="F62" i="10" s="1"/>
  <c r="E44" i="10"/>
  <c r="D26" i="10"/>
  <c r="E62" i="10" l="1"/>
  <c r="D35" i="10"/>
  <c r="D25" i="10"/>
  <c r="D15" i="10"/>
  <c r="L70" i="10"/>
  <c r="L69" i="10"/>
  <c r="L68" i="10"/>
  <c r="K70" i="10"/>
  <c r="K69" i="10"/>
  <c r="K68" i="10"/>
  <c r="J70" i="10"/>
  <c r="J69" i="10"/>
  <c r="J68" i="10"/>
  <c r="H70" i="10"/>
  <c r="H69" i="10"/>
  <c r="H68" i="10"/>
  <c r="G70" i="10"/>
  <c r="G69" i="10"/>
  <c r="G68" i="10"/>
  <c r="M66" i="10"/>
  <c r="L66" i="10"/>
  <c r="K66" i="10"/>
  <c r="J66" i="10"/>
  <c r="H66" i="10"/>
  <c r="G66" i="10"/>
  <c r="L65" i="10"/>
  <c r="K65" i="10"/>
  <c r="J65" i="10"/>
  <c r="H65" i="10"/>
  <c r="G65" i="10"/>
  <c r="F45" i="10"/>
  <c r="F66" i="10"/>
  <c r="F65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H61" i="10"/>
  <c r="G61" i="10"/>
  <c r="F61" i="10"/>
  <c r="E61" i="10"/>
  <c r="AA58" i="10"/>
  <c r="Z58" i="10"/>
  <c r="AI58" i="10"/>
  <c r="AH58" i="10"/>
  <c r="AG58" i="10"/>
  <c r="AF58" i="10"/>
  <c r="AE58" i="10"/>
  <c r="AD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H58" i="10"/>
  <c r="G58" i="10"/>
  <c r="F58" i="10"/>
  <c r="E58" i="10"/>
  <c r="AI55" i="10"/>
  <c r="AH55" i="10"/>
  <c r="AG55" i="10"/>
  <c r="AF55" i="10"/>
  <c r="AE55" i="10"/>
  <c r="AD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L55" i="10"/>
  <c r="K55" i="10"/>
  <c r="J55" i="10"/>
  <c r="H55" i="10"/>
  <c r="G55" i="10"/>
  <c r="F55" i="10"/>
  <c r="E55" i="10"/>
  <c r="AA49" i="10"/>
  <c r="AA51" i="10" s="1"/>
  <c r="Z49" i="10"/>
  <c r="Z51" i="10" s="1"/>
  <c r="Y49" i="10"/>
  <c r="Y51" i="10" s="1"/>
  <c r="X49" i="10"/>
  <c r="X51" i="10" s="1"/>
  <c r="W49" i="10"/>
  <c r="W51" i="10" s="1"/>
  <c r="V49" i="10"/>
  <c r="V51" i="10" s="1"/>
  <c r="U49" i="10"/>
  <c r="U51" i="10" s="1"/>
  <c r="T49" i="10"/>
  <c r="T51" i="10" s="1"/>
  <c r="S49" i="10"/>
  <c r="S51" i="10" s="1"/>
  <c r="R49" i="10"/>
  <c r="R51" i="10" s="1"/>
  <c r="Q49" i="10"/>
  <c r="Q51" i="10" s="1"/>
  <c r="P49" i="10"/>
  <c r="P51" i="10" s="1"/>
  <c r="O49" i="10"/>
  <c r="O51" i="10" s="1"/>
  <c r="N49" i="10"/>
  <c r="N51" i="10" s="1"/>
  <c r="M49" i="10"/>
  <c r="M51" i="10" s="1"/>
  <c r="L49" i="10"/>
  <c r="L51" i="10" s="1"/>
  <c r="K49" i="10"/>
  <c r="K51" i="10" s="1"/>
  <c r="J49" i="10"/>
  <c r="J51" i="10" s="1"/>
  <c r="H49" i="10"/>
  <c r="H51" i="10" s="1"/>
  <c r="G49" i="10"/>
  <c r="G51" i="10" s="1"/>
  <c r="F49" i="10"/>
  <c r="F51" i="10" s="1"/>
  <c r="E49" i="10"/>
  <c r="E51" i="10" s="1"/>
  <c r="AA47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H45" i="10"/>
  <c r="G45" i="10"/>
  <c r="E45" i="10"/>
  <c r="AI41" i="10"/>
  <c r="AH41" i="10"/>
  <c r="AG41" i="10"/>
  <c r="AF41" i="10"/>
  <c r="AE41" i="10"/>
  <c r="AD41" i="10"/>
  <c r="AB41" i="10"/>
  <c r="AB43" i="10" s="1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H41" i="10"/>
  <c r="G41" i="10"/>
  <c r="F41" i="10"/>
  <c r="AB63" i="10" l="1"/>
  <c r="J47" i="10"/>
  <c r="V47" i="10"/>
  <c r="K47" i="10"/>
  <c r="W47" i="10"/>
  <c r="L47" i="10"/>
  <c r="X47" i="10"/>
  <c r="M47" i="10"/>
  <c r="M62" i="10" s="1"/>
  <c r="Y47" i="10"/>
  <c r="N47" i="10"/>
  <c r="Z47" i="10"/>
  <c r="O47" i="10"/>
  <c r="P47" i="10"/>
  <c r="F47" i="10"/>
  <c r="Q47" i="10"/>
  <c r="AC63" i="10"/>
  <c r="AC64" i="10" s="1"/>
  <c r="E47" i="10"/>
  <c r="R47" i="10"/>
  <c r="G47" i="10"/>
  <c r="S47" i="10"/>
  <c r="H47" i="10"/>
  <c r="T47" i="10"/>
  <c r="U47" i="10"/>
  <c r="M55" i="10"/>
  <c r="F43" i="10"/>
  <c r="E41" i="10"/>
  <c r="E43" i="10" s="1"/>
  <c r="AI43" i="10"/>
  <c r="X43" i="10"/>
  <c r="W43" i="10"/>
  <c r="T43" i="10"/>
  <c r="S43" i="10"/>
  <c r="R43" i="10"/>
  <c r="Q43" i="10"/>
  <c r="P43" i="10"/>
  <c r="O43" i="10"/>
  <c r="N43" i="10"/>
  <c r="M43" i="10"/>
  <c r="L43" i="10"/>
  <c r="K43" i="10"/>
  <c r="H43" i="10"/>
  <c r="Y43" i="10"/>
  <c r="D24" i="10"/>
  <c r="D34" i="10"/>
  <c r="AH43" i="10"/>
  <c r="AG43" i="10"/>
  <c r="AF43" i="10"/>
  <c r="AE43" i="10"/>
  <c r="AD43" i="10"/>
  <c r="AA43" i="10"/>
  <c r="Z43" i="10"/>
  <c r="V43" i="10"/>
  <c r="U43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E70" i="10"/>
  <c r="L71" i="10"/>
  <c r="E67" i="10"/>
  <c r="K33" i="10"/>
  <c r="K23" i="10"/>
  <c r="D8" i="10"/>
  <c r="H55" i="9"/>
  <c r="F55" i="9"/>
  <c r="E55" i="9"/>
  <c r="D56" i="9"/>
  <c r="D55" i="9"/>
  <c r="C58" i="9"/>
  <c r="C57" i="9"/>
  <c r="C56" i="9"/>
  <c r="C55" i="9"/>
  <c r="C54" i="9"/>
  <c r="C53" i="9"/>
  <c r="C51" i="9"/>
  <c r="K50" i="9"/>
  <c r="G50" i="9"/>
  <c r="C50" i="9"/>
  <c r="K49" i="9"/>
  <c r="J49" i="9"/>
  <c r="I49" i="9"/>
  <c r="H49" i="9"/>
  <c r="G49" i="9"/>
  <c r="K48" i="9"/>
  <c r="K47" i="9"/>
  <c r="K46" i="9"/>
  <c r="F49" i="9"/>
  <c r="D49" i="9"/>
  <c r="C49" i="9"/>
  <c r="J48" i="9"/>
  <c r="I48" i="9"/>
  <c r="J47" i="9"/>
  <c r="I47" i="9"/>
  <c r="J46" i="9"/>
  <c r="I46" i="9"/>
  <c r="H48" i="9"/>
  <c r="H47" i="9"/>
  <c r="H46" i="9"/>
  <c r="G48" i="9"/>
  <c r="G47" i="9"/>
  <c r="G46" i="9"/>
  <c r="F48" i="9"/>
  <c r="F47" i="9"/>
  <c r="F46" i="9"/>
  <c r="E48" i="9"/>
  <c r="E47" i="9"/>
  <c r="E46" i="9"/>
  <c r="D48" i="9"/>
  <c r="C47" i="9"/>
  <c r="D47" i="9" s="1"/>
  <c r="C46" i="9"/>
  <c r="D46" i="9" s="1"/>
  <c r="I37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AI39" i="9"/>
  <c r="AH39" i="9"/>
  <c r="AG39" i="9"/>
  <c r="AG43" i="9" s="1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O43" i="9" s="1"/>
  <c r="N39" i="9"/>
  <c r="M39" i="9"/>
  <c r="L39" i="9"/>
  <c r="K39" i="9"/>
  <c r="J39" i="9"/>
  <c r="I39" i="9"/>
  <c r="H39" i="9"/>
  <c r="G39" i="9"/>
  <c r="F39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AI37" i="9"/>
  <c r="AH37" i="9"/>
  <c r="AG37" i="9"/>
  <c r="AF37" i="9"/>
  <c r="AE37" i="9"/>
  <c r="AD37" i="9"/>
  <c r="AD43" i="9" s="1"/>
  <c r="AC37" i="9"/>
  <c r="AB37" i="9"/>
  <c r="AA37" i="9"/>
  <c r="AA43" i="9" s="1"/>
  <c r="Z37" i="9"/>
  <c r="Y37" i="9"/>
  <c r="X37" i="9"/>
  <c r="W37" i="9"/>
  <c r="W43" i="9" s="1"/>
  <c r="V37" i="9"/>
  <c r="V43" i="9" s="1"/>
  <c r="U37" i="9"/>
  <c r="T37" i="9"/>
  <c r="T43" i="9" s="1"/>
  <c r="S37" i="9"/>
  <c r="S43" i="9" s="1"/>
  <c r="R37" i="9"/>
  <c r="R43" i="9" s="1"/>
  <c r="Q37" i="9"/>
  <c r="P37" i="9"/>
  <c r="O37" i="9"/>
  <c r="N37" i="9"/>
  <c r="N43" i="9" s="1"/>
  <c r="M37" i="9"/>
  <c r="M43" i="9" s="1"/>
  <c r="L37" i="9"/>
  <c r="L43" i="9" s="1"/>
  <c r="K37" i="9"/>
  <c r="K43" i="9" s="1"/>
  <c r="J37" i="9"/>
  <c r="J43" i="9" s="1"/>
  <c r="H37" i="9"/>
  <c r="G37" i="9"/>
  <c r="F37" i="9"/>
  <c r="F43" i="9" s="1"/>
  <c r="E42" i="9"/>
  <c r="E40" i="9"/>
  <c r="E41" i="9"/>
  <c r="E39" i="9"/>
  <c r="E38" i="9"/>
  <c r="AC43" i="9"/>
  <c r="AB43" i="9"/>
  <c r="H43" i="9"/>
  <c r="E37" i="9"/>
  <c r="D36" i="9"/>
  <c r="D35" i="9"/>
  <c r="H33" i="10"/>
  <c r="H32" i="10"/>
  <c r="G32" i="10"/>
  <c r="F32" i="10"/>
  <c r="F40" i="10"/>
  <c r="G40" i="10" s="1"/>
  <c r="H40" i="10" s="1"/>
  <c r="J40" i="10" s="1"/>
  <c r="K40" i="10" s="1"/>
  <c r="L40" i="10" s="1"/>
  <c r="M40" i="10" s="1"/>
  <c r="N40" i="10" s="1"/>
  <c r="O40" i="10" s="1"/>
  <c r="P40" i="10" s="1"/>
  <c r="Q40" i="10" s="1"/>
  <c r="R40" i="10" s="1"/>
  <c r="S40" i="10" s="1"/>
  <c r="T40" i="10" s="1"/>
  <c r="U40" i="10" s="1"/>
  <c r="V40" i="10" s="1"/>
  <c r="W40" i="10" s="1"/>
  <c r="X40" i="10" s="1"/>
  <c r="Y40" i="10" s="1"/>
  <c r="Z40" i="10" s="1"/>
  <c r="AA40" i="10" s="1"/>
  <c r="AB40" i="10" s="1"/>
  <c r="AC40" i="10" s="1"/>
  <c r="AD40" i="10" s="1"/>
  <c r="AE40" i="10" s="1"/>
  <c r="AF40" i="10" s="1"/>
  <c r="AG40" i="10" s="1"/>
  <c r="AH40" i="10" s="1"/>
  <c r="AI40" i="10" s="1"/>
  <c r="D36" i="10"/>
  <c r="AI33" i="10"/>
  <c r="AH33" i="10"/>
  <c r="AG33" i="10"/>
  <c r="AE33" i="10"/>
  <c r="AD33" i="10"/>
  <c r="AC33" i="10"/>
  <c r="AB33" i="10"/>
  <c r="AA33" i="10"/>
  <c r="Z33" i="10"/>
  <c r="Y33" i="10"/>
  <c r="X33" i="10"/>
  <c r="W33" i="10"/>
  <c r="V33" i="10"/>
  <c r="T33" i="10"/>
  <c r="S33" i="10"/>
  <c r="R33" i="10"/>
  <c r="Q33" i="10"/>
  <c r="O33" i="10"/>
  <c r="N33" i="10"/>
  <c r="M33" i="10"/>
  <c r="L33" i="10"/>
  <c r="J33" i="10"/>
  <c r="I33" i="10"/>
  <c r="G33" i="10"/>
  <c r="F33" i="10"/>
  <c r="E33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O32" i="10"/>
  <c r="N32" i="10"/>
  <c r="M32" i="10"/>
  <c r="L32" i="10"/>
  <c r="K32" i="10"/>
  <c r="J32" i="10"/>
  <c r="E32" i="10"/>
  <c r="P33" i="10"/>
  <c r="AI32" i="10"/>
  <c r="AH32" i="10"/>
  <c r="P32" i="10"/>
  <c r="AF33" i="10"/>
  <c r="U3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V23" i="10"/>
  <c r="T23" i="10"/>
  <c r="S23" i="10"/>
  <c r="R23" i="10"/>
  <c r="Q23" i="10"/>
  <c r="P23" i="10"/>
  <c r="O23" i="10"/>
  <c r="N23" i="10"/>
  <c r="M23" i="10"/>
  <c r="L23" i="10"/>
  <c r="J23" i="10"/>
  <c r="I23" i="10"/>
  <c r="H23" i="10"/>
  <c r="G23" i="10"/>
  <c r="F23" i="10"/>
  <c r="E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1" i="10"/>
  <c r="D20" i="10"/>
  <c r="W23" i="10"/>
  <c r="U23" i="10"/>
  <c r="D18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M13" i="10"/>
  <c r="L13" i="10"/>
  <c r="K13" i="10"/>
  <c r="J13" i="10"/>
  <c r="I13" i="10"/>
  <c r="H13" i="10"/>
  <c r="G13" i="10"/>
  <c r="F13" i="10"/>
  <c r="E13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D11" i="10"/>
  <c r="D10" i="10"/>
  <c r="D9" i="10"/>
  <c r="F7" i="10"/>
  <c r="G7" i="10" s="1"/>
  <c r="E6" i="10"/>
  <c r="A3" i="10"/>
  <c r="F2" i="10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F27" i="9"/>
  <c r="AF25" i="9"/>
  <c r="E63" i="10" l="1"/>
  <c r="E64" i="10" s="1"/>
  <c r="AC72" i="10"/>
  <c r="AC1" i="10" s="1"/>
  <c r="D14" i="10"/>
  <c r="J41" i="10"/>
  <c r="J43" i="10" s="1"/>
  <c r="J63" i="10" s="1"/>
  <c r="J64" i="10" s="1"/>
  <c r="N63" i="10"/>
  <c r="Z63" i="10"/>
  <c r="Z64" i="10" s="1"/>
  <c r="L63" i="10"/>
  <c r="X63" i="10"/>
  <c r="O63" i="10"/>
  <c r="AA63" i="10"/>
  <c r="AA64" i="10" s="1"/>
  <c r="AA72" i="10" s="1"/>
  <c r="AA1" i="10" s="1"/>
  <c r="P63" i="10"/>
  <c r="S63" i="10"/>
  <c r="T63" i="10"/>
  <c r="AF63" i="10"/>
  <c r="Q63" i="10"/>
  <c r="R63" i="10"/>
  <c r="AE63" i="10"/>
  <c r="V63" i="10"/>
  <c r="AH63" i="10"/>
  <c r="AD63" i="10"/>
  <c r="U63" i="10"/>
  <c r="AG63" i="10"/>
  <c r="M63" i="10"/>
  <c r="M64" i="10" s="1"/>
  <c r="Y63" i="10"/>
  <c r="K63" i="10"/>
  <c r="K64" i="10" s="1"/>
  <c r="W63" i="10"/>
  <c r="AI63" i="10"/>
  <c r="F63" i="10"/>
  <c r="F64" i="10" s="1"/>
  <c r="H63" i="10"/>
  <c r="H64" i="10" s="1"/>
  <c r="G43" i="10"/>
  <c r="G63" i="10" s="1"/>
  <c r="G64" i="10" s="1"/>
  <c r="E71" i="10"/>
  <c r="G71" i="10"/>
  <c r="J71" i="10"/>
  <c r="M71" i="10"/>
  <c r="K71" i="10"/>
  <c r="H71" i="10"/>
  <c r="F71" i="10"/>
  <c r="F6" i="10"/>
  <c r="D31" i="10"/>
  <c r="D16" i="10"/>
  <c r="D19" i="10"/>
  <c r="D28" i="10"/>
  <c r="AG4" i="10"/>
  <c r="L4" i="10"/>
  <c r="K5" i="10"/>
  <c r="Y5" i="10"/>
  <c r="AF4" i="10"/>
  <c r="I32" i="10"/>
  <c r="I4" i="10" s="1"/>
  <c r="X5" i="10"/>
  <c r="L5" i="10"/>
  <c r="Q5" i="10"/>
  <c r="AF5" i="10"/>
  <c r="D30" i="10"/>
  <c r="AI43" i="9"/>
  <c r="AH43" i="9"/>
  <c r="Z43" i="9"/>
  <c r="Y43" i="9"/>
  <c r="X43" i="9"/>
  <c r="U43" i="9"/>
  <c r="Q43" i="9"/>
  <c r="P43" i="9"/>
  <c r="D41" i="9"/>
  <c r="I43" i="9"/>
  <c r="G43" i="9"/>
  <c r="AE43" i="9"/>
  <c r="AF43" i="9"/>
  <c r="E43" i="9"/>
  <c r="D37" i="9"/>
  <c r="D39" i="9"/>
  <c r="AE5" i="10"/>
  <c r="AA4" i="10"/>
  <c r="T5" i="10"/>
  <c r="P4" i="10"/>
  <c r="AB4" i="10"/>
  <c r="I5" i="10"/>
  <c r="AG5" i="10"/>
  <c r="Q4" i="10"/>
  <c r="J5" i="10"/>
  <c r="AH5" i="10"/>
  <c r="AI5" i="10"/>
  <c r="E5" i="10"/>
  <c r="Z4" i="10"/>
  <c r="V5" i="10"/>
  <c r="S5" i="10"/>
  <c r="O4" i="10"/>
  <c r="H5" i="10"/>
  <c r="E4" i="10"/>
  <c r="AE4" i="10"/>
  <c r="O5" i="10"/>
  <c r="G4" i="10"/>
  <c r="S4" i="10"/>
  <c r="M5" i="10"/>
  <c r="K4" i="10"/>
  <c r="M4" i="10"/>
  <c r="F5" i="10"/>
  <c r="N4" i="10"/>
  <c r="G5" i="10"/>
  <c r="F4" i="10"/>
  <c r="H4" i="10"/>
  <c r="N5" i="10"/>
  <c r="R4" i="10"/>
  <c r="D23" i="10"/>
  <c r="AA5" i="10"/>
  <c r="W4" i="10"/>
  <c r="D22" i="10"/>
  <c r="U4" i="10"/>
  <c r="AB5" i="10"/>
  <c r="X4" i="10"/>
  <c r="AC5" i="10"/>
  <c r="AC4" i="10"/>
  <c r="AD4" i="10"/>
  <c r="T4" i="10"/>
  <c r="Z5" i="10"/>
  <c r="V4" i="10"/>
  <c r="Y4" i="10"/>
  <c r="R5" i="10"/>
  <c r="AD5" i="10"/>
  <c r="D12" i="10"/>
  <c r="W5" i="10"/>
  <c r="AI4" i="10"/>
  <c r="D33" i="10"/>
  <c r="U5" i="10"/>
  <c r="AH4" i="10"/>
  <c r="P5" i="10"/>
  <c r="H7" i="10"/>
  <c r="G6" i="10"/>
  <c r="D13" i="10"/>
  <c r="J4" i="10"/>
  <c r="D29" i="10"/>
  <c r="AI26" i="9"/>
  <c r="AH26" i="9"/>
  <c r="W17" i="9"/>
  <c r="W27" i="9"/>
  <c r="U27" i="9"/>
  <c r="U25" i="9"/>
  <c r="U17" i="9"/>
  <c r="S29" i="9"/>
  <c r="S28" i="9"/>
  <c r="S21" i="9"/>
  <c r="S20" i="9"/>
  <c r="S13" i="9"/>
  <c r="S12" i="9"/>
  <c r="P27" i="9"/>
  <c r="P26" i="9"/>
  <c r="O12" i="9"/>
  <c r="O13" i="9"/>
  <c r="F72" i="10" l="1"/>
  <c r="E72" i="10"/>
  <c r="M72" i="10"/>
  <c r="M1" i="10" s="1"/>
  <c r="AG64" i="10"/>
  <c r="AG72" i="10" s="1"/>
  <c r="AG1" i="10" s="1"/>
  <c r="AD64" i="10"/>
  <c r="AD72" i="10" s="1"/>
  <c r="AD1" i="10" s="1"/>
  <c r="G72" i="10"/>
  <c r="I72" i="10"/>
  <c r="AB64" i="10"/>
  <c r="AB72" i="10" s="1"/>
  <c r="AB1" i="10" s="1"/>
  <c r="AH64" i="10"/>
  <c r="AH72" i="10" s="1"/>
  <c r="AH1" i="10" s="1"/>
  <c r="AI64" i="10"/>
  <c r="AI72" i="10" s="1"/>
  <c r="AI1" i="10" s="1"/>
  <c r="AE64" i="10"/>
  <c r="AE72" i="10" s="1"/>
  <c r="AE1" i="10" s="1"/>
  <c r="J72" i="10"/>
  <c r="K72" i="10"/>
  <c r="AF64" i="10"/>
  <c r="AF72" i="10" s="1"/>
  <c r="AF1" i="10" s="1"/>
  <c r="Y64" i="10"/>
  <c r="Y72" i="10" s="1"/>
  <c r="Y1" i="10" s="1"/>
  <c r="X64" i="10"/>
  <c r="X72" i="10" s="1"/>
  <c r="X1" i="10" s="1"/>
  <c r="W64" i="10"/>
  <c r="W72" i="10" s="1"/>
  <c r="W1" i="10" s="1"/>
  <c r="V64" i="10"/>
  <c r="V72" i="10" s="1"/>
  <c r="V1" i="10" s="1"/>
  <c r="U64" i="10"/>
  <c r="U72" i="10" s="1"/>
  <c r="U1" i="10" s="1"/>
  <c r="T64" i="10"/>
  <c r="T72" i="10" s="1"/>
  <c r="T1" i="10" s="1"/>
  <c r="S64" i="10"/>
  <c r="S72" i="10" s="1"/>
  <c r="S1" i="10" s="1"/>
  <c r="R64" i="10"/>
  <c r="R72" i="10" s="1"/>
  <c r="R1" i="10" s="1"/>
  <c r="Q64" i="10"/>
  <c r="Q72" i="10" s="1"/>
  <c r="Q1" i="10" s="1"/>
  <c r="P64" i="10"/>
  <c r="P72" i="10" s="1"/>
  <c r="P1" i="10" s="1"/>
  <c r="O64" i="10"/>
  <c r="O72" i="10" s="1"/>
  <c r="O1" i="10" s="1"/>
  <c r="N64" i="10"/>
  <c r="N72" i="10" s="1"/>
  <c r="N1" i="10" s="1"/>
  <c r="L64" i="10"/>
  <c r="L72" i="10" s="1"/>
  <c r="AF3" i="10"/>
  <c r="M3" i="10"/>
  <c r="AG3" i="10"/>
  <c r="L3" i="10"/>
  <c r="X3" i="10"/>
  <c r="K3" i="10"/>
  <c r="D32" i="10"/>
  <c r="D4" i="10" s="1"/>
  <c r="Q3" i="10"/>
  <c r="Y3" i="10"/>
  <c r="AA3" i="10"/>
  <c r="AE3" i="10"/>
  <c r="AB3" i="10"/>
  <c r="T3" i="10"/>
  <c r="Z3" i="10"/>
  <c r="N3" i="10"/>
  <c r="O3" i="10"/>
  <c r="H3" i="10"/>
  <c r="I3" i="10"/>
  <c r="D43" i="9"/>
  <c r="AI3" i="10"/>
  <c r="J3" i="10"/>
  <c r="AD3" i="10"/>
  <c r="P3" i="10"/>
  <c r="R3" i="10"/>
  <c r="V3" i="10"/>
  <c r="AH3" i="10"/>
  <c r="F3" i="10"/>
  <c r="E3" i="10"/>
  <c r="S3" i="10"/>
  <c r="AC3" i="10"/>
  <c r="U3" i="10"/>
  <c r="G3" i="10"/>
  <c r="W3" i="10"/>
  <c r="I7" i="10"/>
  <c r="H6" i="10"/>
  <c r="D5" i="10"/>
  <c r="F30" i="7"/>
  <c r="F29" i="7"/>
  <c r="F17" i="7"/>
  <c r="F4" i="7"/>
  <c r="F34" i="9"/>
  <c r="G34" i="9" s="1"/>
  <c r="H34" i="9" s="1"/>
  <c r="I34" i="9" s="1"/>
  <c r="J34" i="9" s="1"/>
  <c r="K34" i="9" s="1"/>
  <c r="L34" i="9" s="1"/>
  <c r="M34" i="9" s="1"/>
  <c r="N34" i="9" s="1"/>
  <c r="O34" i="9" s="1"/>
  <c r="P34" i="9" s="1"/>
  <c r="Q34" i="9" s="1"/>
  <c r="R34" i="9" s="1"/>
  <c r="S34" i="9" s="1"/>
  <c r="T34" i="9" s="1"/>
  <c r="U34" i="9" s="1"/>
  <c r="V34" i="9" s="1"/>
  <c r="W34" i="9" s="1"/>
  <c r="X34" i="9" s="1"/>
  <c r="Y34" i="9" s="1"/>
  <c r="Z34" i="9" s="1"/>
  <c r="AA34" i="9" s="1"/>
  <c r="AB34" i="9" s="1"/>
  <c r="AC34" i="9" s="1"/>
  <c r="AD34" i="9" s="1"/>
  <c r="AE34" i="9" s="1"/>
  <c r="AF34" i="9" s="1"/>
  <c r="AG34" i="9" s="1"/>
  <c r="AH34" i="9" s="1"/>
  <c r="AI34" i="9" s="1"/>
  <c r="D30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7" i="9"/>
  <c r="D26" i="9"/>
  <c r="D25" i="9"/>
  <c r="D24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R21" i="9"/>
  <c r="Q21" i="9"/>
  <c r="P21" i="9"/>
  <c r="O21" i="9"/>
  <c r="N21" i="9"/>
  <c r="L21" i="9"/>
  <c r="K21" i="9"/>
  <c r="J21" i="9"/>
  <c r="I21" i="9"/>
  <c r="H21" i="9"/>
  <c r="G21" i="9"/>
  <c r="F21" i="9"/>
  <c r="E21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19" i="9"/>
  <c r="D18" i="9"/>
  <c r="D17" i="9"/>
  <c r="D16" i="9"/>
  <c r="D14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5" i="9"/>
  <c r="R13" i="9"/>
  <c r="Q13" i="9"/>
  <c r="P13" i="9"/>
  <c r="N13" i="9"/>
  <c r="L13" i="9"/>
  <c r="K13" i="9"/>
  <c r="J13" i="9"/>
  <c r="I13" i="9"/>
  <c r="H13" i="9"/>
  <c r="G13" i="9"/>
  <c r="F13" i="9"/>
  <c r="E13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R12" i="9"/>
  <c r="Q12" i="9"/>
  <c r="P12" i="9"/>
  <c r="N12" i="9"/>
  <c r="L12" i="9"/>
  <c r="K12" i="9"/>
  <c r="J12" i="9"/>
  <c r="I12" i="9"/>
  <c r="H12" i="9"/>
  <c r="G12" i="9"/>
  <c r="F12" i="9"/>
  <c r="E12" i="9"/>
  <c r="D11" i="9"/>
  <c r="M12" i="9"/>
  <c r="D10" i="9"/>
  <c r="D9" i="9"/>
  <c r="D8" i="9"/>
  <c r="F7" i="9"/>
  <c r="G7" i="9" s="1"/>
  <c r="G6" i="9" s="1"/>
  <c r="E6" i="9"/>
  <c r="A3" i="9"/>
  <c r="F2" i="9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AG2" i="9" s="1"/>
  <c r="AH2" i="9" s="1"/>
  <c r="AI2" i="9" s="1"/>
  <c r="AI29" i="6"/>
  <c r="AI28" i="6"/>
  <c r="AH29" i="6"/>
  <c r="AH28" i="6"/>
  <c r="AG29" i="6"/>
  <c r="AG28" i="6"/>
  <c r="D30" i="8"/>
  <c r="D16" i="8"/>
  <c r="AA28" i="6"/>
  <c r="V20" i="6"/>
  <c r="U20" i="6"/>
  <c r="Q28" i="6"/>
  <c r="D25" i="6"/>
  <c r="L11" i="6"/>
  <c r="L13" i="6" s="1"/>
  <c r="M19" i="6"/>
  <c r="M21" i="6" s="1"/>
  <c r="M17" i="6"/>
  <c r="M11" i="6"/>
  <c r="M13" i="6" s="1"/>
  <c r="M10" i="6"/>
  <c r="M9" i="6"/>
  <c r="H26" i="6"/>
  <c r="E16" i="6"/>
  <c r="E20" i="6" s="1"/>
  <c r="D27" i="6"/>
  <c r="D26" i="6"/>
  <c r="D26" i="7"/>
  <c r="D14" i="7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1" i="6"/>
  <c r="D40" i="6"/>
  <c r="D39" i="6"/>
  <c r="D38" i="6"/>
  <c r="D37" i="6"/>
  <c r="D36" i="6"/>
  <c r="D35" i="6"/>
  <c r="F34" i="6"/>
  <c r="G34" i="6" s="1"/>
  <c r="H34" i="6" s="1"/>
  <c r="I34" i="6" s="1"/>
  <c r="J34" i="6" s="1"/>
  <c r="K34" i="6" s="1"/>
  <c r="L34" i="6" s="1"/>
  <c r="M34" i="6" s="1"/>
  <c r="N34" i="6" s="1"/>
  <c r="O34" i="6" s="1"/>
  <c r="P34" i="6" s="1"/>
  <c r="Q34" i="6" s="1"/>
  <c r="R34" i="6" s="1"/>
  <c r="S34" i="6" s="1"/>
  <c r="T34" i="6" s="1"/>
  <c r="U34" i="6" s="1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AF34" i="6" s="1"/>
  <c r="AG34" i="6" s="1"/>
  <c r="AH34" i="6" s="1"/>
  <c r="AI34" i="6" s="1"/>
  <c r="AF29" i="6"/>
  <c r="AE29" i="6"/>
  <c r="AD29" i="6"/>
  <c r="AC29" i="6"/>
  <c r="AB29" i="6"/>
  <c r="AA29" i="6"/>
  <c r="Z29" i="6"/>
  <c r="Y29" i="6"/>
  <c r="Y5" i="6" s="1"/>
  <c r="X29" i="6"/>
  <c r="W29" i="6"/>
  <c r="V29" i="6"/>
  <c r="U29" i="6"/>
  <c r="T29" i="6"/>
  <c r="S29" i="6"/>
  <c r="R29" i="6"/>
  <c r="P29" i="6"/>
  <c r="O29" i="6"/>
  <c r="N29" i="6"/>
  <c r="M29" i="6"/>
  <c r="L29" i="6"/>
  <c r="K29" i="6"/>
  <c r="J29" i="6"/>
  <c r="I29" i="6"/>
  <c r="H29" i="6"/>
  <c r="G29" i="6"/>
  <c r="F29" i="6"/>
  <c r="E29" i="6"/>
  <c r="AF28" i="6"/>
  <c r="AE28" i="6"/>
  <c r="AD28" i="6"/>
  <c r="AC28" i="6"/>
  <c r="AB28" i="6"/>
  <c r="Z28" i="6"/>
  <c r="Y28" i="6"/>
  <c r="X28" i="6"/>
  <c r="W28" i="6"/>
  <c r="V28" i="6"/>
  <c r="U28" i="6"/>
  <c r="T28" i="6"/>
  <c r="S28" i="6"/>
  <c r="P28" i="6"/>
  <c r="O28" i="6"/>
  <c r="N28" i="6"/>
  <c r="M28" i="6"/>
  <c r="L28" i="6"/>
  <c r="K28" i="6"/>
  <c r="J28" i="6"/>
  <c r="I28" i="6"/>
  <c r="H28" i="6"/>
  <c r="G28" i="6"/>
  <c r="F28" i="6"/>
  <c r="E28" i="6"/>
  <c r="AI21" i="6"/>
  <c r="AH21" i="6"/>
  <c r="AG21" i="6"/>
  <c r="AF21" i="6"/>
  <c r="AE21" i="6"/>
  <c r="AD21" i="6"/>
  <c r="AC21" i="6"/>
  <c r="AB21" i="6"/>
  <c r="AA21" i="6"/>
  <c r="Z21" i="6"/>
  <c r="Y21" i="6"/>
  <c r="X21" i="6"/>
  <c r="V21" i="6"/>
  <c r="U21" i="6"/>
  <c r="T21" i="6"/>
  <c r="S21" i="6"/>
  <c r="R21" i="6"/>
  <c r="Q21" i="6"/>
  <c r="P21" i="6"/>
  <c r="O21" i="6"/>
  <c r="L21" i="6"/>
  <c r="K21" i="6"/>
  <c r="J21" i="6"/>
  <c r="I21" i="6"/>
  <c r="H21" i="6"/>
  <c r="F21" i="6"/>
  <c r="E21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T20" i="6"/>
  <c r="S20" i="6"/>
  <c r="R20" i="6"/>
  <c r="P20" i="6"/>
  <c r="O20" i="6"/>
  <c r="M20" i="6"/>
  <c r="L20" i="6"/>
  <c r="K20" i="6"/>
  <c r="J20" i="6"/>
  <c r="I20" i="6"/>
  <c r="H20" i="6"/>
  <c r="G20" i="6"/>
  <c r="F20" i="6"/>
  <c r="W21" i="6"/>
  <c r="D18" i="6"/>
  <c r="N21" i="6"/>
  <c r="G21" i="6"/>
  <c r="D17" i="6"/>
  <c r="Q20" i="6"/>
  <c r="AI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Q13" i="6"/>
  <c r="P13" i="6"/>
  <c r="O13" i="6"/>
  <c r="N13" i="6"/>
  <c r="I13" i="6"/>
  <c r="F13" i="6"/>
  <c r="E13" i="6"/>
  <c r="AI12" i="6"/>
  <c r="AH12" i="6"/>
  <c r="AH4" i="6" s="1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1" i="6"/>
  <c r="D10" i="6"/>
  <c r="AH13" i="6"/>
  <c r="D9" i="6"/>
  <c r="K13" i="6"/>
  <c r="H13" i="6"/>
  <c r="G13" i="6"/>
  <c r="D8" i="6"/>
  <c r="F7" i="6"/>
  <c r="G7" i="6" s="1"/>
  <c r="H7" i="6" s="1"/>
  <c r="I7" i="6" s="1"/>
  <c r="J7" i="6" s="1"/>
  <c r="K7" i="6" s="1"/>
  <c r="L7" i="6" s="1"/>
  <c r="J6" i="6"/>
  <c r="I6" i="6"/>
  <c r="F6" i="6"/>
  <c r="E6" i="6"/>
  <c r="A3" i="6"/>
  <c r="F2" i="6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AG2" i="6" s="1"/>
  <c r="AH2" i="6" s="1"/>
  <c r="AI2" i="6" s="1"/>
  <c r="D63" i="5"/>
  <c r="AH9" i="3"/>
  <c r="AF11" i="3"/>
  <c r="Y12" i="3"/>
  <c r="Y13" i="3"/>
  <c r="E53" i="5"/>
  <c r="D21" i="5"/>
  <c r="W19" i="3"/>
  <c r="D52" i="5"/>
  <c r="E20" i="5"/>
  <c r="D20" i="5"/>
  <c r="F51" i="5"/>
  <c r="D65" i="5"/>
  <c r="D33" i="5"/>
  <c r="S9" i="3"/>
  <c r="R24" i="3"/>
  <c r="F6" i="9" l="1"/>
  <c r="I4" i="9"/>
  <c r="E5" i="9"/>
  <c r="AD5" i="9"/>
  <c r="T5" i="9"/>
  <c r="AF5" i="9"/>
  <c r="E4" i="9"/>
  <c r="B3" i="10"/>
  <c r="D3" i="10"/>
  <c r="B4" i="10" s="1"/>
  <c r="B5" i="10"/>
  <c r="I6" i="10"/>
  <c r="J7" i="10"/>
  <c r="AG5" i="9"/>
  <c r="AI5" i="9"/>
  <c r="AE5" i="9"/>
  <c r="AC5" i="9"/>
  <c r="Y5" i="9"/>
  <c r="Y4" i="9"/>
  <c r="X5" i="9"/>
  <c r="X4" i="9"/>
  <c r="W5" i="9"/>
  <c r="U5" i="9"/>
  <c r="U4" i="9"/>
  <c r="U3" i="9" s="1"/>
  <c r="Q5" i="9"/>
  <c r="L5" i="9"/>
  <c r="L4" i="9"/>
  <c r="F5" i="9"/>
  <c r="R5" i="9"/>
  <c r="O4" i="9"/>
  <c r="H5" i="9"/>
  <c r="I5" i="9"/>
  <c r="Q4" i="9"/>
  <c r="G5" i="9"/>
  <c r="AB4" i="9"/>
  <c r="AB3" i="9" s="1"/>
  <c r="AC4" i="9"/>
  <c r="AA4" i="9"/>
  <c r="P4" i="9"/>
  <c r="D29" i="9"/>
  <c r="D28" i="9"/>
  <c r="K5" i="9"/>
  <c r="S4" i="9"/>
  <c r="S3" i="9" s="1"/>
  <c r="T4" i="9"/>
  <c r="T3" i="9" s="1"/>
  <c r="AG4" i="9"/>
  <c r="I3" i="9"/>
  <c r="AE4" i="9"/>
  <c r="G4" i="9"/>
  <c r="AF4" i="9"/>
  <c r="AF3" i="9" s="1"/>
  <c r="H4" i="9"/>
  <c r="H3" i="9" s="1"/>
  <c r="D20" i="9"/>
  <c r="N4" i="9"/>
  <c r="Z4" i="9"/>
  <c r="V5" i="9"/>
  <c r="AD4" i="9"/>
  <c r="N5" i="9"/>
  <c r="Z5" i="9"/>
  <c r="J4" i="9"/>
  <c r="V4" i="9"/>
  <c r="AH4" i="9"/>
  <c r="O5" i="9"/>
  <c r="AA5" i="9"/>
  <c r="AH5" i="9"/>
  <c r="R4" i="9"/>
  <c r="K4" i="9"/>
  <c r="W4" i="9"/>
  <c r="AI4" i="9"/>
  <c r="P5" i="9"/>
  <c r="AB5" i="9"/>
  <c r="M4" i="9"/>
  <c r="D12" i="9"/>
  <c r="F4" i="9"/>
  <c r="H7" i="9"/>
  <c r="J5" i="9"/>
  <c r="M13" i="9"/>
  <c r="D13" i="9" s="1"/>
  <c r="M21" i="9"/>
  <c r="D21" i="9" s="1"/>
  <c r="AH5" i="6"/>
  <c r="AD4" i="6"/>
  <c r="AD3" i="6" s="1"/>
  <c r="AD5" i="6"/>
  <c r="AC4" i="6"/>
  <c r="AC5" i="6"/>
  <c r="AC3" i="6" s="1"/>
  <c r="AB5" i="6"/>
  <c r="X5" i="6"/>
  <c r="D24" i="6"/>
  <c r="Q29" i="6"/>
  <c r="Q5" i="6" s="1"/>
  <c r="P4" i="6"/>
  <c r="P5" i="6"/>
  <c r="O5" i="6"/>
  <c r="D19" i="6"/>
  <c r="M5" i="6"/>
  <c r="I5" i="6"/>
  <c r="E4" i="6"/>
  <c r="F4" i="6"/>
  <c r="S4" i="6"/>
  <c r="AG4" i="6"/>
  <c r="V4" i="6"/>
  <c r="AI4" i="6"/>
  <c r="AI3" i="6" s="1"/>
  <c r="L4" i="6"/>
  <c r="Z5" i="6"/>
  <c r="G4" i="6"/>
  <c r="U4" i="6"/>
  <c r="W4" i="6"/>
  <c r="Z4" i="6"/>
  <c r="AB4" i="6"/>
  <c r="AA5" i="6"/>
  <c r="O4" i="6"/>
  <c r="AI5" i="6"/>
  <c r="L5" i="6"/>
  <c r="M4" i="6"/>
  <c r="N5" i="6"/>
  <c r="S5" i="6"/>
  <c r="AE5" i="6"/>
  <c r="AH3" i="6"/>
  <c r="T5" i="6"/>
  <c r="AF5" i="6"/>
  <c r="H5" i="6"/>
  <c r="U5" i="6"/>
  <c r="AG5" i="6"/>
  <c r="H4" i="6"/>
  <c r="I4" i="6"/>
  <c r="F5" i="6"/>
  <c r="E5" i="6"/>
  <c r="T4" i="6"/>
  <c r="AF4" i="6"/>
  <c r="G6" i="6"/>
  <c r="D21" i="6"/>
  <c r="H6" i="6"/>
  <c r="K5" i="6"/>
  <c r="D42" i="6"/>
  <c r="M7" i="6"/>
  <c r="L6" i="6"/>
  <c r="G5" i="6"/>
  <c r="R28" i="6"/>
  <c r="Y4" i="6"/>
  <c r="Y3" i="6" s="1"/>
  <c r="R13" i="6"/>
  <c r="K6" i="6"/>
  <c r="X4" i="6"/>
  <c r="N20" i="6"/>
  <c r="N4" i="6" s="1"/>
  <c r="J4" i="6"/>
  <c r="V5" i="6"/>
  <c r="K4" i="6"/>
  <c r="AA4" i="6"/>
  <c r="J13" i="6"/>
  <c r="J5" i="6" s="1"/>
  <c r="D12" i="6"/>
  <c r="W5" i="6"/>
  <c r="D16" i="6"/>
  <c r="Q4" i="6"/>
  <c r="AE4" i="6"/>
  <c r="R9" i="3"/>
  <c r="E3" i="9" l="1"/>
  <c r="AD3" i="9"/>
  <c r="AC3" i="9"/>
  <c r="Z3" i="9"/>
  <c r="AG3" i="9"/>
  <c r="J6" i="10"/>
  <c r="K7" i="10"/>
  <c r="AI3" i="9"/>
  <c r="AE3" i="9"/>
  <c r="AA3" i="9"/>
  <c r="Y3" i="9"/>
  <c r="X3" i="9"/>
  <c r="W3" i="9"/>
  <c r="R3" i="9"/>
  <c r="Q3" i="9"/>
  <c r="O3" i="9"/>
  <c r="N3" i="9"/>
  <c r="K3" i="9"/>
  <c r="L3" i="9"/>
  <c r="G3" i="9"/>
  <c r="F3" i="9"/>
  <c r="D4" i="9"/>
  <c r="P3" i="9"/>
  <c r="AH3" i="9"/>
  <c r="J3" i="9"/>
  <c r="V3" i="9"/>
  <c r="H6" i="9"/>
  <c r="I7" i="9"/>
  <c r="D5" i="9"/>
  <c r="M5" i="9"/>
  <c r="M3" i="9" s="1"/>
  <c r="AG3" i="6"/>
  <c r="AB3" i="6"/>
  <c r="Z3" i="6"/>
  <c r="X3" i="6"/>
  <c r="V3" i="6"/>
  <c r="T3" i="6"/>
  <c r="D29" i="6"/>
  <c r="Q3" i="6"/>
  <c r="P3" i="6"/>
  <c r="O3" i="6"/>
  <c r="M3" i="6"/>
  <c r="L3" i="6"/>
  <c r="I3" i="6"/>
  <c r="F3" i="6"/>
  <c r="E3" i="6"/>
  <c r="N3" i="6"/>
  <c r="U3" i="6"/>
  <c r="W3" i="6"/>
  <c r="D30" i="6"/>
  <c r="J3" i="6"/>
  <c r="G3" i="6"/>
  <c r="AA3" i="6"/>
  <c r="AF3" i="6"/>
  <c r="S3" i="6"/>
  <c r="D28" i="6"/>
  <c r="AE3" i="6"/>
  <c r="H3" i="6"/>
  <c r="K3" i="6"/>
  <c r="R4" i="6"/>
  <c r="M6" i="6"/>
  <c r="N7" i="6"/>
  <c r="D14" i="6"/>
  <c r="R5" i="6"/>
  <c r="D20" i="6"/>
  <c r="D13" i="6"/>
  <c r="Q25" i="3"/>
  <c r="K6" i="10" l="1"/>
  <c r="L7" i="10"/>
  <c r="B3" i="9"/>
  <c r="B5" i="9"/>
  <c r="D3" i="9"/>
  <c r="B4" i="9" s="1"/>
  <c r="I6" i="9"/>
  <c r="J7" i="9"/>
  <c r="D5" i="6"/>
  <c r="D4" i="6"/>
  <c r="R3" i="6"/>
  <c r="B3" i="6" s="1"/>
  <c r="N6" i="6"/>
  <c r="O7" i="6"/>
  <c r="Q16" i="3"/>
  <c r="Q18" i="3"/>
  <c r="D18" i="3" s="1"/>
  <c r="Q28" i="3"/>
  <c r="P25" i="3"/>
  <c r="P17" i="3"/>
  <c r="E30" i="3"/>
  <c r="N17" i="3"/>
  <c r="N9" i="3"/>
  <c r="N19" i="3"/>
  <c r="D19" i="3" s="1"/>
  <c r="N18" i="3"/>
  <c r="L9" i="3"/>
  <c r="D27" i="3"/>
  <c r="K9" i="3"/>
  <c r="J9" i="3"/>
  <c r="J11" i="3"/>
  <c r="I17" i="3"/>
  <c r="I9" i="3"/>
  <c r="D26" i="3"/>
  <c r="H9" i="3"/>
  <c r="G9" i="3"/>
  <c r="G17" i="3"/>
  <c r="N11" i="3"/>
  <c r="D25" i="3"/>
  <c r="D24" i="3"/>
  <c r="D16" i="3"/>
  <c r="D10" i="3"/>
  <c r="D8" i="3"/>
  <c r="L6" i="10" l="1"/>
  <c r="M7" i="10"/>
  <c r="J6" i="9"/>
  <c r="K7" i="9"/>
  <c r="D3" i="6"/>
  <c r="B4" i="6" s="1"/>
  <c r="B5" i="6"/>
  <c r="O6" i="6"/>
  <c r="P7" i="6"/>
  <c r="D11" i="3"/>
  <c r="D17" i="3"/>
  <c r="D9" i="3"/>
  <c r="E6" i="3"/>
  <c r="M6" i="10" l="1"/>
  <c r="N7" i="10"/>
  <c r="K6" i="9"/>
  <c r="L7" i="9"/>
  <c r="P6" i="6"/>
  <c r="Q7" i="6"/>
  <c r="AA29" i="3"/>
  <c r="AA28" i="3"/>
  <c r="Z29" i="3"/>
  <c r="Z28" i="3"/>
  <c r="O7" i="10" l="1"/>
  <c r="N6" i="10"/>
  <c r="L6" i="9"/>
  <c r="M7" i="9"/>
  <c r="Q6" i="6"/>
  <c r="R7" i="6"/>
  <c r="H22" i="3"/>
  <c r="G29" i="3"/>
  <c r="G13" i="3"/>
  <c r="G12" i="3"/>
  <c r="E29" i="3"/>
  <c r="AD29" i="3"/>
  <c r="AC29" i="3"/>
  <c r="AB29" i="3"/>
  <c r="AD28" i="3"/>
  <c r="AC28" i="3"/>
  <c r="AB28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1" i="3"/>
  <c r="D40" i="3"/>
  <c r="D39" i="3"/>
  <c r="D38" i="3"/>
  <c r="D37" i="3"/>
  <c r="D36" i="3"/>
  <c r="D35" i="3"/>
  <c r="F34" i="3"/>
  <c r="G34" i="3" s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I29" i="3"/>
  <c r="AG29" i="3"/>
  <c r="AF29" i="3"/>
  <c r="AE29" i="3"/>
  <c r="Y29" i="3"/>
  <c r="V29" i="3"/>
  <c r="S29" i="3"/>
  <c r="R29" i="3"/>
  <c r="Q29" i="3"/>
  <c r="P29" i="3"/>
  <c r="O29" i="3"/>
  <c r="N29" i="3"/>
  <c r="M29" i="3"/>
  <c r="L29" i="3"/>
  <c r="K29" i="3"/>
  <c r="H29" i="3"/>
  <c r="F29" i="3"/>
  <c r="AI28" i="3"/>
  <c r="AH28" i="3"/>
  <c r="AG28" i="3"/>
  <c r="AF28" i="3"/>
  <c r="AE28" i="3"/>
  <c r="Y28" i="3"/>
  <c r="X28" i="3"/>
  <c r="W28" i="3"/>
  <c r="V28" i="3"/>
  <c r="U28" i="3"/>
  <c r="T28" i="3"/>
  <c r="S28" i="3"/>
  <c r="R28" i="3"/>
  <c r="P28" i="3"/>
  <c r="O28" i="3"/>
  <c r="N28" i="3"/>
  <c r="M28" i="3"/>
  <c r="L28" i="3"/>
  <c r="J28" i="3"/>
  <c r="I28" i="3"/>
  <c r="H28" i="3"/>
  <c r="G28" i="3"/>
  <c r="F28" i="3"/>
  <c r="E28" i="3"/>
  <c r="AH29" i="3"/>
  <c r="X29" i="3"/>
  <c r="W29" i="3"/>
  <c r="U29" i="3"/>
  <c r="T29" i="3"/>
  <c r="J29" i="3"/>
  <c r="I29" i="3"/>
  <c r="K28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AI20" i="3"/>
  <c r="AH20" i="3"/>
  <c r="AG20" i="3"/>
  <c r="AF20" i="3"/>
  <c r="AE20" i="3"/>
  <c r="AD20" i="3"/>
  <c r="AC20" i="3"/>
  <c r="AB20" i="3"/>
  <c r="AA20" i="3"/>
  <c r="Z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3" i="3"/>
  <c r="AH13" i="3"/>
  <c r="AG13" i="3"/>
  <c r="AF13" i="3"/>
  <c r="AE13" i="3"/>
  <c r="AD13" i="3"/>
  <c r="AC13" i="3"/>
  <c r="AB13" i="3"/>
  <c r="AA13" i="3"/>
  <c r="Z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F13" i="3"/>
  <c r="E13" i="3"/>
  <c r="AI12" i="3"/>
  <c r="AH12" i="3"/>
  <c r="AG12" i="3"/>
  <c r="AF12" i="3"/>
  <c r="AE12" i="3"/>
  <c r="AD12" i="3"/>
  <c r="AC12" i="3"/>
  <c r="AB12" i="3"/>
  <c r="AA12" i="3"/>
  <c r="Z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F12" i="3"/>
  <c r="E12" i="3"/>
  <c r="F7" i="3"/>
  <c r="A3" i="3"/>
  <c r="F2" i="3"/>
  <c r="G2" i="3" s="1"/>
  <c r="H2" i="3" s="1"/>
  <c r="I2" i="3" s="1"/>
  <c r="J2" i="3" s="1"/>
  <c r="K2" i="3" s="1"/>
  <c r="L2" i="3" s="1"/>
  <c r="M2" i="3" s="1"/>
  <c r="O6" i="10" l="1"/>
  <c r="P7" i="10"/>
  <c r="N7" i="9"/>
  <c r="M6" i="9"/>
  <c r="S7" i="6"/>
  <c r="R6" i="6"/>
  <c r="AG14" i="3"/>
  <c r="G7" i="3"/>
  <c r="F6" i="3"/>
  <c r="X14" i="3"/>
  <c r="AG5" i="3"/>
  <c r="Y14" i="3"/>
  <c r="U4" i="3"/>
  <c r="O14" i="3"/>
  <c r="U5" i="3"/>
  <c r="U3" i="3" s="1"/>
  <c r="M14" i="3"/>
  <c r="M5" i="3"/>
  <c r="V4" i="3"/>
  <c r="Q30" i="3"/>
  <c r="J4" i="3"/>
  <c r="I4" i="3"/>
  <c r="AD4" i="3"/>
  <c r="W4" i="3"/>
  <c r="R30" i="3"/>
  <c r="K4" i="3"/>
  <c r="K14" i="3"/>
  <c r="I5" i="3"/>
  <c r="G4" i="3"/>
  <c r="D42" i="3"/>
  <c r="AC4" i="3"/>
  <c r="V5" i="3"/>
  <c r="AH5" i="3"/>
  <c r="AI5" i="3"/>
  <c r="Z4" i="3"/>
  <c r="J5" i="3"/>
  <c r="AI4" i="3"/>
  <c r="P30" i="3"/>
  <c r="N5" i="3"/>
  <c r="F4" i="3"/>
  <c r="L5" i="3"/>
  <c r="D21" i="3"/>
  <c r="AE4" i="3"/>
  <c r="S4" i="3"/>
  <c r="AG4" i="3"/>
  <c r="D22" i="3"/>
  <c r="AH4" i="3"/>
  <c r="AA5" i="3"/>
  <c r="K5" i="3"/>
  <c r="E5" i="3"/>
  <c r="AC5" i="3"/>
  <c r="L4" i="3"/>
  <c r="X4" i="3"/>
  <c r="F5" i="3"/>
  <c r="R5" i="3"/>
  <c r="AD5" i="3"/>
  <c r="M4" i="3"/>
  <c r="N4" i="3"/>
  <c r="D12" i="3"/>
  <c r="R14" i="3"/>
  <c r="W5" i="3"/>
  <c r="T14" i="3"/>
  <c r="AF14" i="3"/>
  <c r="X5" i="3"/>
  <c r="I14" i="3"/>
  <c r="J14" i="3"/>
  <c r="AH14" i="3"/>
  <c r="Y5" i="3"/>
  <c r="T4" i="3"/>
  <c r="W14" i="3"/>
  <c r="AI14" i="3"/>
  <c r="P5" i="3"/>
  <c r="AB5" i="3"/>
  <c r="Z5" i="3"/>
  <c r="Q5" i="3"/>
  <c r="S5" i="3"/>
  <c r="O4" i="3"/>
  <c r="AA4" i="3"/>
  <c r="H5" i="3"/>
  <c r="T5" i="3"/>
  <c r="AF5" i="3"/>
  <c r="AA14" i="3"/>
  <c r="D29" i="3"/>
  <c r="D13" i="3"/>
  <c r="G5" i="3"/>
  <c r="P4" i="3"/>
  <c r="AB4" i="3"/>
  <c r="O5" i="3"/>
  <c r="H4" i="3"/>
  <c r="AF4" i="3"/>
  <c r="AE5" i="3"/>
  <c r="Q4" i="3"/>
  <c r="N2" i="3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R4" i="3"/>
  <c r="D28" i="3"/>
  <c r="E4" i="3"/>
  <c r="Y20" i="3"/>
  <c r="Y4" i="3" s="1"/>
  <c r="S14" i="3"/>
  <c r="AE14" i="3"/>
  <c r="Q7" i="10" l="1"/>
  <c r="P6" i="10"/>
  <c r="O7" i="9"/>
  <c r="N6" i="9"/>
  <c r="T7" i="6"/>
  <c r="S6" i="6"/>
  <c r="AG3" i="3"/>
  <c r="K3" i="3"/>
  <c r="H7" i="3"/>
  <c r="G6" i="3"/>
  <c r="AC3" i="3"/>
  <c r="Z3" i="3"/>
  <c r="V3" i="3"/>
  <c r="M3" i="3"/>
  <c r="X3" i="3"/>
  <c r="AI3" i="3"/>
  <c r="AH3" i="3"/>
  <c r="I3" i="3"/>
  <c r="N3" i="3"/>
  <c r="L3" i="3"/>
  <c r="J3" i="3"/>
  <c r="AD3" i="3"/>
  <c r="W3" i="3"/>
  <c r="P3" i="3"/>
  <c r="G3" i="3"/>
  <c r="D30" i="3"/>
  <c r="R3" i="3"/>
  <c r="AB3" i="3"/>
  <c r="Y3" i="3"/>
  <c r="S3" i="3"/>
  <c r="AE3" i="3"/>
  <c r="F3" i="3"/>
  <c r="D5" i="3"/>
  <c r="E3" i="3"/>
  <c r="AA3" i="3"/>
  <c r="Q3" i="3"/>
  <c r="AF3" i="3"/>
  <c r="O3" i="3"/>
  <c r="T3" i="3"/>
  <c r="D14" i="3"/>
  <c r="H3" i="3"/>
  <c r="D20" i="3"/>
  <c r="D4" i="3" s="1"/>
  <c r="R7" i="10" l="1"/>
  <c r="Q6" i="10"/>
  <c r="P7" i="9"/>
  <c r="O6" i="9"/>
  <c r="U7" i="6"/>
  <c r="T6" i="6"/>
  <c r="I7" i="3"/>
  <c r="H6" i="3"/>
  <c r="B3" i="3"/>
  <c r="B5" i="3"/>
  <c r="D3" i="3"/>
  <c r="B4" i="3" s="1"/>
  <c r="R6" i="10" l="1"/>
  <c r="S7" i="10"/>
  <c r="Q7" i="9"/>
  <c r="P6" i="9"/>
  <c r="V7" i="6"/>
  <c r="U6" i="6"/>
  <c r="J7" i="3"/>
  <c r="I6" i="3"/>
  <c r="T7" i="10" l="1"/>
  <c r="S6" i="10"/>
  <c r="R7" i="9"/>
  <c r="Q6" i="9"/>
  <c r="W7" i="6"/>
  <c r="V6" i="6"/>
  <c r="K7" i="3"/>
  <c r="J6" i="3"/>
  <c r="U7" i="10" l="1"/>
  <c r="T6" i="10"/>
  <c r="R6" i="9"/>
  <c r="S7" i="9"/>
  <c r="X7" i="6"/>
  <c r="W6" i="6"/>
  <c r="L7" i="3"/>
  <c r="K6" i="3"/>
  <c r="U6" i="10" l="1"/>
  <c r="V7" i="10"/>
  <c r="S6" i="9"/>
  <c r="T7" i="9"/>
  <c r="X6" i="6"/>
  <c r="Y7" i="6"/>
  <c r="M7" i="3"/>
  <c r="L6" i="3"/>
  <c r="V6" i="10" l="1"/>
  <c r="W7" i="10"/>
  <c r="T6" i="9"/>
  <c r="U7" i="9"/>
  <c r="Y6" i="6"/>
  <c r="Z7" i="6"/>
  <c r="N7" i="3"/>
  <c r="M6" i="3"/>
  <c r="X7" i="10" l="1"/>
  <c r="W6" i="10"/>
  <c r="U6" i="9"/>
  <c r="V7" i="9"/>
  <c r="Z6" i="6"/>
  <c r="AA7" i="6"/>
  <c r="O7" i="3"/>
  <c r="N6" i="3"/>
  <c r="Y7" i="10" l="1"/>
  <c r="X6" i="10"/>
  <c r="V6" i="9"/>
  <c r="W7" i="9"/>
  <c r="AA6" i="6"/>
  <c r="AB7" i="6"/>
  <c r="P7" i="3"/>
  <c r="O6" i="3"/>
  <c r="Z7" i="10" l="1"/>
  <c r="Y6" i="10"/>
  <c r="X7" i="9"/>
  <c r="W6" i="9"/>
  <c r="AB6" i="6"/>
  <c r="AC7" i="6"/>
  <c r="Q7" i="3"/>
  <c r="P6" i="3"/>
  <c r="Z6" i="10" l="1"/>
  <c r="AA7" i="10"/>
  <c r="X6" i="9"/>
  <c r="Y7" i="9"/>
  <c r="AD7" i="6"/>
  <c r="AC6" i="6"/>
  <c r="R7" i="3"/>
  <c r="Q6" i="3"/>
  <c r="AA6" i="10" l="1"/>
  <c r="AB7" i="10"/>
  <c r="Z7" i="9"/>
  <c r="Y6" i="9"/>
  <c r="AE7" i="6"/>
  <c r="AD6" i="6"/>
  <c r="S7" i="3"/>
  <c r="R6" i="3"/>
  <c r="AC7" i="10" l="1"/>
  <c r="AB6" i="10"/>
  <c r="AA7" i="9"/>
  <c r="Z6" i="9"/>
  <c r="AF7" i="6"/>
  <c r="AE6" i="6"/>
  <c r="T7" i="3"/>
  <c r="S6" i="3"/>
  <c r="AD7" i="10" l="1"/>
  <c r="AC6" i="10"/>
  <c r="AB7" i="9"/>
  <c r="AA6" i="9"/>
  <c r="AG7" i="6"/>
  <c r="AF6" i="6"/>
  <c r="U7" i="3"/>
  <c r="T6" i="3"/>
  <c r="AD6" i="10" l="1"/>
  <c r="AE7" i="10"/>
  <c r="AC7" i="9"/>
  <c r="AB6" i="9"/>
  <c r="AH7" i="6"/>
  <c r="AG6" i="6"/>
  <c r="V7" i="3"/>
  <c r="U6" i="3"/>
  <c r="AE6" i="10" l="1"/>
  <c r="AF7" i="10"/>
  <c r="AD7" i="9"/>
  <c r="AC6" i="9"/>
  <c r="AH6" i="6"/>
  <c r="AI7" i="6"/>
  <c r="AI6" i="6" s="1"/>
  <c r="W7" i="3"/>
  <c r="V6" i="3"/>
  <c r="AG7" i="10" l="1"/>
  <c r="AF6" i="10"/>
  <c r="AD6" i="9"/>
  <c r="AE7" i="9"/>
  <c r="X7" i="3"/>
  <c r="W6" i="3"/>
  <c r="AG6" i="10" l="1"/>
  <c r="AH7" i="10"/>
  <c r="AE6" i="9"/>
  <c r="AF7" i="9"/>
  <c r="Y7" i="3"/>
  <c r="X6" i="3"/>
  <c r="AH6" i="10" l="1"/>
  <c r="AI7" i="10"/>
  <c r="AI6" i="10" s="1"/>
  <c r="AF6" i="9"/>
  <c r="AG7" i="9"/>
  <c r="Z7" i="3"/>
  <c r="Y6" i="3"/>
  <c r="AG6" i="9" l="1"/>
  <c r="AH7" i="9"/>
  <c r="AA7" i="3"/>
  <c r="Z6" i="3"/>
  <c r="AH6" i="9" l="1"/>
  <c r="AI7" i="9"/>
  <c r="AI6" i="9" s="1"/>
  <c r="AB7" i="3"/>
  <c r="AA6" i="3"/>
  <c r="AC7" i="3" l="1"/>
  <c r="AB6" i="3"/>
  <c r="AD7" i="3" l="1"/>
  <c r="AC6" i="3"/>
  <c r="AE7" i="3" l="1"/>
  <c r="AD6" i="3"/>
  <c r="AF7" i="3" l="1"/>
  <c r="AE6" i="3"/>
  <c r="AG7" i="3" l="1"/>
  <c r="AF6" i="3"/>
  <c r="AH7" i="3" l="1"/>
  <c r="AG6" i="3"/>
  <c r="AI7" i="3" l="1"/>
  <c r="AI6" i="3" s="1"/>
  <c r="AH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tc={5638FCA8-B0BD-46B9-857D-77A2CA0322F9}</author>
    <author>tc={ACB6285E-B72E-4EED-A339-FD65671D3EEB}</author>
  </authors>
  <commentList>
    <comment ref="V25" authorId="0" shapeId="0" xr:uid="{5638FCA8-B0BD-46B9-857D-77A2CA0322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Production with 4 manpower</t>
      </text>
    </comment>
    <comment ref="W25" authorId="1" shapeId="0" xr:uid="{ACB6285E-B72E-4EED-A339-FD65671D3EEB}">
      <text>
        <t>[Threaded comment]
Your version of Excel allows you to read this threaded comment; however, any edits to it will get removed if the file is opened in a newer version of Excel. Learn more: https://go.microsoft.com/fwlink/?linkid=870924
Comment:
    +12 Nos 6 Air bag HL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tc={459813B9-51A7-4628-851A-86F5BE7BDF15}</author>
    <author>tc={50FAEE0D-8E27-4FE1-AA98-5B1810D0F97E}</author>
  </authors>
  <commentList>
    <comment ref="AC14" authorId="0" shapeId="0" xr:uid="{459813B9-51A7-4628-851A-86F5BE7BDF15}">
      <text>
        <t>[Threaded comment]
Your version of Excel allows you to read this threaded comment; however, any edits to it will get removed if the file is opened in a newer version of Excel. Learn more: https://go.microsoft.com/fwlink/?linkid=870924
Comment:
    Breakdown due to sensor issue</t>
      </text>
    </comment>
    <comment ref="AC15" authorId="1" shapeId="0" xr:uid="{50FAEE0D-8E27-4FE1-AA98-5B1810D0F97E}">
      <text>
        <t>[Threaded comment]
Your version of Excel allows you to read this threaded comment; however, any edits to it will get removed if the file is opened in a newer version of Excel. Learn more: https://go.microsoft.com/fwlink/?linkid=870924
Comment:
    Breakdown due to sensor issue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tc={A4A312FB-45A5-426E-890B-29EF7F2F3BDA}</author>
    <author>tc={E267E5CC-D800-4C50-9EE2-CCDCDACBB11B}</author>
  </authors>
  <commentList>
    <comment ref="AC14" authorId="0" shapeId="0" xr:uid="{A4A312FB-45A5-426E-890B-29EF7F2F3BDA}">
      <text>
        <t>[Threaded comment]
Your version of Excel allows you to read this threaded comment; however, any edits to it will get removed if the file is opened in a newer version of Excel. Learn more: https://go.microsoft.com/fwlink/?linkid=870924
Comment:
    Breakdown due to sensor issue</t>
      </text>
    </comment>
    <comment ref="AC15" authorId="1" shapeId="0" xr:uid="{E267E5CC-D800-4C50-9EE2-CCDCDACBB11B}">
      <text>
        <t>[Threaded comment]
Your version of Excel allows you to read this threaded comment; however, any edits to it will get removed if the file is opened in a newer version of Excel. Learn more: https://go.microsoft.com/fwlink/?linkid=870924
Comment:
    Breakdown due to sensor issue</t>
      </text>
    </comment>
  </commentList>
</comments>
</file>

<file path=xl/sharedStrings.xml><?xml version="1.0" encoding="utf-8"?>
<sst xmlns="http://schemas.openxmlformats.org/spreadsheetml/2006/main" count="1017" uniqueCount="268">
  <si>
    <t>Index</t>
  </si>
  <si>
    <t>Cum. Plan</t>
  </si>
  <si>
    <t>Cum. Actual</t>
  </si>
  <si>
    <t>Day</t>
  </si>
  <si>
    <t>Machine</t>
  </si>
  <si>
    <t>Shift</t>
  </si>
  <si>
    <t>Date</t>
  </si>
  <si>
    <t>Machine Name: Nexon SR</t>
  </si>
  <si>
    <t>Shift A</t>
  </si>
  <si>
    <t>Plan</t>
  </si>
  <si>
    <t>Actual</t>
  </si>
  <si>
    <t>Shift B</t>
  </si>
  <si>
    <t>Total</t>
  </si>
  <si>
    <t>Remarks</t>
  </si>
  <si>
    <t>Inventory Audit</t>
  </si>
  <si>
    <t>Glue flow issue</t>
  </si>
  <si>
    <t>Machine Name: Nexon PR</t>
  </si>
  <si>
    <t>Machine Name: X0 HL</t>
  </si>
  <si>
    <t>Cum Till Date</t>
  </si>
  <si>
    <t>Achievement</t>
  </si>
  <si>
    <t>Down Time in Minutes</t>
  </si>
  <si>
    <t>Particulars</t>
  </si>
  <si>
    <t>Actual / Plan</t>
  </si>
  <si>
    <t>Empty trolley not available</t>
  </si>
  <si>
    <t>Downtime Analysis</t>
  </si>
  <si>
    <t>Reason of Downtime</t>
  </si>
  <si>
    <t>Dog House Issue</t>
  </si>
  <si>
    <t>Total Minutes</t>
  </si>
  <si>
    <t>Cumulative Till Date</t>
  </si>
  <si>
    <t>Sensor not working Properly</t>
  </si>
  <si>
    <t>A-Shift - Empty trolley non availability issue</t>
  </si>
  <si>
    <t>A-shift 1 Hour line stock due to copressor under repairing</t>
  </si>
  <si>
    <t xml:space="preserve">A-shift 1 Hour line stock due to copressor under repairing </t>
  </si>
  <si>
    <t xml:space="preserve">Empty trolley not available ( Closing stk - 504 Nos.) </t>
  </si>
  <si>
    <t>B-shift - Empty trolley not available</t>
  </si>
  <si>
    <t>2 Hours stop due to Empty trolley not available</t>
  </si>
  <si>
    <t>1/2 Hour stop due to Empty trolley not available</t>
  </si>
  <si>
    <t>empty trolley not available and 119D1 - substrate lamp area damaged hence all parts rework before prodution</t>
  </si>
  <si>
    <t>A-shift- 2.5 hours Line stop due to NON-availability of Foam</t>
  </si>
  <si>
    <t>B-shift, substrate lamp area damaged hence all parts rework before prodution</t>
  </si>
  <si>
    <t>A-shift - 3.5 Hours line stop due to non-availability of Foam</t>
  </si>
  <si>
    <t>Sensor Issue</t>
  </si>
  <si>
    <t>Two Manpower only</t>
  </si>
  <si>
    <t>Substrate Not available</t>
  </si>
  <si>
    <t>Two Manpower only in A-shift</t>
  </si>
  <si>
    <t>JPH 20</t>
  </si>
  <si>
    <t xml:space="preserve">Nexon SR </t>
  </si>
  <si>
    <t>Reason</t>
  </si>
  <si>
    <t>A shift</t>
  </si>
  <si>
    <t>B shift</t>
  </si>
  <si>
    <t>1st Nov 2025</t>
  </si>
  <si>
    <t>2nd Nov 2025</t>
  </si>
  <si>
    <t>3rd Nov 2025</t>
  </si>
  <si>
    <t>4th Nov 2025</t>
  </si>
  <si>
    <t>5th Nov 2025</t>
  </si>
  <si>
    <t>6th Nov 2025</t>
  </si>
  <si>
    <t>7th Nov 2025</t>
  </si>
  <si>
    <t>8th Nov 2025</t>
  </si>
  <si>
    <t>9th Nov 2025</t>
  </si>
  <si>
    <t>10th Nov 2025</t>
  </si>
  <si>
    <t>11th Nov 2025</t>
  </si>
  <si>
    <t>12th Nov 2025</t>
  </si>
  <si>
    <t>13th Nov 2025</t>
  </si>
  <si>
    <t>14th Nov 2025</t>
  </si>
  <si>
    <t>15th Nov 2025</t>
  </si>
  <si>
    <t>JPH 18</t>
  </si>
  <si>
    <t xml:space="preserve">Nexon PR </t>
  </si>
  <si>
    <t>JPH 31</t>
  </si>
  <si>
    <t>X0</t>
  </si>
  <si>
    <t>17th Nov 2025</t>
  </si>
  <si>
    <t>119D1 - rework before production (136 Nos.)</t>
  </si>
  <si>
    <t>Substrate Not available, Air pressor issue ( as of now Approx. 4+ Cycle time each parts)</t>
  </si>
  <si>
    <t>18th Nov 2025</t>
  </si>
  <si>
    <t>119D1 - 42, 135D1 - 133 and 102D1 - 72 Rework done</t>
  </si>
  <si>
    <t>19th Nov 2025</t>
  </si>
  <si>
    <t>Down time 
In Min claim</t>
  </si>
  <si>
    <t>3 hours( 10 AM to 1 PM ) Line stop due to non-availability 
of Consol and Air pressor issue still not resolved</t>
  </si>
  <si>
    <t>empty trolley not available and 119D1 - substrate lamp
 area damaged hence all parts rework before prodution</t>
  </si>
  <si>
    <t>20th Nov 2025</t>
  </si>
  <si>
    <t>B- Shift not plan due to non-availability of sustrate</t>
  </si>
  <si>
    <t>3 hours Line stop due to non-availability 
of substrate , B-shift not plan due to non-availability of substrate</t>
  </si>
  <si>
    <t xml:space="preserve"> as of now Approx. 4+ Minutes Cycle time due to Air pressor issue</t>
  </si>
  <si>
    <t>as of now Approx. 4+ Minutes Cycle time due to Air pressor issue</t>
  </si>
  <si>
    <t>Air pressor issue still not fixed</t>
  </si>
  <si>
    <t>3 Hours Line stop due to non-availability of Substrate , B-shift not plan</t>
  </si>
  <si>
    <t>B-Shift not plan due to substrate shortage</t>
  </si>
  <si>
    <t>Senssor Issue still not resolve</t>
  </si>
  <si>
    <t>21st Nov 2025</t>
  </si>
  <si>
    <r>
      <t xml:space="preserve">Senssor issue still not resolve 
</t>
    </r>
    <r>
      <rPr>
        <b/>
        <sz val="10"/>
        <color rgb="FF0070C0"/>
        <rFont val="Arial"/>
        <family val="2"/>
      </rPr>
      <t xml:space="preserve"> ( production A+4)</t>
    </r>
  </si>
  <si>
    <t>22nd Nov 2025</t>
  </si>
  <si>
    <t>102ZX substrate shortages</t>
  </si>
  <si>
    <t>Senssor issue still not resolve.</t>
  </si>
  <si>
    <t>B- Shift not plan due to non-availability of sustrate (119D1)</t>
  </si>
  <si>
    <t>1 Hour line stop due to compressor service</t>
  </si>
  <si>
    <t>1 Hour line stop due to compressor service .</t>
  </si>
  <si>
    <t>119D1 Substrate shortage</t>
  </si>
  <si>
    <t>Substrate not avaiable</t>
  </si>
  <si>
    <t>24th Nov 2025</t>
  </si>
  <si>
    <t>25th Nov 2025</t>
  </si>
  <si>
    <t>102ZX and 109ZY substrate not available</t>
  </si>
  <si>
    <t>102ZX Substrate not avaiable</t>
  </si>
  <si>
    <t>26th Nov 2025</t>
  </si>
  <si>
    <t>B-shift 3 Hours run the line</t>
  </si>
  <si>
    <t>27th Nov 2025</t>
  </si>
  <si>
    <t>B-shift not run</t>
  </si>
  <si>
    <t>102ZX and 109ZY substrate is critical</t>
  </si>
  <si>
    <t>3 Hours Line stop due to non-availability of trolley</t>
  </si>
  <si>
    <t>28th Nov 2025</t>
  </si>
  <si>
    <t>29th Nov 2025</t>
  </si>
  <si>
    <t>A-shift started 2 hours late. B-shift worked only 6 hours because one manpower did not come due to a health issue, so another person had to stay.</t>
  </si>
  <si>
    <t>The physical inventory count was done in the second half.</t>
  </si>
  <si>
    <t>Phys. Inventory count</t>
  </si>
  <si>
    <t>2 Hours Line stop due to sensor issue and Phys. Inventory count</t>
  </si>
  <si>
    <t>W-Off</t>
  </si>
  <si>
    <t>30th Nov 2025</t>
  </si>
  <si>
    <t>W-off</t>
  </si>
  <si>
    <t>Phys. Inventory count in 2nd half</t>
  </si>
  <si>
    <t>Phys. Inventory count in 2nd Half</t>
  </si>
  <si>
    <t>Manpower Not available</t>
  </si>
  <si>
    <t>B-shift 3 hours worked</t>
  </si>
  <si>
    <t>B-shift 2 hours worked</t>
  </si>
  <si>
    <t>B-shift 2.5 hours worked</t>
  </si>
  <si>
    <t>production is loss due to sensor issue</t>
  </si>
  <si>
    <t>One manpower left after 7 PM due to a health issue</t>
  </si>
  <si>
    <t>Empty trolley not available to  further prodution.</t>
  </si>
  <si>
    <t>empty trolley issue</t>
  </si>
  <si>
    <t>1 hour line stop due to BTSL foam and empty trolley issue also</t>
  </si>
  <si>
    <t>A-shift glune gun breakdown , 3 hours line stop. Empty trolley issue</t>
  </si>
  <si>
    <t>Empty trolley issue</t>
  </si>
  <si>
    <t>FG location full ( closing stock 448 Nos.)</t>
  </si>
  <si>
    <t>A-shift sensor issue</t>
  </si>
  <si>
    <t>FG location full ( closing stock 532 Nos.)</t>
  </si>
  <si>
    <t>1 hour Line stop due to  primer shortage</t>
  </si>
  <si>
    <t>2 hour Line stop due to  BTSL foam and primer shortage</t>
  </si>
  <si>
    <t>A+4</t>
  </si>
  <si>
    <t>Machine was breakdown 12 Hours ( Production was start 22 O'clock)</t>
  </si>
  <si>
    <t>Glue machine breakdown</t>
  </si>
  <si>
    <t>Location full- FG 462 Nos.</t>
  </si>
  <si>
    <t>Glue gun under repairing , repairing work done 16 O'clock.</t>
  </si>
  <si>
    <t>non-availability of Empty trolley issue</t>
  </si>
  <si>
    <t>Non-availability of Empty trolley issue</t>
  </si>
  <si>
    <t>Non Availability of empty trolley</t>
  </si>
  <si>
    <t>Due to the non-availability of empty trolleys, the team worked on the X0 line</t>
  </si>
  <si>
    <t>A-shift Empty trolley issue</t>
  </si>
  <si>
    <t>The productivity is lost due to non availability of empty trolley.</t>
  </si>
  <si>
    <t>Block Closure-Vehicle Factory | TMPV Sanand</t>
  </si>
  <si>
    <t>The line was stopped for the entire day due to non-availability of empty trolleys</t>
  </si>
  <si>
    <t>22-Dec to
 27 Dec</t>
  </si>
  <si>
    <t>1;5 Hours line stop  for rework of process rejection parts.</t>
  </si>
  <si>
    <t>Sensor issue</t>
  </si>
  <si>
    <t xml:space="preserve">Sensor issue </t>
  </si>
  <si>
    <t>1.5 Hours line stop  for rework of process rejection parts.</t>
  </si>
  <si>
    <t>non-availability of Empty trolley issue and sensor issue</t>
  </si>
  <si>
    <t>Pys. Inventort</t>
  </si>
  <si>
    <t>Sensor problem and Non-availability of empty trolley</t>
  </si>
  <si>
    <t>non-availability of empty trolley</t>
  </si>
  <si>
    <t>Sensor problem and non availability of empty trolley</t>
  </si>
  <si>
    <t>Non availability of empty trolley</t>
  </si>
  <si>
    <t xml:space="preserve">Sensor problem </t>
  </si>
  <si>
    <t>Sensor problem AND Glue flow is very slow</t>
  </si>
  <si>
    <t>Shift A+4 (Sensor problem AND Glue flow is very slow)</t>
  </si>
  <si>
    <t>Shift A+4 , sensor issue</t>
  </si>
  <si>
    <t>1 Hour stop due to assly facture modify</t>
  </si>
  <si>
    <t>machine breakdown</t>
  </si>
  <si>
    <t>Glue flow Issue</t>
  </si>
  <si>
    <t>Glue flow Issue and new manpower</t>
  </si>
  <si>
    <t>Sensor problem AND Glue flow is very slow ( B-shift new manpower )</t>
  </si>
  <si>
    <t>Machine Breakdown , repairing done in Night</t>
  </si>
  <si>
    <t>Glue flow Issue , sensor issue and new manpower</t>
  </si>
  <si>
    <t>machine breakdown ( Sensorr issue</t>
  </si>
  <si>
    <t>New manpower and non-availability of empty trolley</t>
  </si>
  <si>
    <t xml:space="preserve">New manpower </t>
  </si>
  <si>
    <t>Machine Breakdown due to sensor issue</t>
  </si>
  <si>
    <t>New manpower</t>
  </si>
  <si>
    <t>Machine was breakdown due to Sensor problem Line was stop.</t>
  </si>
  <si>
    <t>B-shift New Manpower</t>
  </si>
  <si>
    <t>Machine Breakdown</t>
  </si>
  <si>
    <t>Glue gun breakdown 3 Hours</t>
  </si>
  <si>
    <t>B-Shift new manpower</t>
  </si>
  <si>
    <t>Machine Breakdown/Sensor Issue</t>
  </si>
  <si>
    <t>Machine under repairing</t>
  </si>
  <si>
    <t>2 Manpower only</t>
  </si>
  <si>
    <t>Glue gun breakdown</t>
  </si>
  <si>
    <t>Glue gun Issue</t>
  </si>
  <si>
    <t>A+B ( B-shift new manpower)</t>
  </si>
  <si>
    <t>A+4 
( Glue gun Issue)</t>
  </si>
  <si>
    <t>(A+4) Glue gun Issue</t>
  </si>
  <si>
    <t>B-shift only two manpower on X0</t>
  </si>
  <si>
    <t>Machine breakdown</t>
  </si>
  <si>
    <t>Glue floww issue</t>
  </si>
  <si>
    <t>glue gun breakdown</t>
  </si>
  <si>
    <t>B-shift New manpower</t>
  </si>
  <si>
    <t>SR</t>
  </si>
  <si>
    <t>PR</t>
  </si>
  <si>
    <t>Manpower Issue</t>
  </si>
  <si>
    <t>Total Work Man Hours</t>
  </si>
  <si>
    <t>No. of Manpower</t>
  </si>
  <si>
    <t>% of lost man Hours</t>
  </si>
  <si>
    <t>SR Work man Hurs</t>
  </si>
  <si>
    <t>PR Work man Hurs</t>
  </si>
  <si>
    <t>X0 Work man Hurs</t>
  </si>
  <si>
    <t>New Manpower</t>
  </si>
  <si>
    <t>Total Lost Work Man Hours</t>
  </si>
  <si>
    <t>SR lost Work man Hurs</t>
  </si>
  <si>
    <t>PR lost Work man Hurs</t>
  </si>
  <si>
    <t>X0 lost Work man Hurs</t>
  </si>
  <si>
    <t>A-shift</t>
  </si>
  <si>
    <t>B-shift</t>
  </si>
  <si>
    <t>Beakdown Hours</t>
  </si>
  <si>
    <t>A-shift Down Time in Minutes</t>
  </si>
  <si>
    <t>B-shift Down Time in Minutes</t>
  </si>
  <si>
    <t>`</t>
  </si>
  <si>
    <t>Total Lost Work Man Hours Due to Breakdown</t>
  </si>
  <si>
    <t>Production Hours lost due to Resources Issue</t>
  </si>
  <si>
    <t>SR Production Hours lost due to Resources Issue</t>
  </si>
  <si>
    <t>PR Production Hours lost due to Resources Issue</t>
  </si>
  <si>
    <t>X0 Production Hours lost due to Resources Issue</t>
  </si>
  <si>
    <t>Total Lost Work Man Hours Due to tools and Manpower Issue</t>
  </si>
  <si>
    <t>B-Shift New Manpower</t>
  </si>
  <si>
    <t>Line stop due to non-availability of Spray glue</t>
  </si>
  <si>
    <t>Shift col not available ( Glue)</t>
  </si>
  <si>
    <t>One side Gun is breakdown</t>
  </si>
  <si>
    <t>2 Gun required after implement of Yoko Poke, Now we are working with single Gun</t>
  </si>
  <si>
    <t>Non availability of Foam</t>
  </si>
  <si>
    <t>Non availability of Foam and Gun issue</t>
  </si>
  <si>
    <t>One side Gun is breakdown and non-availability of Foam</t>
  </si>
  <si>
    <t>Inefficiency of glue gun</t>
  </si>
  <si>
    <t>A+4 ( Glue flow issue)</t>
  </si>
  <si>
    <t>30 Mint line stop due to glue gun breakdown</t>
  </si>
  <si>
    <t>Glue gun breakdown (A+4)</t>
  </si>
  <si>
    <t xml:space="preserve">Glue gun breakdown </t>
  </si>
  <si>
    <t>Glue gun issue</t>
  </si>
  <si>
    <t>Glue Gun issue and New manpower</t>
  </si>
  <si>
    <t>Glue gun issue and New manpower</t>
  </si>
  <si>
    <t xml:space="preserve">Glue gun issue </t>
  </si>
  <si>
    <t>Glue gun issue , B-shift new manpower</t>
  </si>
  <si>
    <t xml:space="preserve">Sensor issue
</t>
  </si>
  <si>
    <t>A+4 (30 Mint line stop due to non availability of Foam)</t>
  </si>
  <si>
    <t xml:space="preserve">Sensor issue
&amp; New manpower
</t>
  </si>
  <si>
    <t>Glue gun Issue 2 Hours in B-shift (production lost due to new manpower</t>
  </si>
  <si>
    <t>Glue gun breakdown ( B-shift new manpower</t>
  </si>
  <si>
    <t>FG Location full</t>
  </si>
  <si>
    <t>Location full</t>
  </si>
  <si>
    <t>FG Location is full</t>
  </si>
  <si>
    <t>A-shift only 2 manpower and B-shift New manpower</t>
  </si>
  <si>
    <t>Non-availability of Foam</t>
  </si>
  <si>
    <t>Nexon- SR A-Shift</t>
  </si>
  <si>
    <t>Senssor Issue</t>
  </si>
  <si>
    <t>Nexon- SR B-Shift</t>
  </si>
  <si>
    <t>Nexon- PR B-Shift</t>
  </si>
  <si>
    <t>Nexon- PR A-Shift</t>
  </si>
  <si>
    <t>Inefficiency of Manpower</t>
  </si>
  <si>
    <t>X0- A-Shift</t>
  </si>
  <si>
    <t>X0- B-Shift</t>
  </si>
  <si>
    <r>
      <rPr>
        <b/>
        <sz val="14"/>
        <color rgb="FFFF0000"/>
        <rFont val="Arial"/>
        <family val="2"/>
      </rPr>
      <t>X0</t>
    </r>
    <r>
      <rPr>
        <sz val="10"/>
        <rFont val="Arial"/>
        <family val="2"/>
      </rPr>
      <t>- Post implementation of Poka-Yoke, productivity has reduced from 308 to 252</t>
    </r>
  </si>
  <si>
    <r>
      <rPr>
        <b/>
        <sz val="12"/>
        <color rgb="FFFF0000"/>
        <rFont val="Arial"/>
        <family val="2"/>
      </rPr>
      <t>PR</t>
    </r>
    <r>
      <rPr>
        <sz val="10"/>
        <rFont val="Arial"/>
        <family val="2"/>
      </rPr>
      <t xml:space="preserve"> - productivity has reduced from 1and 20 to 96 Due to Gluw flow issue and senssor issue</t>
    </r>
  </si>
  <si>
    <r>
      <rPr>
        <b/>
        <sz val="12"/>
        <color rgb="FFFF0000"/>
        <rFont val="Arial"/>
        <family val="2"/>
      </rPr>
      <t>SR</t>
    </r>
    <r>
      <rPr>
        <sz val="10"/>
        <rFont val="Arial"/>
        <family val="2"/>
      </rPr>
      <t xml:space="preserve"> - productivity has reduced from 152 to 112 Due to Gluw flow issue and Senssor issue</t>
    </r>
  </si>
  <si>
    <t>Compressor stop due to Air Pipe breaked</t>
  </si>
  <si>
    <t>Lost due to one glue Gun is breakdown</t>
  </si>
  <si>
    <t>B-Piller foan shortages</t>
  </si>
  <si>
    <t>Empty trolley Not available</t>
  </si>
  <si>
    <t>Air compressor breakdown</t>
  </si>
  <si>
    <t>Down 
Time</t>
  </si>
  <si>
    <t>Time lost due to team transfer X0 to 6Air Bag Assembly</t>
  </si>
  <si>
    <t>The team stopped the line as they were engaged in vehicle loading.</t>
  </si>
  <si>
    <t>Electricity cut</t>
  </si>
  <si>
    <t>Electricity Cut</t>
  </si>
  <si>
    <t>Empty trolley Not available ( Location Full)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</si>
</sst>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0.0"/>
    <numFmt numFmtId="166" formatCode="0.0%"/>
    <numFmt numFmtId="167" formatCode="0.000%"/>
  </numFmts>
  <fonts count="15">
    <font>
      <sz val="10"/>
      <name val="Arial"/>
      <charset val="134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6"/>
      <name val="Arial"/>
      <family val="2"/>
    </font>
    <font>
      <b/>
      <sz val="16"/>
      <color theme="0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2">
    <xf numFmtId="0" fontId="0" fillId="0" borderId="0" xfId="0"/>
    <xf numFmtId="0" fontId="1" fillId="0" borderId="0" xfId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2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/>
    </xf>
    <xf numFmtId="166" fontId="7" fillId="7" borderId="1" xfId="2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0" fillId="2" borderId="1" xfId="0" applyFill="1" applyBorder="1"/>
    <xf numFmtId="0" fontId="10" fillId="2" borderId="1" xfId="0" applyFont="1" applyFill="1" applyBorder="1" applyAlignment="1">
      <alignment wrapText="1"/>
    </xf>
    <xf numFmtId="0" fontId="3" fillId="0" borderId="1" xfId="0" applyFont="1" applyBorder="1"/>
    <xf numFmtId="0" fontId="10" fillId="0" borderId="1" xfId="0" applyFont="1" applyBorder="1"/>
    <xf numFmtId="0" fontId="0" fillId="0" borderId="1" xfId="0" applyBorder="1" applyAlignment="1">
      <alignment wrapText="1"/>
    </xf>
    <xf numFmtId="0" fontId="11" fillId="0" borderId="1" xfId="0" applyFont="1" applyBorder="1"/>
    <xf numFmtId="0" fontId="10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9" fontId="0" fillId="0" borderId="0" xfId="2" applyFont="1" applyAlignment="1">
      <alignment horizontal="left"/>
    </xf>
    <xf numFmtId="10" fontId="0" fillId="0" borderId="0" xfId="2" applyNumberFormat="1" applyFont="1" applyAlignment="1">
      <alignment horizontal="left"/>
    </xf>
    <xf numFmtId="2" fontId="0" fillId="0" borderId="0" xfId="0" applyNumberFormat="1" applyAlignment="1">
      <alignment horizontal="center"/>
    </xf>
    <xf numFmtId="167" fontId="0" fillId="0" borderId="0" xfId="2" applyNumberFormat="1" applyFont="1" applyAlignment="1">
      <alignment horizontal="left"/>
    </xf>
    <xf numFmtId="0" fontId="0" fillId="9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5" fontId="0" fillId="10" borderId="1" xfId="0" applyNumberFormat="1" applyFill="1" applyBorder="1" applyAlignment="1">
      <alignment horizontal="center" vertical="center"/>
    </xf>
    <xf numFmtId="165" fontId="0" fillId="12" borderId="1" xfId="0" applyNumberFormat="1" applyFill="1" applyBorder="1" applyAlignment="1">
      <alignment horizontal="center" vertical="center"/>
    </xf>
    <xf numFmtId="165" fontId="0" fillId="13" borderId="1" xfId="0" applyNumberForma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wrapText="1"/>
    </xf>
    <xf numFmtId="0" fontId="3" fillId="12" borderId="1" xfId="0" applyFont="1" applyFill="1" applyBorder="1" applyAlignment="1">
      <alignment horizontal="left" wrapText="1"/>
    </xf>
    <xf numFmtId="0" fontId="3" fillId="13" borderId="1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left" wrapText="1"/>
    </xf>
    <xf numFmtId="0" fontId="3" fillId="11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" fillId="9" borderId="4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left" wrapText="1"/>
    </xf>
    <xf numFmtId="0" fontId="0" fillId="14" borderId="6" xfId="0" applyFill="1" applyBorder="1" applyAlignment="1">
      <alignment horizontal="center" vertical="center"/>
    </xf>
    <xf numFmtId="165" fontId="0" fillId="14" borderId="1" xfId="0" applyNumberForma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/>
    </xf>
    <xf numFmtId="1" fontId="2" fillId="1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/>
    </xf>
    <xf numFmtId="166" fontId="7" fillId="7" borderId="1" xfId="3" applyNumberFormat="1" applyFont="1" applyFill="1" applyBorder="1" applyAlignment="1">
      <alignment horizontal="center"/>
    </xf>
    <xf numFmtId="165" fontId="3" fillId="11" borderId="1" xfId="0" applyNumberFormat="1" applyFont="1" applyFill="1" applyBorder="1" applyAlignment="1">
      <alignment horizontal="center" vertical="center"/>
    </xf>
    <xf numFmtId="9" fontId="2" fillId="4" borderId="1" xfId="3" applyFont="1" applyFill="1" applyBorder="1" applyAlignment="1">
      <alignment horizontal="center" vertical="center"/>
    </xf>
    <xf numFmtId="0" fontId="0" fillId="12" borderId="1" xfId="0" applyFill="1" applyBorder="1"/>
    <xf numFmtId="0" fontId="0" fillId="0" borderId="4" xfId="0" applyBorder="1"/>
    <xf numFmtId="0" fontId="0" fillId="0" borderId="3" xfId="0" applyBorder="1"/>
    <xf numFmtId="0" fontId="0" fillId="15" borderId="1" xfId="0" applyFill="1" applyBorder="1"/>
    <xf numFmtId="0" fontId="3" fillId="15" borderId="1" xfId="0" applyFont="1" applyFill="1" applyBorder="1"/>
    <xf numFmtId="0" fontId="0" fillId="15" borderId="1" xfId="0" applyFill="1" applyBorder="1" applyAlignment="1">
      <alignment horizontal="center" vertical="center"/>
    </xf>
    <xf numFmtId="0" fontId="3" fillId="12" borderId="3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5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9" fontId="3" fillId="0" borderId="1" xfId="0" applyNumberFormat="1" applyFont="1" applyBorder="1" applyAlignment="1">
      <alignment horizontal="center" wrapText="1"/>
    </xf>
    <xf numFmtId="9" fontId="0" fillId="0" borderId="1" xfId="0" applyNumberFormat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</cellXfs>
  <cellStyles count="4">
    <cellStyle name="Hyperlink" xfId="1" builtinId="8"/>
    <cellStyle name="Normal" xfId="0" builtinId="0"/>
    <cellStyle name="Percent" xfId="2" builtinId="5"/>
    <cellStyle name="Percent 2" xfId="3" xr:uid="{25626971-49D6-4289-B628-69A86FB881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ager Vistar" id="{46217B2D-5EB4-4493-9F38-4E4BD80CC6DD}" userId="S::manager.vistar@grupoantolin.com::4fa14a2c-9a9e-4bbd-acb6-0c632f80af0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25" dT="2026-01-24T06:25:35.09" personId="{46217B2D-5EB4-4493-9F38-4E4BD80CC6DD}" id="{5638FCA8-B0BD-46B9-857D-77A2CA0322F9}">
    <text>Production with 4 manpower</text>
  </threadedComment>
  <threadedComment ref="W25" dT="2026-01-24T06:32:27.72" personId="{46217B2D-5EB4-4493-9F38-4E4BD80CC6DD}" id="{ACB6285E-B72E-4EED-A339-FD65671D3EEB}">
    <text>+12 Nos 6 Air bag HL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C14" dT="2026-02-26T04:28:37.54" personId="{46217B2D-5EB4-4493-9F38-4E4BD80CC6DD}" id="{459813B9-51A7-4628-851A-86F5BE7BDF15}">
    <text>Breakdown due to sensor issue</text>
  </threadedComment>
  <threadedComment ref="AC15" dT="2026-02-26T04:28:37.54" personId="{46217B2D-5EB4-4493-9F38-4E4BD80CC6DD}" id="{50FAEE0D-8E27-4FE1-AA98-5B1810D0F97E}">
    <text>Breakdown due to sensor issue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C14" dT="2026-02-26T04:28:37.54" personId="{46217B2D-5EB4-4493-9F38-4E4BD80CC6DD}" id="{A4A312FB-45A5-426E-890B-29EF7F2F3BDA}">
    <text>Breakdown due to sensor issue</text>
  </threadedComment>
  <threadedComment ref="AC15" dT="2026-02-26T04:28:37.54" personId="{46217B2D-5EB4-4493-9F38-4E4BD80CC6DD}" id="{E267E5CC-D800-4C50-9EE2-CCDCDACBB11B}">
    <text>Breakdown due to sensor issue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3027-DB20-4477-901A-17B48A650939}">
  <dimension ref="B1:I95"/>
  <sheetViews>
    <sheetView topLeftCell="A57" zoomScale="70" zoomScaleNormal="70" workbookViewId="0">
      <selection activeCell="E81" sqref="E81"/>
    </sheetView>
  </sheetViews>
  <sheetFormatPr defaultRowHeight="12.5"/>
  <cols>
    <col min="2" max="2" width="12.81640625" bestFit="1" customWidth="1"/>
    <col min="3" max="3" width="4" bestFit="1" customWidth="1"/>
    <col min="4" max="4" width="8.1796875" bestFit="1" customWidth="1"/>
    <col min="5" max="5" width="12.36328125" customWidth="1"/>
    <col min="6" max="6" width="10.36328125" bestFit="1" customWidth="1"/>
    <col min="7" max="7" width="37.36328125" style="55" customWidth="1"/>
    <col min="8" max="9" width="22.7265625" bestFit="1" customWidth="1"/>
    <col min="10" max="14" width="10.6328125" customWidth="1"/>
    <col min="15" max="15" width="93.1796875" bestFit="1" customWidth="1"/>
    <col min="16" max="16" width="66.08984375" bestFit="1" customWidth="1"/>
    <col min="17" max="17" width="2.90625" bestFit="1" customWidth="1"/>
    <col min="18" max="18" width="17.26953125" bestFit="1" customWidth="1"/>
    <col min="19" max="19" width="25.1796875" bestFit="1" customWidth="1"/>
    <col min="20" max="20" width="10.6328125" customWidth="1"/>
  </cols>
  <sheetData>
    <row r="1" spans="2:9">
      <c r="B1" s="46" t="s">
        <v>45</v>
      </c>
      <c r="C1">
        <v>140</v>
      </c>
    </row>
    <row r="2" spans="2:9" ht="25">
      <c r="B2" s="47" t="s">
        <v>6</v>
      </c>
      <c r="C2" s="47"/>
      <c r="D2" s="109" t="s">
        <v>46</v>
      </c>
      <c r="E2" s="109"/>
      <c r="F2" s="48" t="s">
        <v>75</v>
      </c>
      <c r="G2" s="56" t="s">
        <v>47</v>
      </c>
      <c r="H2" s="110"/>
      <c r="I2" s="110"/>
    </row>
    <row r="3" spans="2:9">
      <c r="B3" s="45"/>
      <c r="C3" s="45"/>
      <c r="D3" s="49" t="s">
        <v>48</v>
      </c>
      <c r="E3" s="49" t="s">
        <v>49</v>
      </c>
      <c r="F3" s="45"/>
      <c r="G3" s="51"/>
      <c r="H3" s="46"/>
      <c r="I3" s="46"/>
    </row>
    <row r="4" spans="2:9" ht="25">
      <c r="B4" s="45" t="s">
        <v>50</v>
      </c>
      <c r="C4" s="45"/>
      <c r="D4" s="45">
        <v>120</v>
      </c>
      <c r="E4" s="45">
        <v>32</v>
      </c>
      <c r="F4" s="45"/>
      <c r="G4" s="51" t="s">
        <v>31</v>
      </c>
    </row>
    <row r="5" spans="2:9">
      <c r="B5" s="47" t="s">
        <v>51</v>
      </c>
      <c r="C5" s="45"/>
      <c r="D5" s="45">
        <v>91</v>
      </c>
      <c r="E5" s="45"/>
      <c r="F5" s="45"/>
      <c r="G5" s="51"/>
    </row>
    <row r="6" spans="2:9">
      <c r="B6" s="45" t="s">
        <v>52</v>
      </c>
      <c r="C6" s="45"/>
      <c r="D6" s="45">
        <v>158</v>
      </c>
      <c r="E6" s="45">
        <v>140</v>
      </c>
      <c r="F6" s="45"/>
      <c r="G6" s="51"/>
    </row>
    <row r="7" spans="2:9">
      <c r="B7" s="45" t="s">
        <v>53</v>
      </c>
      <c r="C7" s="45"/>
      <c r="D7" s="45">
        <v>96</v>
      </c>
      <c r="E7" s="45">
        <v>133</v>
      </c>
      <c r="F7" s="50">
        <v>90</v>
      </c>
      <c r="G7" s="51" t="s">
        <v>23</v>
      </c>
    </row>
    <row r="8" spans="2:9">
      <c r="B8" s="45" t="s">
        <v>54</v>
      </c>
      <c r="C8" s="45"/>
      <c r="D8" s="45">
        <v>121</v>
      </c>
      <c r="E8" s="45">
        <v>90</v>
      </c>
      <c r="F8" s="50">
        <v>178</v>
      </c>
      <c r="G8" s="51" t="s">
        <v>23</v>
      </c>
    </row>
    <row r="9" spans="2:9">
      <c r="B9" s="45" t="s">
        <v>55</v>
      </c>
      <c r="C9" s="45"/>
      <c r="D9" s="45">
        <v>146</v>
      </c>
      <c r="E9" s="45">
        <v>144</v>
      </c>
      <c r="F9" s="50">
        <v>20</v>
      </c>
      <c r="G9" s="51"/>
    </row>
    <row r="10" spans="2:9" ht="25">
      <c r="B10" s="45" t="s">
        <v>56</v>
      </c>
      <c r="C10" s="45"/>
      <c r="D10" s="45">
        <v>118</v>
      </c>
      <c r="E10" s="45">
        <v>60</v>
      </c>
      <c r="F10" s="50">
        <v>94</v>
      </c>
      <c r="G10" s="51" t="s">
        <v>35</v>
      </c>
    </row>
    <row r="11" spans="2:9">
      <c r="B11" s="45" t="s">
        <v>57</v>
      </c>
      <c r="C11" s="45"/>
      <c r="D11" s="45">
        <v>140</v>
      </c>
      <c r="E11" s="45"/>
      <c r="F11" s="50">
        <v>180</v>
      </c>
      <c r="G11" s="51" t="s">
        <v>23</v>
      </c>
    </row>
    <row r="12" spans="2:9">
      <c r="B12" s="47" t="s">
        <v>58</v>
      </c>
      <c r="C12" s="45"/>
      <c r="D12" s="45"/>
      <c r="E12" s="45"/>
      <c r="F12" s="45"/>
      <c r="G12" s="51"/>
    </row>
    <row r="13" spans="2:9">
      <c r="B13" s="45" t="s">
        <v>59</v>
      </c>
      <c r="C13" s="45"/>
      <c r="D13" s="45">
        <v>148</v>
      </c>
      <c r="E13" s="45">
        <v>60</v>
      </c>
      <c r="F13" s="45"/>
      <c r="G13" s="51"/>
    </row>
    <row r="14" spans="2:9">
      <c r="B14" s="45" t="s">
        <v>60</v>
      </c>
      <c r="C14" s="45"/>
      <c r="D14" s="45">
        <v>126</v>
      </c>
      <c r="E14" s="45">
        <v>80</v>
      </c>
      <c r="F14" s="45">
        <v>48</v>
      </c>
      <c r="G14" s="51" t="s">
        <v>30</v>
      </c>
    </row>
    <row r="15" spans="2:9" ht="25">
      <c r="B15" s="45" t="s">
        <v>61</v>
      </c>
      <c r="C15" s="45"/>
      <c r="D15" s="45">
        <v>86</v>
      </c>
      <c r="E15" s="45">
        <v>83</v>
      </c>
      <c r="F15" s="45">
        <v>150</v>
      </c>
      <c r="G15" s="51" t="s">
        <v>38</v>
      </c>
    </row>
    <row r="16" spans="2:9" ht="25">
      <c r="B16" s="45" t="s">
        <v>62</v>
      </c>
      <c r="C16" s="45"/>
      <c r="D16" s="45">
        <v>64</v>
      </c>
      <c r="E16" s="45">
        <v>108</v>
      </c>
      <c r="F16" s="45">
        <v>210</v>
      </c>
      <c r="G16" s="51" t="s">
        <v>40</v>
      </c>
    </row>
    <row r="17" spans="2:7">
      <c r="B17" s="45" t="s">
        <v>63</v>
      </c>
      <c r="C17" s="45"/>
      <c r="D17" s="45">
        <v>112</v>
      </c>
      <c r="E17" s="45">
        <v>0</v>
      </c>
      <c r="F17" s="45">
        <v>96</v>
      </c>
      <c r="G17" s="51" t="s">
        <v>41</v>
      </c>
    </row>
    <row r="18" spans="2:7">
      <c r="B18" s="45" t="s">
        <v>64</v>
      </c>
      <c r="C18" s="45"/>
      <c r="D18" s="45">
        <v>144</v>
      </c>
      <c r="E18" s="45">
        <v>28</v>
      </c>
      <c r="F18" s="45">
        <v>56</v>
      </c>
      <c r="G18" s="51"/>
    </row>
    <row r="19" spans="2:7" ht="25">
      <c r="B19" s="45" t="s">
        <v>69</v>
      </c>
      <c r="C19" s="45"/>
      <c r="D19" s="45">
        <v>113</v>
      </c>
      <c r="E19" s="45">
        <v>0</v>
      </c>
      <c r="F19" s="50">
        <v>150</v>
      </c>
      <c r="G19" s="53" t="s">
        <v>81</v>
      </c>
    </row>
    <row r="20" spans="2:7" ht="25">
      <c r="B20" s="49" t="s">
        <v>72</v>
      </c>
      <c r="C20" s="45"/>
      <c r="D20" s="45">
        <f>104+20</f>
        <v>124</v>
      </c>
      <c r="E20" s="45">
        <f>82+53+12</f>
        <v>147</v>
      </c>
      <c r="F20" s="50">
        <v>120</v>
      </c>
      <c r="G20" s="53" t="s">
        <v>81</v>
      </c>
    </row>
    <row r="21" spans="2:7" ht="25">
      <c r="B21" s="49" t="s">
        <v>74</v>
      </c>
      <c r="C21" s="45"/>
      <c r="D21" s="45">
        <f>104+20</f>
        <v>124</v>
      </c>
      <c r="E21" s="45">
        <v>0</v>
      </c>
      <c r="F21" s="50">
        <v>120</v>
      </c>
      <c r="G21" s="53" t="s">
        <v>81</v>
      </c>
    </row>
    <row r="22" spans="2:7">
      <c r="B22" s="49" t="s">
        <v>78</v>
      </c>
      <c r="C22" s="45"/>
      <c r="D22" s="45">
        <v>132</v>
      </c>
      <c r="E22" s="45">
        <v>116</v>
      </c>
      <c r="F22" s="50"/>
      <c r="G22" s="53"/>
    </row>
    <row r="23" spans="2:7">
      <c r="B23" s="49" t="s">
        <v>87</v>
      </c>
      <c r="C23" s="45"/>
      <c r="D23" s="45">
        <v>136</v>
      </c>
      <c r="E23" s="45">
        <v>0</v>
      </c>
      <c r="F23" s="50"/>
      <c r="G23" s="53"/>
    </row>
    <row r="24" spans="2:7">
      <c r="B24" s="49" t="s">
        <v>89</v>
      </c>
      <c r="C24" s="45"/>
      <c r="D24" s="45">
        <v>110</v>
      </c>
      <c r="E24" s="45">
        <v>87</v>
      </c>
      <c r="F24" s="50"/>
      <c r="G24" s="53" t="s">
        <v>90</v>
      </c>
    </row>
    <row r="25" spans="2:7">
      <c r="B25" s="49" t="s">
        <v>97</v>
      </c>
      <c r="C25" s="45"/>
      <c r="D25" s="45">
        <v>126</v>
      </c>
      <c r="E25" s="45">
        <v>134</v>
      </c>
      <c r="F25" s="50"/>
      <c r="G25" s="53"/>
    </row>
    <row r="26" spans="2:7">
      <c r="B26" s="49" t="s">
        <v>98</v>
      </c>
      <c r="C26" s="45"/>
      <c r="D26" s="45">
        <v>140</v>
      </c>
      <c r="E26" s="45">
        <v>165</v>
      </c>
      <c r="F26" s="50"/>
      <c r="G26" s="53" t="s">
        <v>99</v>
      </c>
    </row>
    <row r="27" spans="2:7">
      <c r="B27" s="49" t="s">
        <v>101</v>
      </c>
      <c r="C27" s="45"/>
      <c r="D27" s="45">
        <v>81</v>
      </c>
      <c r="E27" s="45">
        <v>87</v>
      </c>
      <c r="F27" s="50"/>
      <c r="G27" s="53" t="s">
        <v>99</v>
      </c>
    </row>
    <row r="28" spans="2:7">
      <c r="B28" s="49" t="s">
        <v>103</v>
      </c>
      <c r="C28" s="45"/>
      <c r="D28" s="45">
        <v>120</v>
      </c>
      <c r="E28" s="45">
        <v>90</v>
      </c>
      <c r="F28" s="50"/>
      <c r="G28" s="53" t="s">
        <v>105</v>
      </c>
    </row>
    <row r="29" spans="2:7">
      <c r="B29" s="49" t="s">
        <v>107</v>
      </c>
      <c r="C29" s="45"/>
      <c r="D29" s="45">
        <v>135</v>
      </c>
      <c r="E29" s="45">
        <v>104</v>
      </c>
      <c r="F29" s="50"/>
      <c r="G29" s="53"/>
    </row>
    <row r="30" spans="2:7" ht="50">
      <c r="B30" s="49" t="s">
        <v>108</v>
      </c>
      <c r="C30" s="45"/>
      <c r="D30" s="45">
        <v>81</v>
      </c>
      <c r="E30" s="45">
        <v>90</v>
      </c>
      <c r="F30" s="50"/>
      <c r="G30" s="53" t="s">
        <v>109</v>
      </c>
    </row>
    <row r="31" spans="2:7">
      <c r="B31" s="49" t="s">
        <v>114</v>
      </c>
      <c r="C31" s="45"/>
      <c r="D31" s="45">
        <v>112</v>
      </c>
      <c r="E31" s="45">
        <v>0</v>
      </c>
      <c r="F31" s="50"/>
      <c r="G31" s="53" t="s">
        <v>117</v>
      </c>
    </row>
    <row r="33" spans="2:7">
      <c r="B33" s="46" t="s">
        <v>65</v>
      </c>
      <c r="D33">
        <f>18*7</f>
        <v>126</v>
      </c>
    </row>
    <row r="34" spans="2:7" ht="25">
      <c r="B34" s="47" t="s">
        <v>6</v>
      </c>
      <c r="C34" s="47"/>
      <c r="D34" s="109" t="s">
        <v>66</v>
      </c>
      <c r="E34" s="109"/>
      <c r="F34" s="48" t="s">
        <v>75</v>
      </c>
      <c r="G34" s="56" t="s">
        <v>47</v>
      </c>
    </row>
    <row r="35" spans="2:7">
      <c r="B35" s="45"/>
      <c r="C35" s="45"/>
      <c r="D35" s="49" t="s">
        <v>48</v>
      </c>
      <c r="E35" s="49" t="s">
        <v>49</v>
      </c>
      <c r="F35" s="45"/>
      <c r="G35" s="51"/>
    </row>
    <row r="36" spans="2:7" ht="25">
      <c r="B36" s="45" t="s">
        <v>50</v>
      </c>
      <c r="C36" s="45"/>
      <c r="D36" s="45">
        <v>64</v>
      </c>
      <c r="E36" s="45">
        <v>0</v>
      </c>
      <c r="F36" s="45">
        <v>60</v>
      </c>
      <c r="G36" s="51" t="s">
        <v>32</v>
      </c>
    </row>
    <row r="37" spans="2:7">
      <c r="B37" s="47" t="s">
        <v>51</v>
      </c>
      <c r="C37" s="45"/>
      <c r="D37" s="45">
        <v>80</v>
      </c>
      <c r="E37" s="45"/>
      <c r="F37" s="45"/>
      <c r="G37" s="51"/>
    </row>
    <row r="38" spans="2:7">
      <c r="B38" s="45" t="s">
        <v>52</v>
      </c>
      <c r="C38" s="45"/>
      <c r="D38" s="45">
        <v>118</v>
      </c>
      <c r="E38" s="45">
        <v>0</v>
      </c>
      <c r="F38" s="45"/>
      <c r="G38" s="51" t="s">
        <v>34</v>
      </c>
    </row>
    <row r="39" spans="2:7">
      <c r="B39" s="45" t="s">
        <v>53</v>
      </c>
      <c r="C39" s="45"/>
      <c r="D39" s="45">
        <v>76</v>
      </c>
      <c r="E39" s="45">
        <v>70</v>
      </c>
      <c r="F39" s="50">
        <v>180</v>
      </c>
      <c r="G39" s="51"/>
    </row>
    <row r="40" spans="2:7">
      <c r="B40" s="45" t="s">
        <v>54</v>
      </c>
      <c r="C40" s="45"/>
      <c r="D40" s="45">
        <v>90</v>
      </c>
      <c r="E40" s="45">
        <v>40</v>
      </c>
      <c r="F40" s="50">
        <v>180</v>
      </c>
      <c r="G40" s="51" t="s">
        <v>23</v>
      </c>
    </row>
    <row r="41" spans="2:7">
      <c r="B41" s="45" t="s">
        <v>55</v>
      </c>
      <c r="C41" s="45"/>
      <c r="D41" s="45">
        <v>101</v>
      </c>
      <c r="E41" s="45">
        <v>44</v>
      </c>
      <c r="F41" s="50">
        <v>60</v>
      </c>
      <c r="G41" s="51"/>
    </row>
    <row r="42" spans="2:7" ht="25">
      <c r="B42" s="45" t="s">
        <v>56</v>
      </c>
      <c r="C42" s="45"/>
      <c r="D42" s="45">
        <v>96</v>
      </c>
      <c r="E42" s="45">
        <v>50</v>
      </c>
      <c r="F42" s="50">
        <v>60</v>
      </c>
      <c r="G42" s="51" t="s">
        <v>36</v>
      </c>
    </row>
    <row r="43" spans="2:7">
      <c r="B43" s="45" t="s">
        <v>57</v>
      </c>
      <c r="C43" s="45"/>
      <c r="D43" s="45">
        <v>85</v>
      </c>
      <c r="E43" s="45">
        <v>49</v>
      </c>
      <c r="F43" s="50">
        <v>60</v>
      </c>
      <c r="G43" s="51" t="s">
        <v>23</v>
      </c>
    </row>
    <row r="44" spans="2:7">
      <c r="B44" s="47" t="s">
        <v>58</v>
      </c>
      <c r="C44" s="45"/>
      <c r="E44" s="45"/>
      <c r="F44" s="45"/>
      <c r="G44" s="51"/>
    </row>
    <row r="45" spans="2:7">
      <c r="B45" s="45" t="s">
        <v>59</v>
      </c>
      <c r="C45" s="45"/>
      <c r="D45" s="45">
        <v>112</v>
      </c>
      <c r="E45" s="45">
        <v>188</v>
      </c>
      <c r="F45" s="50">
        <v>60</v>
      </c>
      <c r="G45" s="51" t="s">
        <v>30</v>
      </c>
    </row>
    <row r="46" spans="2:7">
      <c r="B46" s="45" t="s">
        <v>60</v>
      </c>
      <c r="C46" s="45"/>
      <c r="D46" s="45">
        <v>101</v>
      </c>
      <c r="E46" s="45">
        <v>141</v>
      </c>
      <c r="F46" s="50"/>
      <c r="G46" s="51"/>
    </row>
    <row r="47" spans="2:7">
      <c r="B47" s="45" t="s">
        <v>61</v>
      </c>
      <c r="C47" s="45"/>
      <c r="D47" s="45">
        <v>154</v>
      </c>
      <c r="E47" s="45">
        <v>154</v>
      </c>
      <c r="F47" s="50">
        <v>60</v>
      </c>
      <c r="G47" s="51" t="s">
        <v>41</v>
      </c>
    </row>
    <row r="48" spans="2:7">
      <c r="B48" s="45" t="s">
        <v>62</v>
      </c>
      <c r="C48" s="45"/>
      <c r="D48" s="45">
        <v>102</v>
      </c>
      <c r="E48" s="45">
        <v>190</v>
      </c>
      <c r="F48" s="50"/>
      <c r="G48" s="51" t="s">
        <v>41</v>
      </c>
    </row>
    <row r="49" spans="2:7">
      <c r="B49" s="45" t="s">
        <v>63</v>
      </c>
      <c r="C49" s="45"/>
      <c r="D49" s="45">
        <v>83</v>
      </c>
      <c r="E49" s="45">
        <v>183</v>
      </c>
      <c r="F49" s="50"/>
      <c r="G49" s="53" t="s">
        <v>43</v>
      </c>
    </row>
    <row r="50" spans="2:7">
      <c r="B50" s="45" t="s">
        <v>64</v>
      </c>
      <c r="C50" s="45"/>
      <c r="D50" s="45">
        <v>104</v>
      </c>
      <c r="E50" s="45">
        <v>104</v>
      </c>
      <c r="F50" s="50"/>
      <c r="G50" s="53" t="s">
        <v>43</v>
      </c>
    </row>
    <row r="51" spans="2:7" ht="25">
      <c r="B51" s="45" t="s">
        <v>69</v>
      </c>
      <c r="C51" s="45"/>
      <c r="D51" s="45">
        <v>34</v>
      </c>
      <c r="E51" s="45">
        <v>90</v>
      </c>
      <c r="F51" s="50">
        <f>5*60</f>
        <v>300</v>
      </c>
      <c r="G51" s="53" t="s">
        <v>71</v>
      </c>
    </row>
    <row r="52" spans="2:7" ht="25">
      <c r="B52" s="49" t="s">
        <v>72</v>
      </c>
      <c r="C52" s="45"/>
      <c r="D52" s="45">
        <f>70+32</f>
        <v>102</v>
      </c>
      <c r="E52" s="45">
        <v>86</v>
      </c>
      <c r="F52" s="50">
        <v>60</v>
      </c>
      <c r="G52" s="53" t="s">
        <v>71</v>
      </c>
    </row>
    <row r="53" spans="2:7" ht="50">
      <c r="B53" s="49" t="s">
        <v>74</v>
      </c>
      <c r="C53" s="45"/>
      <c r="D53" s="45">
        <v>61</v>
      </c>
      <c r="E53" s="45">
        <f>48+16</f>
        <v>64</v>
      </c>
      <c r="F53" s="50">
        <v>180</v>
      </c>
      <c r="G53" s="53" t="s">
        <v>76</v>
      </c>
    </row>
    <row r="54" spans="2:7" ht="37.5">
      <c r="B54" s="49" t="s">
        <v>78</v>
      </c>
      <c r="C54" s="45"/>
      <c r="D54" s="45">
        <v>77</v>
      </c>
      <c r="E54" s="45">
        <v>0</v>
      </c>
      <c r="F54" s="50">
        <v>180</v>
      </c>
      <c r="G54" s="53" t="s">
        <v>80</v>
      </c>
    </row>
    <row r="55" spans="2:7" ht="25.5">
      <c r="B55" s="49" t="s">
        <v>87</v>
      </c>
      <c r="C55" s="45"/>
      <c r="D55" s="45">
        <v>104</v>
      </c>
      <c r="E55" s="45">
        <v>48</v>
      </c>
      <c r="F55" s="50">
        <v>180</v>
      </c>
      <c r="G55" s="53" t="s">
        <v>88</v>
      </c>
    </row>
    <row r="56" spans="2:7">
      <c r="B56" s="49" t="s">
        <v>89</v>
      </c>
      <c r="C56" s="45"/>
      <c r="D56" s="45">
        <v>92</v>
      </c>
      <c r="E56" s="45">
        <v>0</v>
      </c>
      <c r="F56" s="50">
        <v>0</v>
      </c>
      <c r="G56" s="53" t="s">
        <v>91</v>
      </c>
    </row>
    <row r="57" spans="2:7">
      <c r="B57" s="49" t="s">
        <v>97</v>
      </c>
      <c r="C57" s="45"/>
      <c r="D57" s="45">
        <v>102</v>
      </c>
      <c r="E57" s="45">
        <v>0</v>
      </c>
      <c r="F57" s="50">
        <v>0</v>
      </c>
      <c r="G57" s="53"/>
    </row>
    <row r="58" spans="2:7">
      <c r="B58" s="49" t="s">
        <v>98</v>
      </c>
      <c r="C58" s="45"/>
      <c r="D58" s="45">
        <v>96</v>
      </c>
      <c r="E58" s="45">
        <v>0</v>
      </c>
      <c r="F58" s="50">
        <v>0</v>
      </c>
      <c r="G58" s="53"/>
    </row>
    <row r="59" spans="2:7">
      <c r="B59" s="49" t="s">
        <v>101</v>
      </c>
      <c r="C59" s="45"/>
      <c r="D59" s="45">
        <v>104</v>
      </c>
      <c r="E59" s="45">
        <v>63</v>
      </c>
      <c r="F59" s="50">
        <v>0</v>
      </c>
      <c r="G59" s="53"/>
    </row>
    <row r="60" spans="2:7">
      <c r="B60" s="49" t="s">
        <v>103</v>
      </c>
      <c r="C60" s="45"/>
      <c r="D60" s="45">
        <v>114</v>
      </c>
      <c r="E60" s="45">
        <v>0</v>
      </c>
      <c r="F60" s="50">
        <v>0</v>
      </c>
      <c r="G60" s="53"/>
    </row>
    <row r="61" spans="2:7" ht="25">
      <c r="B61" s="49" t="s">
        <v>107</v>
      </c>
      <c r="C61" s="45"/>
      <c r="D61" s="45">
        <v>72</v>
      </c>
      <c r="E61" s="45">
        <v>0</v>
      </c>
      <c r="F61" s="50">
        <v>0</v>
      </c>
      <c r="G61" s="53" t="s">
        <v>106</v>
      </c>
    </row>
    <row r="62" spans="2:7">
      <c r="B62" s="49" t="s">
        <v>108</v>
      </c>
      <c r="C62" s="45"/>
      <c r="D62" s="45">
        <v>93</v>
      </c>
      <c r="E62" s="45">
        <v>0</v>
      </c>
      <c r="F62" s="50">
        <v>0</v>
      </c>
      <c r="G62" s="53"/>
    </row>
    <row r="63" spans="2:7">
      <c r="B63" s="49" t="s">
        <v>114</v>
      </c>
      <c r="C63" s="45"/>
      <c r="D63" s="45">
        <f>24+32</f>
        <v>56</v>
      </c>
      <c r="E63" s="45">
        <v>0</v>
      </c>
      <c r="F63" s="50">
        <v>0</v>
      </c>
      <c r="G63" s="53" t="s">
        <v>116</v>
      </c>
    </row>
    <row r="65" spans="2:7">
      <c r="B65" s="46" t="s">
        <v>67</v>
      </c>
      <c r="D65">
        <f>31*7</f>
        <v>217</v>
      </c>
    </row>
    <row r="66" spans="2:7" ht="25">
      <c r="B66" s="47" t="s">
        <v>6</v>
      </c>
      <c r="C66" s="47"/>
      <c r="D66" s="109" t="s">
        <v>68</v>
      </c>
      <c r="E66" s="109"/>
      <c r="F66" s="48" t="s">
        <v>75</v>
      </c>
      <c r="G66" s="56" t="s">
        <v>47</v>
      </c>
    </row>
    <row r="67" spans="2:7">
      <c r="B67" s="45"/>
      <c r="C67" s="45"/>
      <c r="D67" s="45" t="s">
        <v>48</v>
      </c>
      <c r="E67" s="45" t="s">
        <v>49</v>
      </c>
      <c r="F67" s="45"/>
      <c r="G67" s="51"/>
    </row>
    <row r="68" spans="2:7">
      <c r="B68" s="45" t="s">
        <v>50</v>
      </c>
      <c r="C68" s="45"/>
      <c r="D68" s="45">
        <v>0</v>
      </c>
      <c r="E68" s="45">
        <v>0</v>
      </c>
      <c r="F68" s="50">
        <v>450</v>
      </c>
      <c r="G68" s="51" t="s">
        <v>23</v>
      </c>
    </row>
    <row r="69" spans="2:7">
      <c r="B69" s="47" t="s">
        <v>51</v>
      </c>
      <c r="C69" s="45"/>
      <c r="D69" s="45">
        <v>0</v>
      </c>
      <c r="E69" s="45">
        <v>0</v>
      </c>
      <c r="F69" s="50"/>
      <c r="G69" s="51"/>
    </row>
    <row r="70" spans="2:7" ht="25">
      <c r="B70" s="45" t="s">
        <v>52</v>
      </c>
      <c r="C70" s="45"/>
      <c r="D70" s="45">
        <v>238</v>
      </c>
      <c r="E70" s="45">
        <v>0</v>
      </c>
      <c r="F70" s="50"/>
      <c r="G70" s="51" t="s">
        <v>33</v>
      </c>
    </row>
    <row r="71" spans="2:7">
      <c r="B71" s="45" t="s">
        <v>53</v>
      </c>
      <c r="C71" s="45"/>
      <c r="D71" s="45">
        <v>210</v>
      </c>
      <c r="E71" s="45">
        <v>112</v>
      </c>
      <c r="F71" s="50">
        <v>120</v>
      </c>
      <c r="G71" s="51" t="s">
        <v>23</v>
      </c>
    </row>
    <row r="72" spans="2:7">
      <c r="B72" s="45" t="s">
        <v>54</v>
      </c>
      <c r="C72" s="45"/>
      <c r="D72" s="45">
        <v>182</v>
      </c>
      <c r="E72" s="45">
        <v>196</v>
      </c>
      <c r="F72" s="50">
        <v>90</v>
      </c>
      <c r="G72" s="51" t="s">
        <v>23</v>
      </c>
    </row>
    <row r="73" spans="2:7">
      <c r="B73" s="45" t="s">
        <v>55</v>
      </c>
      <c r="C73" s="45"/>
      <c r="D73" s="45">
        <v>252</v>
      </c>
      <c r="E73" s="45">
        <v>140</v>
      </c>
      <c r="F73" s="45"/>
      <c r="G73" s="51"/>
    </row>
    <row r="74" spans="2:7">
      <c r="B74" s="45" t="s">
        <v>56</v>
      </c>
      <c r="C74" s="45"/>
      <c r="D74" s="45">
        <v>252</v>
      </c>
      <c r="E74" s="45">
        <v>112</v>
      </c>
      <c r="F74" s="45"/>
      <c r="G74" s="51"/>
    </row>
    <row r="75" spans="2:7">
      <c r="B75" s="45" t="s">
        <v>57</v>
      </c>
      <c r="C75" s="45"/>
      <c r="D75" s="45">
        <v>280</v>
      </c>
      <c r="E75" s="45">
        <v>126</v>
      </c>
      <c r="F75" s="45"/>
      <c r="G75" s="51"/>
    </row>
    <row r="76" spans="2:7">
      <c r="B76" s="47" t="s">
        <v>58</v>
      </c>
      <c r="C76" s="45"/>
      <c r="D76" s="45"/>
      <c r="E76" s="45"/>
      <c r="F76" s="45"/>
      <c r="G76" s="51"/>
    </row>
    <row r="77" spans="2:7" ht="50">
      <c r="B77" s="45" t="s">
        <v>59</v>
      </c>
      <c r="C77" s="45"/>
      <c r="D77" s="45">
        <v>266</v>
      </c>
      <c r="E77" s="45">
        <v>60</v>
      </c>
      <c r="F77" s="50">
        <v>120</v>
      </c>
      <c r="G77" s="51" t="s">
        <v>77</v>
      </c>
    </row>
    <row r="78" spans="2:7" ht="25">
      <c r="B78" s="45" t="s">
        <v>60</v>
      </c>
      <c r="C78" s="45"/>
      <c r="D78" s="45">
        <v>196</v>
      </c>
      <c r="E78" s="45">
        <v>98</v>
      </c>
      <c r="F78" s="50">
        <v>70</v>
      </c>
      <c r="G78" s="51" t="s">
        <v>39</v>
      </c>
    </row>
    <row r="79" spans="2:7">
      <c r="B79" s="45" t="s">
        <v>61</v>
      </c>
      <c r="C79" s="45"/>
      <c r="D79" s="45">
        <v>252</v>
      </c>
      <c r="E79" s="45">
        <v>98</v>
      </c>
      <c r="F79" s="52">
        <v>56</v>
      </c>
      <c r="G79" s="51"/>
    </row>
    <row r="80" spans="2:7">
      <c r="B80" s="45" t="s">
        <v>62</v>
      </c>
      <c r="C80" s="45"/>
      <c r="D80" s="45">
        <v>252</v>
      </c>
      <c r="E80" s="45">
        <v>56</v>
      </c>
      <c r="F80" s="52">
        <v>3</v>
      </c>
      <c r="G80" s="57" t="s">
        <v>42</v>
      </c>
    </row>
    <row r="81" spans="2:7">
      <c r="B81" s="45" t="s">
        <v>63</v>
      </c>
      <c r="C81" s="45"/>
      <c r="D81" s="45">
        <v>210</v>
      </c>
      <c r="E81" s="45">
        <v>28</v>
      </c>
      <c r="F81" s="52"/>
      <c r="G81" s="57" t="s">
        <v>44</v>
      </c>
    </row>
    <row r="82" spans="2:7">
      <c r="B82" s="45" t="s">
        <v>64</v>
      </c>
      <c r="C82" s="45"/>
      <c r="D82" s="45">
        <v>210</v>
      </c>
      <c r="E82" s="45">
        <v>140</v>
      </c>
      <c r="F82" s="45"/>
      <c r="G82" s="51"/>
    </row>
    <row r="83" spans="2:7" ht="25">
      <c r="B83" s="45" t="s">
        <v>69</v>
      </c>
      <c r="C83" s="45"/>
      <c r="D83" s="45">
        <v>224</v>
      </c>
      <c r="E83" s="45">
        <v>154</v>
      </c>
      <c r="F83" s="45"/>
      <c r="G83" s="51" t="s">
        <v>70</v>
      </c>
    </row>
    <row r="84" spans="2:7" ht="25">
      <c r="B84" s="45" t="s">
        <v>72</v>
      </c>
      <c r="C84" s="45"/>
      <c r="D84" s="45">
        <v>322</v>
      </c>
      <c r="E84" s="45">
        <v>0</v>
      </c>
      <c r="F84" s="45"/>
      <c r="G84" s="58" t="s">
        <v>73</v>
      </c>
    </row>
    <row r="85" spans="2:7">
      <c r="B85" s="45" t="s">
        <v>74</v>
      </c>
      <c r="C85" s="45"/>
      <c r="D85" s="45">
        <v>224</v>
      </c>
      <c r="E85" s="45">
        <v>210</v>
      </c>
      <c r="F85" s="45"/>
      <c r="G85" s="58"/>
    </row>
    <row r="86" spans="2:7" ht="25">
      <c r="B86" s="45" t="s">
        <v>78</v>
      </c>
      <c r="C86" s="45"/>
      <c r="D86" s="45">
        <v>252</v>
      </c>
      <c r="E86" s="45">
        <v>0</v>
      </c>
      <c r="F86" s="45"/>
      <c r="G86" s="58" t="s">
        <v>79</v>
      </c>
    </row>
    <row r="87" spans="2:7">
      <c r="B87" s="45" t="s">
        <v>87</v>
      </c>
      <c r="C87" s="45"/>
      <c r="D87" s="45">
        <v>294</v>
      </c>
      <c r="E87" s="45">
        <v>212</v>
      </c>
      <c r="F87" s="45"/>
      <c r="G87" s="58"/>
    </row>
    <row r="88" spans="2:7" ht="25">
      <c r="B88" s="49" t="s">
        <v>89</v>
      </c>
      <c r="C88" s="45"/>
      <c r="D88" s="45">
        <v>238</v>
      </c>
      <c r="E88" s="45">
        <v>0</v>
      </c>
      <c r="F88" s="45"/>
      <c r="G88" s="58" t="s">
        <v>92</v>
      </c>
    </row>
    <row r="89" spans="2:7">
      <c r="B89" s="49" t="s">
        <v>97</v>
      </c>
      <c r="C89" s="45"/>
      <c r="D89" s="45">
        <v>252</v>
      </c>
      <c r="E89" s="45">
        <v>0</v>
      </c>
      <c r="F89" s="45"/>
      <c r="G89" s="58"/>
    </row>
    <row r="90" spans="2:7">
      <c r="B90" s="49" t="s">
        <v>98</v>
      </c>
      <c r="C90" s="45"/>
      <c r="D90" s="45">
        <v>294</v>
      </c>
      <c r="E90" s="45">
        <v>56</v>
      </c>
      <c r="F90" s="45"/>
      <c r="G90" s="58" t="s">
        <v>102</v>
      </c>
    </row>
    <row r="91" spans="2:7">
      <c r="B91" s="49" t="s">
        <v>101</v>
      </c>
      <c r="C91" s="45"/>
      <c r="D91" s="45">
        <v>294</v>
      </c>
      <c r="E91" s="45">
        <v>0</v>
      </c>
      <c r="F91" s="45"/>
      <c r="G91" s="58"/>
    </row>
    <row r="92" spans="2:7">
      <c r="B92" s="49" t="s">
        <v>103</v>
      </c>
      <c r="C92" s="45"/>
      <c r="D92" s="45">
        <v>252</v>
      </c>
      <c r="E92" s="45">
        <v>28</v>
      </c>
      <c r="F92" s="45"/>
      <c r="G92" s="58" t="s">
        <v>104</v>
      </c>
    </row>
    <row r="93" spans="2:7">
      <c r="B93" s="49" t="s">
        <v>107</v>
      </c>
      <c r="C93" s="45"/>
      <c r="D93" s="45">
        <v>280</v>
      </c>
      <c r="E93" s="45"/>
      <c r="F93" s="45"/>
      <c r="G93" s="58"/>
    </row>
    <row r="94" spans="2:7" ht="25">
      <c r="B94" s="59" t="s">
        <v>108</v>
      </c>
      <c r="C94" s="12"/>
      <c r="D94" s="12">
        <v>166</v>
      </c>
      <c r="E94" s="45"/>
      <c r="F94" s="45"/>
      <c r="G94" s="58" t="s">
        <v>110</v>
      </c>
    </row>
    <row r="95" spans="2:7">
      <c r="B95" s="59" t="s">
        <v>114</v>
      </c>
      <c r="C95" s="12"/>
      <c r="D95" s="12"/>
      <c r="E95" s="45"/>
      <c r="F95" s="45"/>
      <c r="G95" s="58" t="s">
        <v>115</v>
      </c>
    </row>
  </sheetData>
  <mergeCells count="4">
    <mergeCell ref="D2:E2"/>
    <mergeCell ref="H2:I2"/>
    <mergeCell ref="D34:E34"/>
    <mergeCell ref="D66:E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102D-28C0-4742-912B-B29B440E494F}">
  <dimension ref="A1:AK42"/>
  <sheetViews>
    <sheetView zoomScale="50" zoomScaleNormal="5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D15" sqref="D15"/>
    </sheetView>
  </sheetViews>
  <sheetFormatPr defaultRowHeight="12.5"/>
  <cols>
    <col min="1" max="1" width="31.7265625" style="2" bestFit="1" customWidth="1"/>
    <col min="2" max="2" width="18.90625" style="2" customWidth="1"/>
    <col min="3" max="3" width="25.453125" style="2" bestFit="1" customWidth="1"/>
    <col min="4" max="4" width="12.6328125" style="18" bestFit="1" customWidth="1"/>
    <col min="5" max="20" width="12.81640625" style="2" customWidth="1"/>
    <col min="21" max="21" width="16.453125" style="2" bestFit="1" customWidth="1"/>
    <col min="22" max="23" width="12.81640625" style="2" customWidth="1"/>
    <col min="24" max="25" width="15" style="2" customWidth="1"/>
    <col min="26" max="35" width="12.81640625" style="2" customWidth="1"/>
    <col min="36" max="16384" width="8.7265625" style="2"/>
  </cols>
  <sheetData>
    <row r="1" spans="1:37">
      <c r="A1" s="1" t="s">
        <v>0</v>
      </c>
    </row>
    <row r="2" spans="1:37" ht="27" customHeight="1">
      <c r="A2" s="29" t="s">
        <v>21</v>
      </c>
      <c r="B2" s="29" t="s">
        <v>22</v>
      </c>
      <c r="C2" s="5"/>
      <c r="D2" s="24" t="s">
        <v>18</v>
      </c>
      <c r="E2" s="8">
        <v>45962</v>
      </c>
      <c r="F2" s="9">
        <f>E2+1</f>
        <v>45963</v>
      </c>
      <c r="G2" s="8">
        <f>F2+1</f>
        <v>45964</v>
      </c>
      <c r="H2" s="8">
        <f>G2+1</f>
        <v>45965</v>
      </c>
      <c r="I2" s="8">
        <f>H2+1</f>
        <v>45966</v>
      </c>
      <c r="J2" s="8">
        <f>I2+1</f>
        <v>45967</v>
      </c>
      <c r="K2" s="8">
        <f t="shared" ref="K2:M2" si="0">J2+1</f>
        <v>45968</v>
      </c>
      <c r="L2" s="8">
        <f t="shared" si="0"/>
        <v>45969</v>
      </c>
      <c r="M2" s="9">
        <f t="shared" si="0"/>
        <v>45970</v>
      </c>
      <c r="N2" s="8">
        <f>M2+1</f>
        <v>45971</v>
      </c>
      <c r="O2" s="8">
        <f>N2+1</f>
        <v>45972</v>
      </c>
      <c r="P2" s="8">
        <f t="shared" ref="P2:T2" si="1">O2+1</f>
        <v>45973</v>
      </c>
      <c r="Q2" s="8">
        <f t="shared" si="1"/>
        <v>45974</v>
      </c>
      <c r="R2" s="8">
        <f t="shared" si="1"/>
        <v>45975</v>
      </c>
      <c r="S2" s="8">
        <f t="shared" si="1"/>
        <v>45976</v>
      </c>
      <c r="T2" s="9">
        <f t="shared" si="1"/>
        <v>45977</v>
      </c>
      <c r="U2" s="8">
        <f>T2+1</f>
        <v>45978</v>
      </c>
      <c r="V2" s="8">
        <f>U2+1</f>
        <v>45979</v>
      </c>
      <c r="W2" s="8">
        <f t="shared" ref="W2:AA2" si="2">V2+1</f>
        <v>45980</v>
      </c>
      <c r="X2" s="8">
        <f t="shared" si="2"/>
        <v>45981</v>
      </c>
      <c r="Y2" s="8">
        <f t="shared" si="2"/>
        <v>45982</v>
      </c>
      <c r="Z2" s="8">
        <f t="shared" si="2"/>
        <v>45983</v>
      </c>
      <c r="AA2" s="9">
        <f t="shared" si="2"/>
        <v>45984</v>
      </c>
      <c r="AB2" s="8">
        <f>AA2+1</f>
        <v>45985</v>
      </c>
      <c r="AC2" s="8">
        <f>AB2+1</f>
        <v>45986</v>
      </c>
      <c r="AD2" s="8">
        <f t="shared" ref="AD2:AH2" si="3">AC2+1</f>
        <v>45987</v>
      </c>
      <c r="AE2" s="8">
        <f t="shared" si="3"/>
        <v>45988</v>
      </c>
      <c r="AF2" s="8">
        <f t="shared" si="3"/>
        <v>45989</v>
      </c>
      <c r="AG2" s="8">
        <f t="shared" si="3"/>
        <v>45990</v>
      </c>
      <c r="AH2" s="9">
        <f t="shared" si="3"/>
        <v>45991</v>
      </c>
      <c r="AI2" s="8">
        <f>AH2+1</f>
        <v>45992</v>
      </c>
    </row>
    <row r="3" spans="1:37" ht="20">
      <c r="A3" s="27">
        <f ca="1">TODAY()-1</f>
        <v>46156</v>
      </c>
      <c r="B3" s="28" t="e">
        <f ca="1">HLOOKUP(A3,E2:AI3,2,0)</f>
        <v>#N/A</v>
      </c>
      <c r="C3" s="5"/>
      <c r="D3" s="19" t="str">
        <f>CONCATENATE(D5,"/",D4)</f>
        <v>16141/19886</v>
      </c>
      <c r="E3" s="19" t="str">
        <f>CONCATENATE(E5,"/",E4)</f>
        <v>216/406</v>
      </c>
      <c r="F3" s="34" t="str">
        <f t="shared" ref="F3:AI3" si="4">CONCATENATE(F5,"/",F4)</f>
        <v>171/250</v>
      </c>
      <c r="G3" s="19" t="str">
        <f t="shared" si="4"/>
        <v>654/708</v>
      </c>
      <c r="H3" s="19" t="str">
        <f t="shared" si="4"/>
        <v>697/976</v>
      </c>
      <c r="I3" s="19" t="str">
        <f t="shared" si="4"/>
        <v>719/918</v>
      </c>
      <c r="J3" s="19" t="str">
        <f t="shared" si="4"/>
        <v>827/840</v>
      </c>
      <c r="K3" s="19" t="str">
        <f t="shared" si="4"/>
        <v>688/837</v>
      </c>
      <c r="L3" s="19" t="str">
        <f t="shared" si="4"/>
        <v>680/762</v>
      </c>
      <c r="M3" s="34" t="str">
        <f t="shared" si="4"/>
        <v>0/0</v>
      </c>
      <c r="N3" s="19" t="str">
        <f t="shared" si="4"/>
        <v>722/768</v>
      </c>
      <c r="O3" s="19" t="str">
        <f t="shared" si="4"/>
        <v>641/778</v>
      </c>
      <c r="P3" s="19" t="str">
        <f t="shared" si="4"/>
        <v>673/908</v>
      </c>
      <c r="Q3" s="19" t="str">
        <f t="shared" si="4"/>
        <v>670/780</v>
      </c>
      <c r="R3" s="19" t="str">
        <f t="shared" si="4"/>
        <v>533/657</v>
      </c>
      <c r="S3" s="19" t="str">
        <f t="shared" si="4"/>
        <v>626/726</v>
      </c>
      <c r="T3" s="34" t="str">
        <f t="shared" si="4"/>
        <v>0/0</v>
      </c>
      <c r="U3" s="19" t="str">
        <f t="shared" si="4"/>
        <v>615/892</v>
      </c>
      <c r="V3" s="19" t="str">
        <f t="shared" si="4"/>
        <v>781/818</v>
      </c>
      <c r="W3" s="19" t="str">
        <f t="shared" si="4"/>
        <v>699/834</v>
      </c>
      <c r="X3" s="19" t="str">
        <f t="shared" si="4"/>
        <v>577/728</v>
      </c>
      <c r="Y3" s="19" t="str">
        <f t="shared" si="4"/>
        <v>794/912</v>
      </c>
      <c r="Z3" s="19" t="str">
        <f t="shared" si="4"/>
        <v>527/728</v>
      </c>
      <c r="AA3" s="34" t="str">
        <f t="shared" si="4"/>
        <v>0/0</v>
      </c>
      <c r="AB3" s="19" t="str">
        <f t="shared" si="4"/>
        <v>614/728</v>
      </c>
      <c r="AC3" s="19" t="str">
        <f t="shared" si="4"/>
        <v>651/812</v>
      </c>
      <c r="AD3" s="19" t="str">
        <f t="shared" si="4"/>
        <v>629/728</v>
      </c>
      <c r="AE3" s="19" t="str">
        <f t="shared" si="4"/>
        <v>604/728</v>
      </c>
      <c r="AF3" s="19" t="str">
        <f t="shared" si="4"/>
        <v>591/728</v>
      </c>
      <c r="AG3" s="19" t="str">
        <f t="shared" si="4"/>
        <v>430/648</v>
      </c>
      <c r="AH3" s="34" t="str">
        <f t="shared" si="4"/>
        <v>112/288</v>
      </c>
      <c r="AI3" s="19" t="str">
        <f t="shared" si="4"/>
        <v>0/0</v>
      </c>
    </row>
    <row r="4" spans="1:37" ht="20">
      <c r="A4" s="28" t="s">
        <v>28</v>
      </c>
      <c r="B4" s="28" t="str">
        <f>D3</f>
        <v>16141/19886</v>
      </c>
      <c r="C4" s="23" t="s">
        <v>1</v>
      </c>
      <c r="D4" s="19">
        <f t="shared" ref="D4:AI5" si="5">D12+D20+D28</f>
        <v>19886</v>
      </c>
      <c r="E4" s="19">
        <f t="shared" si="5"/>
        <v>406</v>
      </c>
      <c r="F4" s="34">
        <f t="shared" si="5"/>
        <v>250</v>
      </c>
      <c r="G4" s="19">
        <f t="shared" si="5"/>
        <v>708</v>
      </c>
      <c r="H4" s="19">
        <f t="shared" si="5"/>
        <v>976</v>
      </c>
      <c r="I4" s="19">
        <f t="shared" si="5"/>
        <v>918</v>
      </c>
      <c r="J4" s="19">
        <f t="shared" si="5"/>
        <v>840</v>
      </c>
      <c r="K4" s="19">
        <f t="shared" si="5"/>
        <v>837</v>
      </c>
      <c r="L4" s="19">
        <f t="shared" si="5"/>
        <v>762</v>
      </c>
      <c r="M4" s="34">
        <f t="shared" si="5"/>
        <v>0</v>
      </c>
      <c r="N4" s="19">
        <f t="shared" si="5"/>
        <v>768</v>
      </c>
      <c r="O4" s="19">
        <f t="shared" si="5"/>
        <v>778</v>
      </c>
      <c r="P4" s="19">
        <f t="shared" si="5"/>
        <v>908</v>
      </c>
      <c r="Q4" s="19">
        <f t="shared" si="5"/>
        <v>780</v>
      </c>
      <c r="R4" s="19">
        <f t="shared" si="5"/>
        <v>657</v>
      </c>
      <c r="S4" s="19">
        <f t="shared" si="5"/>
        <v>726</v>
      </c>
      <c r="T4" s="34">
        <f t="shared" si="5"/>
        <v>0</v>
      </c>
      <c r="U4" s="19">
        <f t="shared" si="5"/>
        <v>892</v>
      </c>
      <c r="V4" s="19">
        <f t="shared" si="5"/>
        <v>818</v>
      </c>
      <c r="W4" s="19">
        <f t="shared" si="5"/>
        <v>834</v>
      </c>
      <c r="X4" s="19">
        <f t="shared" si="5"/>
        <v>728</v>
      </c>
      <c r="Y4" s="19">
        <f t="shared" si="5"/>
        <v>912</v>
      </c>
      <c r="Z4" s="19">
        <f t="shared" si="5"/>
        <v>728</v>
      </c>
      <c r="AA4" s="34">
        <f t="shared" si="5"/>
        <v>0</v>
      </c>
      <c r="AB4" s="19">
        <f t="shared" si="5"/>
        <v>728</v>
      </c>
      <c r="AC4" s="19">
        <f t="shared" si="5"/>
        <v>812</v>
      </c>
      <c r="AD4" s="19">
        <f t="shared" si="5"/>
        <v>728</v>
      </c>
      <c r="AE4" s="19">
        <f t="shared" si="5"/>
        <v>728</v>
      </c>
      <c r="AF4" s="19">
        <f t="shared" si="5"/>
        <v>728</v>
      </c>
      <c r="AG4" s="19">
        <f t="shared" si="5"/>
        <v>648</v>
      </c>
      <c r="AH4" s="34">
        <f t="shared" si="5"/>
        <v>288</v>
      </c>
      <c r="AI4" s="19">
        <f t="shared" si="5"/>
        <v>0</v>
      </c>
    </row>
    <row r="5" spans="1:37" ht="20">
      <c r="A5" s="28" t="s">
        <v>19</v>
      </c>
      <c r="B5" s="43">
        <f>D5/D4</f>
        <v>0.81167655637131653</v>
      </c>
      <c r="C5" s="23" t="s">
        <v>2</v>
      </c>
      <c r="D5" s="19">
        <f t="shared" si="5"/>
        <v>16141</v>
      </c>
      <c r="E5" s="19">
        <f t="shared" si="5"/>
        <v>216</v>
      </c>
      <c r="F5" s="34">
        <f t="shared" si="5"/>
        <v>171</v>
      </c>
      <c r="G5" s="19">
        <f t="shared" si="5"/>
        <v>654</v>
      </c>
      <c r="H5" s="19">
        <f t="shared" si="5"/>
        <v>697</v>
      </c>
      <c r="I5" s="19">
        <f t="shared" si="5"/>
        <v>719</v>
      </c>
      <c r="J5" s="19">
        <f t="shared" si="5"/>
        <v>827</v>
      </c>
      <c r="K5" s="19">
        <f t="shared" si="5"/>
        <v>688</v>
      </c>
      <c r="L5" s="19">
        <f t="shared" si="5"/>
        <v>680</v>
      </c>
      <c r="M5" s="34">
        <f t="shared" si="5"/>
        <v>0</v>
      </c>
      <c r="N5" s="19">
        <f t="shared" si="5"/>
        <v>722</v>
      </c>
      <c r="O5" s="19">
        <f t="shared" si="5"/>
        <v>641</v>
      </c>
      <c r="P5" s="19">
        <f t="shared" si="5"/>
        <v>673</v>
      </c>
      <c r="Q5" s="19">
        <f t="shared" si="5"/>
        <v>670</v>
      </c>
      <c r="R5" s="19">
        <f t="shared" si="5"/>
        <v>533</v>
      </c>
      <c r="S5" s="19">
        <f t="shared" si="5"/>
        <v>626</v>
      </c>
      <c r="T5" s="34">
        <f t="shared" si="5"/>
        <v>0</v>
      </c>
      <c r="U5" s="19">
        <f t="shared" si="5"/>
        <v>615</v>
      </c>
      <c r="V5" s="19">
        <f t="shared" si="5"/>
        <v>781</v>
      </c>
      <c r="W5" s="19">
        <f t="shared" si="5"/>
        <v>699</v>
      </c>
      <c r="X5" s="19">
        <f t="shared" si="5"/>
        <v>577</v>
      </c>
      <c r="Y5" s="19">
        <f t="shared" si="5"/>
        <v>794</v>
      </c>
      <c r="Z5" s="19">
        <f t="shared" si="5"/>
        <v>527</v>
      </c>
      <c r="AA5" s="34">
        <f t="shared" si="5"/>
        <v>0</v>
      </c>
      <c r="AB5" s="19">
        <f t="shared" si="5"/>
        <v>614</v>
      </c>
      <c r="AC5" s="19">
        <f t="shared" si="5"/>
        <v>651</v>
      </c>
      <c r="AD5" s="19">
        <f t="shared" si="5"/>
        <v>629</v>
      </c>
      <c r="AE5" s="19">
        <f>AE13+AE21+AE29</f>
        <v>604</v>
      </c>
      <c r="AF5" s="19">
        <f t="shared" si="5"/>
        <v>591</v>
      </c>
      <c r="AG5" s="19">
        <f t="shared" si="5"/>
        <v>430</v>
      </c>
      <c r="AH5" s="34">
        <f t="shared" si="5"/>
        <v>112</v>
      </c>
      <c r="AI5" s="19">
        <f t="shared" si="5"/>
        <v>0</v>
      </c>
    </row>
    <row r="6" spans="1:37" s="17" customFormat="1" ht="13">
      <c r="C6" s="6" t="s">
        <v>3</v>
      </c>
      <c r="D6" s="6"/>
      <c r="E6" s="6" t="str">
        <f t="shared" ref="E6:J6" si="6">TEXT(E7,"ddd")</f>
        <v>Sat</v>
      </c>
      <c r="F6" s="6" t="str">
        <f t="shared" si="6"/>
        <v>Sun</v>
      </c>
      <c r="G6" s="6" t="str">
        <f t="shared" si="6"/>
        <v>Mon</v>
      </c>
      <c r="H6" s="6" t="str">
        <f t="shared" si="6"/>
        <v>Tue</v>
      </c>
      <c r="I6" s="6" t="str">
        <f t="shared" si="6"/>
        <v>Wed</v>
      </c>
      <c r="J6" s="6" t="str">
        <f t="shared" si="6"/>
        <v>Thu</v>
      </c>
      <c r="K6" s="6" t="str">
        <f t="shared" ref="K6:AI6" si="7">TEXT(K7,"ddd")</f>
        <v>Fri</v>
      </c>
      <c r="L6" s="6" t="str">
        <f t="shared" si="7"/>
        <v>Sat</v>
      </c>
      <c r="M6" s="6" t="str">
        <f t="shared" si="7"/>
        <v>Sun</v>
      </c>
      <c r="N6" s="6" t="str">
        <f t="shared" si="7"/>
        <v>Mon</v>
      </c>
      <c r="O6" s="6" t="str">
        <f t="shared" si="7"/>
        <v>Tue</v>
      </c>
      <c r="P6" s="6" t="str">
        <f t="shared" si="7"/>
        <v>Wed</v>
      </c>
      <c r="Q6" s="6" t="str">
        <f t="shared" si="7"/>
        <v>Thu</v>
      </c>
      <c r="R6" s="6" t="str">
        <f t="shared" si="7"/>
        <v>Fri</v>
      </c>
      <c r="S6" s="6" t="str">
        <f t="shared" si="7"/>
        <v>Sat</v>
      </c>
      <c r="T6" s="6" t="str">
        <f t="shared" si="7"/>
        <v>Sun</v>
      </c>
      <c r="U6" s="6" t="str">
        <f t="shared" si="7"/>
        <v>Mon</v>
      </c>
      <c r="V6" s="6" t="str">
        <f t="shared" si="7"/>
        <v>Tue</v>
      </c>
      <c r="W6" s="6" t="str">
        <f t="shared" si="7"/>
        <v>Wed</v>
      </c>
      <c r="X6" s="6" t="str">
        <f t="shared" si="7"/>
        <v>Thu</v>
      </c>
      <c r="Y6" s="6" t="str">
        <f t="shared" si="7"/>
        <v>Fri</v>
      </c>
      <c r="Z6" s="6" t="str">
        <f t="shared" si="7"/>
        <v>Sat</v>
      </c>
      <c r="AA6" s="6" t="str">
        <f t="shared" si="7"/>
        <v>Sun</v>
      </c>
      <c r="AB6" s="6" t="str">
        <f t="shared" si="7"/>
        <v>Mon</v>
      </c>
      <c r="AC6" s="6" t="str">
        <f t="shared" si="7"/>
        <v>Tue</v>
      </c>
      <c r="AD6" s="6" t="str">
        <f t="shared" si="7"/>
        <v>Wed</v>
      </c>
      <c r="AE6" s="6" t="str">
        <f t="shared" si="7"/>
        <v>Thu</v>
      </c>
      <c r="AF6" s="6" t="str">
        <f t="shared" si="7"/>
        <v>Fri</v>
      </c>
      <c r="AG6" s="6" t="str">
        <f t="shared" si="7"/>
        <v>Sat</v>
      </c>
      <c r="AH6" s="6" t="str">
        <f t="shared" si="7"/>
        <v>Sun</v>
      </c>
      <c r="AI6" s="6" t="str">
        <f t="shared" si="7"/>
        <v>Mon</v>
      </c>
    </row>
    <row r="7" spans="1:37" s="17" customFormat="1" ht="13">
      <c r="A7" s="6" t="s">
        <v>4</v>
      </c>
      <c r="B7" s="6" t="s">
        <v>5</v>
      </c>
      <c r="C7" s="6" t="s">
        <v>6</v>
      </c>
      <c r="D7" s="6"/>
      <c r="E7" s="8">
        <v>45962</v>
      </c>
      <c r="F7" s="9">
        <f>E7+1</f>
        <v>45963</v>
      </c>
      <c r="G7" s="8">
        <f>F7+1</f>
        <v>45964</v>
      </c>
      <c r="H7" s="8">
        <f>G7+1</f>
        <v>45965</v>
      </c>
      <c r="I7" s="8">
        <f t="shared" ref="I7:M7" si="8">H7+1</f>
        <v>45966</v>
      </c>
      <c r="J7" s="8">
        <f t="shared" si="8"/>
        <v>45967</v>
      </c>
      <c r="K7" s="8">
        <f t="shared" si="8"/>
        <v>45968</v>
      </c>
      <c r="L7" s="8">
        <f t="shared" si="8"/>
        <v>45969</v>
      </c>
      <c r="M7" s="9">
        <f t="shared" si="8"/>
        <v>45970</v>
      </c>
      <c r="N7" s="8">
        <f>M7+1</f>
        <v>45971</v>
      </c>
      <c r="O7" s="8">
        <f>N7+1</f>
        <v>45972</v>
      </c>
      <c r="P7" s="8">
        <f t="shared" ref="P7:T7" si="9">O7+1</f>
        <v>45973</v>
      </c>
      <c r="Q7" s="8">
        <f t="shared" si="9"/>
        <v>45974</v>
      </c>
      <c r="R7" s="8">
        <f t="shared" si="9"/>
        <v>45975</v>
      </c>
      <c r="S7" s="8">
        <f t="shared" si="9"/>
        <v>45976</v>
      </c>
      <c r="T7" s="9">
        <f t="shared" si="9"/>
        <v>45977</v>
      </c>
      <c r="U7" s="8">
        <f>T7+1</f>
        <v>45978</v>
      </c>
      <c r="V7" s="8">
        <f>U7+1</f>
        <v>45979</v>
      </c>
      <c r="W7" s="8">
        <f t="shared" ref="W7:AA7" si="10">V7+1</f>
        <v>45980</v>
      </c>
      <c r="X7" s="8">
        <f t="shared" si="10"/>
        <v>45981</v>
      </c>
      <c r="Y7" s="8">
        <f t="shared" si="10"/>
        <v>45982</v>
      </c>
      <c r="Z7" s="8">
        <f t="shared" si="10"/>
        <v>45983</v>
      </c>
      <c r="AA7" s="9">
        <f t="shared" si="10"/>
        <v>45984</v>
      </c>
      <c r="AB7" s="8">
        <f>AA7+1</f>
        <v>45985</v>
      </c>
      <c r="AC7" s="8">
        <f>AB7+1</f>
        <v>45986</v>
      </c>
      <c r="AD7" s="8">
        <f t="shared" ref="AD7:AH7" si="11">AC7+1</f>
        <v>45987</v>
      </c>
      <c r="AE7" s="8">
        <f t="shared" si="11"/>
        <v>45988</v>
      </c>
      <c r="AF7" s="8">
        <f t="shared" si="11"/>
        <v>45989</v>
      </c>
      <c r="AG7" s="8">
        <f t="shared" si="11"/>
        <v>45990</v>
      </c>
      <c r="AH7" s="9">
        <f t="shared" si="11"/>
        <v>45991</v>
      </c>
      <c r="AI7" s="8">
        <f>AH7+1</f>
        <v>45992</v>
      </c>
    </row>
    <row r="8" spans="1:37" ht="13">
      <c r="A8" s="111" t="s">
        <v>7</v>
      </c>
      <c r="B8" s="112" t="s">
        <v>8</v>
      </c>
      <c r="C8" s="4" t="s">
        <v>9</v>
      </c>
      <c r="D8" s="22">
        <f t="shared" ref="D8:D11" si="12">SUM(E8:AI8)</f>
        <v>4140</v>
      </c>
      <c r="E8" s="10">
        <v>150</v>
      </c>
      <c r="F8" s="11">
        <v>140</v>
      </c>
      <c r="G8" s="10">
        <v>150</v>
      </c>
      <c r="H8" s="10">
        <v>150</v>
      </c>
      <c r="I8" s="10">
        <v>150</v>
      </c>
      <c r="J8" s="10">
        <v>150</v>
      </c>
      <c r="K8" s="10">
        <v>150</v>
      </c>
      <c r="L8" s="10">
        <v>150</v>
      </c>
      <c r="M8" s="11"/>
      <c r="N8" s="10">
        <v>160</v>
      </c>
      <c r="O8" s="10">
        <v>150</v>
      </c>
      <c r="P8" s="10">
        <v>160</v>
      </c>
      <c r="Q8" s="10">
        <v>80</v>
      </c>
      <c r="R8" s="13">
        <v>160</v>
      </c>
      <c r="S8" s="13">
        <v>160</v>
      </c>
      <c r="T8" s="11"/>
      <c r="U8" s="13">
        <v>160</v>
      </c>
      <c r="V8" s="13">
        <v>160</v>
      </c>
      <c r="W8" s="13">
        <v>160</v>
      </c>
      <c r="X8" s="13">
        <v>160</v>
      </c>
      <c r="Y8" s="13">
        <v>160</v>
      </c>
      <c r="Z8" s="13">
        <v>160</v>
      </c>
      <c r="AA8" s="11"/>
      <c r="AB8" s="13">
        <v>160</v>
      </c>
      <c r="AC8" s="13">
        <v>160</v>
      </c>
      <c r="AD8" s="13">
        <v>160</v>
      </c>
      <c r="AE8" s="13">
        <v>160</v>
      </c>
      <c r="AF8" s="13">
        <v>160</v>
      </c>
      <c r="AG8" s="13">
        <v>160</v>
      </c>
      <c r="AH8" s="11">
        <v>160</v>
      </c>
      <c r="AI8" s="10"/>
    </row>
    <row r="9" spans="1:37" ht="13">
      <c r="A9" s="111"/>
      <c r="B9" s="112"/>
      <c r="C9" s="4" t="s">
        <v>10</v>
      </c>
      <c r="D9" s="22">
        <f t="shared" si="12"/>
        <v>3204</v>
      </c>
      <c r="E9" s="10">
        <v>120</v>
      </c>
      <c r="F9" s="11">
        <v>91</v>
      </c>
      <c r="G9" s="10">
        <f>88+46+24</f>
        <v>158</v>
      </c>
      <c r="H9" s="10">
        <f>96</f>
        <v>96</v>
      </c>
      <c r="I9" s="10">
        <f>57+12+52</f>
        <v>121</v>
      </c>
      <c r="J9" s="10">
        <f>118+28</f>
        <v>146</v>
      </c>
      <c r="K9" s="10">
        <f>80+38</f>
        <v>118</v>
      </c>
      <c r="L9" s="10">
        <f>108+32</f>
        <v>140</v>
      </c>
      <c r="M9" s="11"/>
      <c r="N9" s="10">
        <f>132+16</f>
        <v>148</v>
      </c>
      <c r="O9" s="10">
        <v>126</v>
      </c>
      <c r="P9" s="10">
        <v>86</v>
      </c>
      <c r="Q9" s="10">
        <v>64</v>
      </c>
      <c r="R9" s="13">
        <f>112</f>
        <v>112</v>
      </c>
      <c r="S9" s="13">
        <f>72+60+12</f>
        <v>144</v>
      </c>
      <c r="T9" s="11"/>
      <c r="U9" s="13">
        <v>113</v>
      </c>
      <c r="V9" s="10">
        <v>124</v>
      </c>
      <c r="W9" s="10">
        <v>124</v>
      </c>
      <c r="X9" s="13">
        <v>132</v>
      </c>
      <c r="Y9" s="13">
        <v>136</v>
      </c>
      <c r="Z9" s="13">
        <v>110</v>
      </c>
      <c r="AA9" s="11"/>
      <c r="AB9" s="13">
        <v>126</v>
      </c>
      <c r="AC9" s="13">
        <v>140</v>
      </c>
      <c r="AD9" s="13">
        <v>81</v>
      </c>
      <c r="AE9" s="13">
        <v>120</v>
      </c>
      <c r="AF9" s="13">
        <v>135</v>
      </c>
      <c r="AG9" s="13">
        <v>81</v>
      </c>
      <c r="AH9" s="11">
        <f>96+12+4</f>
        <v>112</v>
      </c>
      <c r="AI9" s="10"/>
    </row>
    <row r="10" spans="1:37">
      <c r="A10" s="111"/>
      <c r="B10" s="113" t="s">
        <v>11</v>
      </c>
      <c r="C10" s="5" t="s">
        <v>9</v>
      </c>
      <c r="D10" s="19">
        <f t="shared" si="12"/>
        <v>2633</v>
      </c>
      <c r="E10" s="12">
        <v>128</v>
      </c>
      <c r="F10" s="11"/>
      <c r="G10" s="12">
        <v>150</v>
      </c>
      <c r="H10" s="12">
        <v>150</v>
      </c>
      <c r="I10" s="12">
        <v>150</v>
      </c>
      <c r="J10" s="12">
        <v>150</v>
      </c>
      <c r="K10" s="12">
        <v>75</v>
      </c>
      <c r="L10" s="12"/>
      <c r="M10" s="11"/>
      <c r="N10" s="12">
        <v>70</v>
      </c>
      <c r="O10" s="12">
        <v>80</v>
      </c>
      <c r="P10" s="12">
        <v>160</v>
      </c>
      <c r="Q10" s="12">
        <v>120</v>
      </c>
      <c r="R10" s="12">
        <v>0</v>
      </c>
      <c r="S10" s="12">
        <v>40</v>
      </c>
      <c r="T10" s="11"/>
      <c r="U10" s="12">
        <v>0</v>
      </c>
      <c r="V10" s="12">
        <v>160</v>
      </c>
      <c r="W10" s="12"/>
      <c r="X10" s="12">
        <v>160</v>
      </c>
      <c r="Y10" s="12">
        <v>0</v>
      </c>
      <c r="Z10" s="12">
        <v>160</v>
      </c>
      <c r="AA10" s="11"/>
      <c r="AB10" s="12">
        <v>160</v>
      </c>
      <c r="AC10" s="12">
        <v>160</v>
      </c>
      <c r="AD10" s="12">
        <v>160</v>
      </c>
      <c r="AE10" s="12">
        <v>160</v>
      </c>
      <c r="AF10" s="12">
        <v>160</v>
      </c>
      <c r="AG10" s="12">
        <v>80</v>
      </c>
      <c r="AH10" s="11">
        <v>0</v>
      </c>
      <c r="AI10" s="12"/>
    </row>
    <row r="11" spans="1:37">
      <c r="A11" s="111"/>
      <c r="B11" s="113"/>
      <c r="C11" s="5" t="s">
        <v>10</v>
      </c>
      <c r="D11" s="19">
        <f t="shared" si="12"/>
        <v>1894</v>
      </c>
      <c r="E11" s="12">
        <v>32</v>
      </c>
      <c r="F11" s="11"/>
      <c r="G11" s="12">
        <v>140</v>
      </c>
      <c r="H11" s="12">
        <v>133</v>
      </c>
      <c r="I11" s="12">
        <v>90</v>
      </c>
      <c r="J11" s="12">
        <f>104+40</f>
        <v>144</v>
      </c>
      <c r="K11" s="12">
        <v>60</v>
      </c>
      <c r="L11" s="12"/>
      <c r="M11" s="11"/>
      <c r="N11" s="12">
        <f>32+12+16</f>
        <v>60</v>
      </c>
      <c r="O11" s="12">
        <v>80</v>
      </c>
      <c r="P11" s="12">
        <v>83</v>
      </c>
      <c r="Q11" s="12">
        <v>108</v>
      </c>
      <c r="R11" s="12">
        <v>0</v>
      </c>
      <c r="S11" s="12">
        <v>28</v>
      </c>
      <c r="T11" s="11"/>
      <c r="U11" s="12">
        <v>0</v>
      </c>
      <c r="V11" s="12">
        <v>147</v>
      </c>
      <c r="W11" s="12">
        <v>16</v>
      </c>
      <c r="X11" s="12">
        <v>116</v>
      </c>
      <c r="Y11" s="12">
        <v>0</v>
      </c>
      <c r="Z11" s="12">
        <v>87</v>
      </c>
      <c r="AA11" s="11"/>
      <c r="AB11" s="12">
        <v>134</v>
      </c>
      <c r="AC11" s="12">
        <v>65</v>
      </c>
      <c r="AD11" s="12">
        <v>87</v>
      </c>
      <c r="AE11" s="12">
        <v>90</v>
      </c>
      <c r="AF11" s="12">
        <f>32+16+28+28</f>
        <v>104</v>
      </c>
      <c r="AG11" s="12">
        <v>90</v>
      </c>
      <c r="AH11" s="11">
        <v>0</v>
      </c>
      <c r="AI11" s="12"/>
      <c r="AK11" s="2">
        <v>62</v>
      </c>
    </row>
    <row r="12" spans="1:37" ht="13">
      <c r="A12" s="111"/>
      <c r="B12" s="112" t="s">
        <v>12</v>
      </c>
      <c r="C12" s="4" t="s">
        <v>9</v>
      </c>
      <c r="D12" s="22">
        <f t="shared" ref="D12:D30" si="13">SUM(E12:AI12)</f>
        <v>6773</v>
      </c>
      <c r="E12" s="13">
        <f>E8+E10</f>
        <v>278</v>
      </c>
      <c r="F12" s="7">
        <f t="shared" ref="F12:AI13" si="14">F8+F10</f>
        <v>140</v>
      </c>
      <c r="G12" s="13">
        <f>G8+G10</f>
        <v>300</v>
      </c>
      <c r="H12" s="13">
        <f t="shared" si="14"/>
        <v>300</v>
      </c>
      <c r="I12" s="13">
        <f t="shared" si="14"/>
        <v>300</v>
      </c>
      <c r="J12" s="13">
        <f t="shared" si="14"/>
        <v>300</v>
      </c>
      <c r="K12" s="13">
        <f t="shared" si="14"/>
        <v>225</v>
      </c>
      <c r="L12" s="13">
        <f t="shared" si="14"/>
        <v>150</v>
      </c>
      <c r="M12" s="7">
        <f t="shared" si="14"/>
        <v>0</v>
      </c>
      <c r="N12" s="13">
        <f t="shared" si="14"/>
        <v>230</v>
      </c>
      <c r="O12" s="13">
        <f t="shared" si="14"/>
        <v>230</v>
      </c>
      <c r="P12" s="13">
        <f t="shared" si="14"/>
        <v>320</v>
      </c>
      <c r="Q12" s="13">
        <f t="shared" si="14"/>
        <v>200</v>
      </c>
      <c r="R12" s="13">
        <f t="shared" si="14"/>
        <v>160</v>
      </c>
      <c r="S12" s="13">
        <f t="shared" si="14"/>
        <v>200</v>
      </c>
      <c r="T12" s="7">
        <f t="shared" si="14"/>
        <v>0</v>
      </c>
      <c r="U12" s="13">
        <f t="shared" si="14"/>
        <v>160</v>
      </c>
      <c r="V12" s="13">
        <f t="shared" si="14"/>
        <v>320</v>
      </c>
      <c r="W12" s="13">
        <f t="shared" si="14"/>
        <v>160</v>
      </c>
      <c r="X12" s="13">
        <f t="shared" si="14"/>
        <v>320</v>
      </c>
      <c r="Y12" s="13">
        <f t="shared" si="14"/>
        <v>160</v>
      </c>
      <c r="Z12" s="13">
        <f t="shared" si="14"/>
        <v>320</v>
      </c>
      <c r="AA12" s="7">
        <f t="shared" si="14"/>
        <v>0</v>
      </c>
      <c r="AB12" s="13">
        <f t="shared" si="14"/>
        <v>320</v>
      </c>
      <c r="AC12" s="13">
        <f t="shared" si="14"/>
        <v>320</v>
      </c>
      <c r="AD12" s="13">
        <f t="shared" si="14"/>
        <v>320</v>
      </c>
      <c r="AE12" s="13">
        <f t="shared" si="14"/>
        <v>320</v>
      </c>
      <c r="AF12" s="13">
        <f t="shared" si="14"/>
        <v>320</v>
      </c>
      <c r="AG12" s="13">
        <f t="shared" si="14"/>
        <v>240</v>
      </c>
      <c r="AH12" s="7">
        <f t="shared" si="14"/>
        <v>160</v>
      </c>
      <c r="AI12" s="13">
        <f t="shared" si="14"/>
        <v>0</v>
      </c>
    </row>
    <row r="13" spans="1:37" ht="13">
      <c r="A13" s="111"/>
      <c r="B13" s="112"/>
      <c r="C13" s="4" t="s">
        <v>10</v>
      </c>
      <c r="D13" s="22">
        <f t="shared" si="13"/>
        <v>5098</v>
      </c>
      <c r="E13" s="13">
        <f>E9+E11</f>
        <v>152</v>
      </c>
      <c r="F13" s="7">
        <f t="shared" si="14"/>
        <v>91</v>
      </c>
      <c r="G13" s="13">
        <f>G9+G11</f>
        <v>298</v>
      </c>
      <c r="H13" s="13">
        <f t="shared" si="14"/>
        <v>229</v>
      </c>
      <c r="I13" s="13">
        <f t="shared" si="14"/>
        <v>211</v>
      </c>
      <c r="J13" s="13">
        <f t="shared" si="14"/>
        <v>290</v>
      </c>
      <c r="K13" s="13">
        <f t="shared" si="14"/>
        <v>178</v>
      </c>
      <c r="L13" s="13">
        <f t="shared" si="14"/>
        <v>140</v>
      </c>
      <c r="M13" s="7">
        <f t="shared" si="14"/>
        <v>0</v>
      </c>
      <c r="N13" s="13">
        <f t="shared" si="14"/>
        <v>208</v>
      </c>
      <c r="O13" s="13">
        <f t="shared" si="14"/>
        <v>206</v>
      </c>
      <c r="P13" s="13">
        <f t="shared" si="14"/>
        <v>169</v>
      </c>
      <c r="Q13" s="13">
        <f t="shared" si="14"/>
        <v>172</v>
      </c>
      <c r="R13" s="13">
        <f t="shared" si="14"/>
        <v>112</v>
      </c>
      <c r="S13" s="13">
        <f t="shared" si="14"/>
        <v>172</v>
      </c>
      <c r="T13" s="7">
        <f t="shared" si="14"/>
        <v>0</v>
      </c>
      <c r="U13" s="13">
        <f t="shared" si="14"/>
        <v>113</v>
      </c>
      <c r="V13" s="13">
        <f t="shared" si="14"/>
        <v>271</v>
      </c>
      <c r="W13" s="13">
        <f t="shared" si="14"/>
        <v>140</v>
      </c>
      <c r="X13" s="13">
        <f t="shared" si="14"/>
        <v>248</v>
      </c>
      <c r="Y13" s="13">
        <f t="shared" si="14"/>
        <v>136</v>
      </c>
      <c r="Z13" s="13">
        <f t="shared" si="14"/>
        <v>197</v>
      </c>
      <c r="AA13" s="7">
        <f t="shared" si="14"/>
        <v>0</v>
      </c>
      <c r="AB13" s="13">
        <f t="shared" si="14"/>
        <v>260</v>
      </c>
      <c r="AC13" s="13">
        <f t="shared" si="14"/>
        <v>205</v>
      </c>
      <c r="AD13" s="13">
        <f t="shared" si="14"/>
        <v>168</v>
      </c>
      <c r="AE13" s="13">
        <f t="shared" si="14"/>
        <v>210</v>
      </c>
      <c r="AF13" s="13">
        <f t="shared" si="14"/>
        <v>239</v>
      </c>
      <c r="AG13" s="13">
        <f t="shared" si="14"/>
        <v>171</v>
      </c>
      <c r="AH13" s="7">
        <f t="shared" si="14"/>
        <v>112</v>
      </c>
      <c r="AI13" s="13">
        <f t="shared" si="14"/>
        <v>0</v>
      </c>
    </row>
    <row r="14" spans="1:37" ht="13">
      <c r="A14" s="111"/>
      <c r="B14" s="114" t="s">
        <v>20</v>
      </c>
      <c r="C14" s="115"/>
      <c r="D14" s="25">
        <f t="shared" si="13"/>
        <v>2860</v>
      </c>
      <c r="E14" s="35"/>
      <c r="F14" s="35"/>
      <c r="G14" s="35"/>
      <c r="H14" s="35">
        <v>90</v>
      </c>
      <c r="I14" s="35">
        <f t="shared" ref="I14:AI14" si="15">(I12-I13)*2</f>
        <v>178</v>
      </c>
      <c r="J14" s="35">
        <f t="shared" si="15"/>
        <v>20</v>
      </c>
      <c r="K14" s="35">
        <f t="shared" si="15"/>
        <v>94</v>
      </c>
      <c r="L14" s="35">
        <v>180</v>
      </c>
      <c r="M14" s="35">
        <f t="shared" si="15"/>
        <v>0</v>
      </c>
      <c r="N14" s="35">
        <v>0</v>
      </c>
      <c r="O14" s="35">
        <f t="shared" si="15"/>
        <v>48</v>
      </c>
      <c r="P14" s="35">
        <v>150</v>
      </c>
      <c r="Q14" s="35">
        <v>210</v>
      </c>
      <c r="R14" s="35">
        <f t="shared" si="15"/>
        <v>96</v>
      </c>
      <c r="S14" s="35">
        <f t="shared" si="15"/>
        <v>56</v>
      </c>
      <c r="T14" s="35">
        <f t="shared" si="15"/>
        <v>0</v>
      </c>
      <c r="U14" s="35">
        <v>150</v>
      </c>
      <c r="V14" s="35">
        <v>180</v>
      </c>
      <c r="W14" s="35">
        <f t="shared" si="15"/>
        <v>40</v>
      </c>
      <c r="X14" s="35">
        <f t="shared" si="15"/>
        <v>144</v>
      </c>
      <c r="Y14" s="35">
        <f t="shared" si="15"/>
        <v>48</v>
      </c>
      <c r="Z14" s="35">
        <v>60</v>
      </c>
      <c r="AA14" s="35">
        <f t="shared" si="15"/>
        <v>0</v>
      </c>
      <c r="AB14" s="35">
        <v>0</v>
      </c>
      <c r="AC14" s="35">
        <v>180</v>
      </c>
      <c r="AD14" s="35">
        <v>320</v>
      </c>
      <c r="AE14" s="35">
        <f t="shared" si="15"/>
        <v>220</v>
      </c>
      <c r="AF14" s="35">
        <f t="shared" si="15"/>
        <v>162</v>
      </c>
      <c r="AG14" s="35">
        <f t="shared" si="15"/>
        <v>138</v>
      </c>
      <c r="AH14" s="35">
        <f t="shared" si="15"/>
        <v>96</v>
      </c>
      <c r="AI14" s="35">
        <f t="shared" si="15"/>
        <v>0</v>
      </c>
    </row>
    <row r="15" spans="1:37" s="21" customFormat="1" ht="42" customHeight="1">
      <c r="A15" s="111"/>
      <c r="B15" s="14"/>
      <c r="C15" s="14" t="s">
        <v>13</v>
      </c>
      <c r="D15" s="14"/>
      <c r="E15" s="30" t="s">
        <v>31</v>
      </c>
      <c r="F15" s="44"/>
      <c r="G15" s="30"/>
      <c r="H15" s="30" t="s">
        <v>23</v>
      </c>
      <c r="I15" s="30" t="s">
        <v>23</v>
      </c>
      <c r="J15" s="30"/>
      <c r="K15" s="30" t="s">
        <v>35</v>
      </c>
      <c r="L15" s="30" t="s">
        <v>23</v>
      </c>
      <c r="M15" s="44"/>
      <c r="N15" s="30"/>
      <c r="O15" s="30" t="s">
        <v>30</v>
      </c>
      <c r="P15" s="30" t="s">
        <v>38</v>
      </c>
      <c r="Q15" s="30" t="s">
        <v>40</v>
      </c>
      <c r="R15" s="30" t="s">
        <v>41</v>
      </c>
      <c r="S15" s="30"/>
      <c r="T15" s="15"/>
      <c r="U15" s="41" t="s">
        <v>82</v>
      </c>
      <c r="V15" s="41" t="s">
        <v>82</v>
      </c>
      <c r="W15" s="41" t="s">
        <v>82</v>
      </c>
      <c r="X15" s="41" t="s">
        <v>83</v>
      </c>
      <c r="Y15" s="14"/>
      <c r="Z15" s="30" t="s">
        <v>94</v>
      </c>
      <c r="AA15" s="44"/>
      <c r="AB15" s="41"/>
      <c r="AC15" s="14" t="s">
        <v>96</v>
      </c>
      <c r="AD15" s="14" t="s">
        <v>100</v>
      </c>
      <c r="AE15" s="14"/>
      <c r="AF15" s="14"/>
      <c r="AG15" s="30"/>
      <c r="AH15" s="44" t="s">
        <v>111</v>
      </c>
      <c r="AI15" s="14"/>
    </row>
    <row r="16" spans="1:37" ht="13">
      <c r="A16" s="111" t="s">
        <v>16</v>
      </c>
      <c r="B16" s="112" t="s">
        <v>8</v>
      </c>
      <c r="C16" s="4" t="s">
        <v>9</v>
      </c>
      <c r="D16" s="22">
        <f t="shared" ref="D16:D19" si="16">SUM(E16:AI16)</f>
        <v>3460</v>
      </c>
      <c r="E16" s="10">
        <v>128</v>
      </c>
      <c r="F16" s="11">
        <v>110</v>
      </c>
      <c r="G16" s="10">
        <v>128</v>
      </c>
      <c r="H16" s="10">
        <v>128</v>
      </c>
      <c r="I16" s="10">
        <v>128</v>
      </c>
      <c r="J16" s="10">
        <v>120</v>
      </c>
      <c r="K16" s="10">
        <v>128</v>
      </c>
      <c r="L16" s="10">
        <v>128</v>
      </c>
      <c r="M16" s="11"/>
      <c r="N16" s="10">
        <v>128</v>
      </c>
      <c r="O16" s="10">
        <v>128</v>
      </c>
      <c r="P16" s="10">
        <v>168</v>
      </c>
      <c r="Q16" s="10">
        <f>18*7</f>
        <v>126</v>
      </c>
      <c r="R16" s="13">
        <v>128</v>
      </c>
      <c r="S16" s="13">
        <v>120</v>
      </c>
      <c r="T16" s="11"/>
      <c r="U16" s="10">
        <v>128</v>
      </c>
      <c r="V16" s="10">
        <v>128</v>
      </c>
      <c r="W16" s="10">
        <v>128</v>
      </c>
      <c r="X16" s="10">
        <v>128</v>
      </c>
      <c r="Y16" s="10">
        <v>128</v>
      </c>
      <c r="Z16" s="10">
        <v>128</v>
      </c>
      <c r="AA16" s="11"/>
      <c r="AB16" s="10">
        <v>128</v>
      </c>
      <c r="AC16" s="10">
        <v>128</v>
      </c>
      <c r="AD16" s="10">
        <v>128</v>
      </c>
      <c r="AE16" s="10">
        <v>128</v>
      </c>
      <c r="AF16" s="10">
        <v>128</v>
      </c>
      <c r="AG16" s="10">
        <v>128</v>
      </c>
      <c r="AH16" s="11">
        <v>128</v>
      </c>
      <c r="AI16" s="10"/>
    </row>
    <row r="17" spans="1:35" ht="13">
      <c r="A17" s="111"/>
      <c r="B17" s="112"/>
      <c r="C17" s="4" t="s">
        <v>10</v>
      </c>
      <c r="D17" s="22">
        <f t="shared" si="16"/>
        <v>2417</v>
      </c>
      <c r="E17" s="22">
        <v>64</v>
      </c>
      <c r="F17" s="11">
        <v>80</v>
      </c>
      <c r="G17" s="22">
        <f>56+62</f>
        <v>118</v>
      </c>
      <c r="H17" s="10">
        <v>76</v>
      </c>
      <c r="I17" s="10">
        <f>90</f>
        <v>90</v>
      </c>
      <c r="J17" s="10">
        <v>101</v>
      </c>
      <c r="K17" s="10">
        <v>96</v>
      </c>
      <c r="L17" s="10">
        <v>85</v>
      </c>
      <c r="M17" s="11"/>
      <c r="N17" s="10">
        <f>102+10</f>
        <v>112</v>
      </c>
      <c r="O17" s="10">
        <v>101</v>
      </c>
      <c r="P17" s="10">
        <f>104+50</f>
        <v>154</v>
      </c>
      <c r="Q17" s="10">
        <v>102</v>
      </c>
      <c r="R17" s="13">
        <v>83</v>
      </c>
      <c r="S17" s="13">
        <v>104</v>
      </c>
      <c r="T17" s="11"/>
      <c r="U17" s="10">
        <v>34</v>
      </c>
      <c r="V17" s="10">
        <v>102</v>
      </c>
      <c r="W17" s="10">
        <v>61</v>
      </c>
      <c r="X17" s="10">
        <v>77</v>
      </c>
      <c r="Y17" s="10">
        <v>104</v>
      </c>
      <c r="Z17" s="10">
        <v>92</v>
      </c>
      <c r="AA17" s="11"/>
      <c r="AB17" s="10">
        <v>102</v>
      </c>
      <c r="AC17" s="10">
        <v>96</v>
      </c>
      <c r="AD17" s="10">
        <v>104</v>
      </c>
      <c r="AE17" s="10">
        <v>114</v>
      </c>
      <c r="AF17" s="10">
        <v>72</v>
      </c>
      <c r="AG17" s="10">
        <v>93</v>
      </c>
      <c r="AH17" s="11"/>
      <c r="AI17" s="10"/>
    </row>
    <row r="18" spans="1:35">
      <c r="A18" s="111"/>
      <c r="B18" s="113" t="s">
        <v>11</v>
      </c>
      <c r="C18" s="5" t="s">
        <v>9</v>
      </c>
      <c r="D18" s="19">
        <f t="shared" si="16"/>
        <v>886</v>
      </c>
      <c r="E18" s="12">
        <v>0</v>
      </c>
      <c r="F18" s="11"/>
      <c r="G18" s="12">
        <v>0</v>
      </c>
      <c r="H18" s="12">
        <v>128</v>
      </c>
      <c r="I18" s="12"/>
      <c r="J18" s="12">
        <v>0</v>
      </c>
      <c r="K18" s="12">
        <v>64</v>
      </c>
      <c r="L18" s="12">
        <v>64</v>
      </c>
      <c r="M18" s="11"/>
      <c r="N18" s="12">
        <f>60</f>
        <v>60</v>
      </c>
      <c r="O18" s="12"/>
      <c r="P18" s="12">
        <v>0</v>
      </c>
      <c r="Q18" s="12">
        <f>18*5</f>
        <v>90</v>
      </c>
      <c r="R18" s="12">
        <v>128</v>
      </c>
      <c r="S18" s="12">
        <v>0</v>
      </c>
      <c r="T18" s="11"/>
      <c r="U18" s="12">
        <v>128</v>
      </c>
      <c r="V18" s="12">
        <v>90</v>
      </c>
      <c r="W18" s="12">
        <v>70</v>
      </c>
      <c r="X18" s="12">
        <v>0</v>
      </c>
      <c r="Y18" s="12">
        <v>64</v>
      </c>
      <c r="Z18" s="12">
        <v>0</v>
      </c>
      <c r="AA18" s="11"/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1"/>
      <c r="AI18" s="12"/>
    </row>
    <row r="19" spans="1:35">
      <c r="A19" s="111"/>
      <c r="B19" s="113"/>
      <c r="C19" s="5" t="s">
        <v>10</v>
      </c>
      <c r="D19" s="19">
        <f t="shared" si="16"/>
        <v>908</v>
      </c>
      <c r="E19" s="12">
        <v>0</v>
      </c>
      <c r="F19" s="11"/>
      <c r="G19" s="12">
        <v>0</v>
      </c>
      <c r="H19" s="12">
        <v>70</v>
      </c>
      <c r="I19" s="12">
        <v>40</v>
      </c>
      <c r="J19" s="12">
        <v>44</v>
      </c>
      <c r="K19" s="12">
        <v>50</v>
      </c>
      <c r="L19" s="12">
        <v>49</v>
      </c>
      <c r="M19" s="11"/>
      <c r="N19" s="12">
        <f>44+32</f>
        <v>76</v>
      </c>
      <c r="O19" s="12">
        <v>40</v>
      </c>
      <c r="P19" s="12">
        <v>0</v>
      </c>
      <c r="Q19" s="12">
        <v>88</v>
      </c>
      <c r="R19" s="12">
        <v>100</v>
      </c>
      <c r="S19" s="12">
        <v>0</v>
      </c>
      <c r="T19" s="11"/>
      <c r="U19" s="12">
        <v>90</v>
      </c>
      <c r="V19" s="12">
        <v>86</v>
      </c>
      <c r="W19" s="12">
        <f>48+16</f>
        <v>64</v>
      </c>
      <c r="X19" s="12">
        <v>0</v>
      </c>
      <c r="Y19" s="12">
        <v>48</v>
      </c>
      <c r="Z19" s="12">
        <v>0</v>
      </c>
      <c r="AA19" s="11"/>
      <c r="AB19" s="12">
        <v>0</v>
      </c>
      <c r="AC19" s="12">
        <v>0</v>
      </c>
      <c r="AD19" s="12">
        <v>63</v>
      </c>
      <c r="AE19" s="12">
        <v>0</v>
      </c>
      <c r="AF19" s="12">
        <v>0</v>
      </c>
      <c r="AG19" s="12">
        <v>0</v>
      </c>
      <c r="AH19" s="11"/>
      <c r="AI19" s="12"/>
    </row>
    <row r="20" spans="1:35" ht="13">
      <c r="A20" s="111"/>
      <c r="B20" s="112" t="s">
        <v>12</v>
      </c>
      <c r="C20" s="4" t="s">
        <v>9</v>
      </c>
      <c r="D20" s="22">
        <f t="shared" si="13"/>
        <v>4346</v>
      </c>
      <c r="E20" s="13">
        <f>E16+E18</f>
        <v>128</v>
      </c>
      <c r="F20" s="7">
        <f t="shared" ref="F20:AI21" si="17">F16+F18</f>
        <v>110</v>
      </c>
      <c r="G20" s="13">
        <f t="shared" si="17"/>
        <v>128</v>
      </c>
      <c r="H20" s="13">
        <f t="shared" si="17"/>
        <v>256</v>
      </c>
      <c r="I20" s="13">
        <f t="shared" si="17"/>
        <v>128</v>
      </c>
      <c r="J20" s="13">
        <f t="shared" si="17"/>
        <v>120</v>
      </c>
      <c r="K20" s="13">
        <f t="shared" si="17"/>
        <v>192</v>
      </c>
      <c r="L20" s="13">
        <f t="shared" si="17"/>
        <v>192</v>
      </c>
      <c r="M20" s="7">
        <f t="shared" si="17"/>
        <v>0</v>
      </c>
      <c r="N20" s="13">
        <f t="shared" si="17"/>
        <v>188</v>
      </c>
      <c r="O20" s="13">
        <f t="shared" si="17"/>
        <v>128</v>
      </c>
      <c r="P20" s="13">
        <f t="shared" si="17"/>
        <v>168</v>
      </c>
      <c r="Q20" s="13">
        <f t="shared" si="17"/>
        <v>216</v>
      </c>
      <c r="R20" s="13">
        <f t="shared" si="17"/>
        <v>256</v>
      </c>
      <c r="S20" s="13">
        <f t="shared" si="17"/>
        <v>120</v>
      </c>
      <c r="T20" s="7">
        <f t="shared" si="17"/>
        <v>0</v>
      </c>
      <c r="U20" s="13">
        <f t="shared" si="17"/>
        <v>256</v>
      </c>
      <c r="V20" s="13">
        <f t="shared" si="17"/>
        <v>218</v>
      </c>
      <c r="W20" s="13">
        <f t="shared" si="17"/>
        <v>198</v>
      </c>
      <c r="X20" s="13">
        <f t="shared" si="17"/>
        <v>128</v>
      </c>
      <c r="Y20" s="13">
        <f t="shared" si="17"/>
        <v>192</v>
      </c>
      <c r="Z20" s="13">
        <f t="shared" si="17"/>
        <v>128</v>
      </c>
      <c r="AA20" s="7">
        <f t="shared" si="17"/>
        <v>0</v>
      </c>
      <c r="AB20" s="13">
        <f t="shared" si="17"/>
        <v>128</v>
      </c>
      <c r="AC20" s="13">
        <f t="shared" si="17"/>
        <v>128</v>
      </c>
      <c r="AD20" s="13">
        <f t="shared" si="17"/>
        <v>128</v>
      </c>
      <c r="AE20" s="13">
        <f t="shared" si="17"/>
        <v>128</v>
      </c>
      <c r="AF20" s="13">
        <f t="shared" si="17"/>
        <v>128</v>
      </c>
      <c r="AG20" s="13">
        <f t="shared" si="17"/>
        <v>128</v>
      </c>
      <c r="AH20" s="7">
        <f t="shared" si="17"/>
        <v>128</v>
      </c>
      <c r="AI20" s="13">
        <f t="shared" si="17"/>
        <v>0</v>
      </c>
    </row>
    <row r="21" spans="1:35" ht="13">
      <c r="A21" s="111"/>
      <c r="B21" s="112"/>
      <c r="C21" s="4" t="s">
        <v>10</v>
      </c>
      <c r="D21" s="22">
        <f t="shared" si="13"/>
        <v>3325</v>
      </c>
      <c r="E21" s="13">
        <f>E17+E19</f>
        <v>64</v>
      </c>
      <c r="F21" s="7">
        <f t="shared" si="17"/>
        <v>80</v>
      </c>
      <c r="G21" s="13">
        <f t="shared" si="17"/>
        <v>118</v>
      </c>
      <c r="H21" s="13">
        <f t="shared" si="17"/>
        <v>146</v>
      </c>
      <c r="I21" s="13">
        <f t="shared" si="17"/>
        <v>130</v>
      </c>
      <c r="J21" s="13">
        <f t="shared" si="17"/>
        <v>145</v>
      </c>
      <c r="K21" s="13">
        <f t="shared" si="17"/>
        <v>146</v>
      </c>
      <c r="L21" s="13">
        <f t="shared" si="17"/>
        <v>134</v>
      </c>
      <c r="M21" s="7">
        <f t="shared" si="17"/>
        <v>0</v>
      </c>
      <c r="N21" s="13">
        <f t="shared" si="17"/>
        <v>188</v>
      </c>
      <c r="O21" s="13">
        <f t="shared" si="17"/>
        <v>141</v>
      </c>
      <c r="P21" s="13">
        <f t="shared" si="17"/>
        <v>154</v>
      </c>
      <c r="Q21" s="13">
        <f t="shared" si="17"/>
        <v>190</v>
      </c>
      <c r="R21" s="13">
        <f t="shared" si="17"/>
        <v>183</v>
      </c>
      <c r="S21" s="13">
        <f t="shared" si="17"/>
        <v>104</v>
      </c>
      <c r="T21" s="7">
        <f t="shared" si="17"/>
        <v>0</v>
      </c>
      <c r="U21" s="13">
        <f t="shared" si="17"/>
        <v>124</v>
      </c>
      <c r="V21" s="13">
        <f t="shared" si="17"/>
        <v>188</v>
      </c>
      <c r="W21" s="13">
        <f t="shared" si="17"/>
        <v>125</v>
      </c>
      <c r="X21" s="13">
        <f t="shared" si="17"/>
        <v>77</v>
      </c>
      <c r="Y21" s="13">
        <f t="shared" si="17"/>
        <v>152</v>
      </c>
      <c r="Z21" s="13">
        <f t="shared" si="17"/>
        <v>92</v>
      </c>
      <c r="AA21" s="7">
        <f t="shared" si="17"/>
        <v>0</v>
      </c>
      <c r="AB21" s="13">
        <f t="shared" si="17"/>
        <v>102</v>
      </c>
      <c r="AC21" s="13">
        <f t="shared" si="17"/>
        <v>96</v>
      </c>
      <c r="AD21" s="13">
        <f t="shared" si="17"/>
        <v>167</v>
      </c>
      <c r="AE21" s="13">
        <f t="shared" si="17"/>
        <v>114</v>
      </c>
      <c r="AF21" s="13">
        <f t="shared" si="17"/>
        <v>72</v>
      </c>
      <c r="AG21" s="13">
        <f t="shared" si="17"/>
        <v>93</v>
      </c>
      <c r="AH21" s="7">
        <f t="shared" si="17"/>
        <v>0</v>
      </c>
      <c r="AI21" s="13">
        <f t="shared" si="17"/>
        <v>0</v>
      </c>
    </row>
    <row r="22" spans="1:35" ht="13">
      <c r="A22" s="111"/>
      <c r="B22" s="114" t="s">
        <v>20</v>
      </c>
      <c r="C22" s="115"/>
      <c r="D22" s="25">
        <f t="shared" si="13"/>
        <v>1020</v>
      </c>
      <c r="E22" s="26">
        <v>60</v>
      </c>
      <c r="F22" s="26"/>
      <c r="G22" s="26"/>
      <c r="H22" s="26">
        <f>60+120</f>
        <v>180</v>
      </c>
      <c r="I22" s="26">
        <v>180</v>
      </c>
      <c r="J22" s="26">
        <v>60</v>
      </c>
      <c r="K22" s="26">
        <v>60</v>
      </c>
      <c r="L22" s="26">
        <v>60</v>
      </c>
      <c r="M22" s="26">
        <v>60</v>
      </c>
      <c r="N22" s="26">
        <v>120</v>
      </c>
      <c r="O22" s="26">
        <v>60</v>
      </c>
      <c r="P22" s="26"/>
      <c r="Q22" s="26">
        <v>60</v>
      </c>
      <c r="R22" s="26"/>
      <c r="S22" s="26"/>
      <c r="T22" s="26"/>
      <c r="U22" s="26"/>
      <c r="V22" s="26">
        <v>60</v>
      </c>
      <c r="W22" s="26"/>
      <c r="X22" s="26"/>
      <c r="Y22" s="26">
        <v>60</v>
      </c>
      <c r="Z22" s="26"/>
      <c r="AA22" s="26"/>
      <c r="AB22" s="26"/>
      <c r="AC22" s="26"/>
      <c r="AD22" s="26"/>
      <c r="AE22" s="26"/>
      <c r="AF22" s="26"/>
      <c r="AG22" s="26"/>
      <c r="AH22" s="26"/>
      <c r="AI22" s="26"/>
    </row>
    <row r="23" spans="1:35" s="21" customFormat="1" ht="78">
      <c r="A23" s="111"/>
      <c r="B23" s="14"/>
      <c r="C23" s="14" t="s">
        <v>13</v>
      </c>
      <c r="D23" s="14"/>
      <c r="E23" s="30" t="s">
        <v>32</v>
      </c>
      <c r="F23" s="44"/>
      <c r="G23" s="30" t="s">
        <v>34</v>
      </c>
      <c r="H23" s="30"/>
      <c r="I23" s="30" t="s">
        <v>23</v>
      </c>
      <c r="J23" s="30"/>
      <c r="K23" s="30" t="s">
        <v>36</v>
      </c>
      <c r="L23" s="30" t="s">
        <v>23</v>
      </c>
      <c r="M23" s="44"/>
      <c r="N23" s="30" t="s">
        <v>30</v>
      </c>
      <c r="O23" s="30" t="s">
        <v>30</v>
      </c>
      <c r="P23" s="41"/>
      <c r="Q23" s="30" t="s">
        <v>41</v>
      </c>
      <c r="R23" s="30" t="s">
        <v>41</v>
      </c>
      <c r="S23" s="41" t="s">
        <v>43</v>
      </c>
      <c r="T23" s="15"/>
      <c r="U23" s="41" t="s">
        <v>71</v>
      </c>
      <c r="V23" s="41" t="s">
        <v>82</v>
      </c>
      <c r="W23" s="41" t="s">
        <v>82</v>
      </c>
      <c r="X23" s="41" t="s">
        <v>84</v>
      </c>
      <c r="Y23" s="41" t="s">
        <v>86</v>
      </c>
      <c r="Z23" s="30" t="s">
        <v>93</v>
      </c>
      <c r="AA23" s="44"/>
      <c r="AB23" s="41" t="s">
        <v>86</v>
      </c>
      <c r="AC23" s="41" t="s">
        <v>86</v>
      </c>
      <c r="AD23" s="41" t="s">
        <v>86</v>
      </c>
      <c r="AE23" s="41" t="s">
        <v>86</v>
      </c>
      <c r="AF23" s="41" t="s">
        <v>106</v>
      </c>
      <c r="AG23" s="14"/>
      <c r="AH23" s="41" t="s">
        <v>112</v>
      </c>
      <c r="AI23" s="30"/>
    </row>
    <row r="24" spans="1:35" ht="13">
      <c r="A24" s="111" t="s">
        <v>17</v>
      </c>
      <c r="B24" s="112" t="s">
        <v>8</v>
      </c>
      <c r="C24" s="4" t="s">
        <v>9</v>
      </c>
      <c r="D24" s="22">
        <f t="shared" ref="D24:D27" si="18">SUM(E24:AI24)</f>
        <v>6580</v>
      </c>
      <c r="E24" s="13">
        <v>0</v>
      </c>
      <c r="F24" s="11">
        <v>0</v>
      </c>
      <c r="G24" s="13">
        <v>280</v>
      </c>
      <c r="H24" s="13">
        <v>280</v>
      </c>
      <c r="I24" s="13">
        <v>280</v>
      </c>
      <c r="J24" s="13">
        <v>280</v>
      </c>
      <c r="K24" s="13">
        <v>280</v>
      </c>
      <c r="L24" s="10">
        <v>280</v>
      </c>
      <c r="M24" s="11"/>
      <c r="N24" s="10">
        <v>280</v>
      </c>
      <c r="O24" s="10">
        <v>280</v>
      </c>
      <c r="P24" s="10">
        <v>280</v>
      </c>
      <c r="Q24" s="10">
        <v>280</v>
      </c>
      <c r="R24" s="10">
        <f>14*15</f>
        <v>210</v>
      </c>
      <c r="S24" s="10">
        <v>210</v>
      </c>
      <c r="T24" s="11"/>
      <c r="U24" s="10">
        <v>280</v>
      </c>
      <c r="V24" s="10">
        <v>280</v>
      </c>
      <c r="W24" s="10">
        <v>280</v>
      </c>
      <c r="X24" s="10">
        <v>280</v>
      </c>
      <c r="Y24" s="10">
        <v>280</v>
      </c>
      <c r="Z24" s="10">
        <v>280</v>
      </c>
      <c r="AA24" s="11"/>
      <c r="AB24" s="10">
        <v>280</v>
      </c>
      <c r="AC24" s="10">
        <v>280</v>
      </c>
      <c r="AD24" s="10">
        <v>280</v>
      </c>
      <c r="AE24" s="10">
        <v>280</v>
      </c>
      <c r="AF24" s="10">
        <v>280</v>
      </c>
      <c r="AG24" s="10">
        <v>280</v>
      </c>
      <c r="AH24" s="11">
        <v>0</v>
      </c>
      <c r="AI24" s="10"/>
    </row>
    <row r="25" spans="1:35" ht="13">
      <c r="A25" s="111"/>
      <c r="B25" s="112"/>
      <c r="C25" s="4" t="s">
        <v>10</v>
      </c>
      <c r="D25" s="22">
        <f t="shared" si="18"/>
        <v>5878</v>
      </c>
      <c r="E25" s="13">
        <v>0</v>
      </c>
      <c r="F25" s="11">
        <v>0</v>
      </c>
      <c r="G25" s="13">
        <v>238</v>
      </c>
      <c r="H25" s="10">
        <v>210</v>
      </c>
      <c r="I25" s="10">
        <v>182</v>
      </c>
      <c r="J25" s="10">
        <v>252</v>
      </c>
      <c r="K25" s="10">
        <v>252</v>
      </c>
      <c r="L25" s="10">
        <v>280</v>
      </c>
      <c r="M25" s="11"/>
      <c r="N25" s="10">
        <v>266</v>
      </c>
      <c r="O25" s="10">
        <v>196</v>
      </c>
      <c r="P25" s="10">
        <f>18*14</f>
        <v>252</v>
      </c>
      <c r="Q25" s="10">
        <f>18*14</f>
        <v>252</v>
      </c>
      <c r="R25" s="10">
        <v>210</v>
      </c>
      <c r="S25" s="10">
        <v>210</v>
      </c>
      <c r="T25" s="11"/>
      <c r="U25" s="10">
        <v>224</v>
      </c>
      <c r="V25" s="10">
        <v>322</v>
      </c>
      <c r="W25" s="10">
        <v>224</v>
      </c>
      <c r="X25" s="10">
        <v>252</v>
      </c>
      <c r="Y25" s="10">
        <v>294</v>
      </c>
      <c r="Z25" s="10">
        <v>238</v>
      </c>
      <c r="AA25" s="11"/>
      <c r="AB25" s="10">
        <v>252</v>
      </c>
      <c r="AC25" s="10">
        <v>294</v>
      </c>
      <c r="AD25" s="10">
        <v>294</v>
      </c>
      <c r="AE25" s="10">
        <v>252</v>
      </c>
      <c r="AF25" s="10">
        <v>266</v>
      </c>
      <c r="AG25" s="10">
        <v>166</v>
      </c>
      <c r="AH25" s="11">
        <v>0</v>
      </c>
      <c r="AI25" s="10"/>
    </row>
    <row r="26" spans="1:35">
      <c r="A26" s="111"/>
      <c r="B26" s="113" t="s">
        <v>11</v>
      </c>
      <c r="C26" s="5" t="s">
        <v>9</v>
      </c>
      <c r="D26" s="19">
        <f t="shared" si="18"/>
        <v>2187</v>
      </c>
      <c r="E26" s="12">
        <v>0</v>
      </c>
      <c r="F26" s="11">
        <v>0</v>
      </c>
      <c r="G26" s="12">
        <v>0</v>
      </c>
      <c r="H26" s="12">
        <v>140</v>
      </c>
      <c r="I26" s="12">
        <v>210</v>
      </c>
      <c r="J26" s="12">
        <v>140</v>
      </c>
      <c r="K26" s="12">
        <v>140</v>
      </c>
      <c r="L26" s="12">
        <v>140</v>
      </c>
      <c r="M26" s="11"/>
      <c r="N26" s="12">
        <v>70</v>
      </c>
      <c r="O26" s="12">
        <v>140</v>
      </c>
      <c r="P26" s="12">
        <v>140</v>
      </c>
      <c r="Q26" s="12">
        <v>84</v>
      </c>
      <c r="R26" s="12">
        <v>31</v>
      </c>
      <c r="S26" s="12">
        <v>196</v>
      </c>
      <c r="T26" s="11"/>
      <c r="U26" s="12">
        <v>196</v>
      </c>
      <c r="V26" s="12">
        <v>0</v>
      </c>
      <c r="W26" s="12">
        <v>196</v>
      </c>
      <c r="X26" s="12"/>
      <c r="Y26" s="12">
        <v>280</v>
      </c>
      <c r="Z26" s="12">
        <v>0</v>
      </c>
      <c r="AA26" s="11"/>
      <c r="AB26" s="12">
        <v>0</v>
      </c>
      <c r="AC26" s="12">
        <v>84</v>
      </c>
      <c r="AD26" s="12">
        <v>0</v>
      </c>
      <c r="AE26" s="12"/>
      <c r="AF26" s="12"/>
      <c r="AG26" s="12"/>
      <c r="AH26" s="11">
        <v>0</v>
      </c>
      <c r="AI26" s="12"/>
    </row>
    <row r="27" spans="1:35">
      <c r="A27" s="111"/>
      <c r="B27" s="113"/>
      <c r="C27" s="5" t="s">
        <v>10</v>
      </c>
      <c r="D27" s="19">
        <f t="shared" si="18"/>
        <v>1840</v>
      </c>
      <c r="E27" s="12">
        <v>0</v>
      </c>
      <c r="F27" s="11">
        <v>0</v>
      </c>
      <c r="G27" s="12">
        <v>0</v>
      </c>
      <c r="H27" s="12">
        <v>112</v>
      </c>
      <c r="I27" s="12">
        <v>196</v>
      </c>
      <c r="J27" s="12">
        <v>140</v>
      </c>
      <c r="K27" s="12">
        <v>112</v>
      </c>
      <c r="L27" s="12">
        <v>126</v>
      </c>
      <c r="M27" s="11"/>
      <c r="N27" s="12">
        <v>60</v>
      </c>
      <c r="O27" s="12">
        <v>98</v>
      </c>
      <c r="P27" s="12">
        <v>98</v>
      </c>
      <c r="Q27" s="12">
        <v>56</v>
      </c>
      <c r="R27" s="12">
        <v>28</v>
      </c>
      <c r="S27" s="12">
        <v>140</v>
      </c>
      <c r="T27" s="11"/>
      <c r="U27" s="12">
        <v>154</v>
      </c>
      <c r="V27" s="12">
        <v>0</v>
      </c>
      <c r="W27" s="12">
        <v>210</v>
      </c>
      <c r="X27" s="12"/>
      <c r="Y27" s="12">
        <v>212</v>
      </c>
      <c r="Z27" s="12">
        <v>0</v>
      </c>
      <c r="AA27" s="11"/>
      <c r="AB27" s="12">
        <v>0</v>
      </c>
      <c r="AC27" s="12">
        <v>56</v>
      </c>
      <c r="AD27" s="12">
        <v>0</v>
      </c>
      <c r="AE27" s="12">
        <v>28</v>
      </c>
      <c r="AF27" s="12">
        <v>14</v>
      </c>
      <c r="AG27" s="12"/>
      <c r="AH27" s="11">
        <v>0</v>
      </c>
      <c r="AI27" s="12"/>
    </row>
    <row r="28" spans="1:35" ht="13">
      <c r="A28" s="111"/>
      <c r="B28" s="112" t="s">
        <v>12</v>
      </c>
      <c r="C28" s="4" t="s">
        <v>9</v>
      </c>
      <c r="D28" s="22">
        <f t="shared" si="13"/>
        <v>8767</v>
      </c>
      <c r="E28" s="13">
        <f t="shared" ref="E28:AI29" si="19">E24+E26</f>
        <v>0</v>
      </c>
      <c r="F28" s="7">
        <f t="shared" si="19"/>
        <v>0</v>
      </c>
      <c r="G28" s="13">
        <f t="shared" si="19"/>
        <v>280</v>
      </c>
      <c r="H28" s="13">
        <f t="shared" si="19"/>
        <v>420</v>
      </c>
      <c r="I28" s="13">
        <f t="shared" si="19"/>
        <v>490</v>
      </c>
      <c r="J28" s="13">
        <f t="shared" si="19"/>
        <v>420</v>
      </c>
      <c r="K28" s="13">
        <f t="shared" si="19"/>
        <v>420</v>
      </c>
      <c r="L28" s="13">
        <f t="shared" si="19"/>
        <v>420</v>
      </c>
      <c r="M28" s="7">
        <f t="shared" si="19"/>
        <v>0</v>
      </c>
      <c r="N28" s="13">
        <f t="shared" si="19"/>
        <v>350</v>
      </c>
      <c r="O28" s="13">
        <f t="shared" si="19"/>
        <v>420</v>
      </c>
      <c r="P28" s="13">
        <f t="shared" si="19"/>
        <v>420</v>
      </c>
      <c r="Q28" s="13">
        <f t="shared" si="19"/>
        <v>364</v>
      </c>
      <c r="R28" s="13">
        <f t="shared" si="19"/>
        <v>241</v>
      </c>
      <c r="S28" s="13">
        <f t="shared" si="19"/>
        <v>406</v>
      </c>
      <c r="T28" s="7">
        <f t="shared" si="19"/>
        <v>0</v>
      </c>
      <c r="U28" s="13">
        <f t="shared" si="19"/>
        <v>476</v>
      </c>
      <c r="V28" s="13">
        <f t="shared" si="19"/>
        <v>280</v>
      </c>
      <c r="W28" s="13">
        <f t="shared" si="19"/>
        <v>476</v>
      </c>
      <c r="X28" s="13">
        <f t="shared" si="19"/>
        <v>280</v>
      </c>
      <c r="Y28" s="13">
        <f t="shared" si="19"/>
        <v>560</v>
      </c>
      <c r="Z28" s="13">
        <f t="shared" ref="Z28:AA28" si="20">Z24+Z26</f>
        <v>280</v>
      </c>
      <c r="AA28" s="7">
        <f t="shared" si="20"/>
        <v>0</v>
      </c>
      <c r="AB28" s="13">
        <f t="shared" ref="AB28:AD28" si="21">AB24+AB26</f>
        <v>280</v>
      </c>
      <c r="AC28" s="13">
        <f t="shared" si="21"/>
        <v>364</v>
      </c>
      <c r="AD28" s="13">
        <f t="shared" si="21"/>
        <v>280</v>
      </c>
      <c r="AE28" s="13">
        <f t="shared" si="19"/>
        <v>280</v>
      </c>
      <c r="AF28" s="13">
        <f t="shared" si="19"/>
        <v>280</v>
      </c>
      <c r="AG28" s="13">
        <f t="shared" si="19"/>
        <v>280</v>
      </c>
      <c r="AH28" s="7">
        <f t="shared" si="19"/>
        <v>0</v>
      </c>
      <c r="AI28" s="13">
        <f t="shared" si="19"/>
        <v>0</v>
      </c>
    </row>
    <row r="29" spans="1:35" ht="13">
      <c r="A29" s="111"/>
      <c r="B29" s="112"/>
      <c r="C29" s="4" t="s">
        <v>10</v>
      </c>
      <c r="D29" s="22">
        <f t="shared" si="13"/>
        <v>7718</v>
      </c>
      <c r="E29" s="13">
        <f t="shared" si="19"/>
        <v>0</v>
      </c>
      <c r="F29" s="7">
        <f t="shared" si="19"/>
        <v>0</v>
      </c>
      <c r="G29" s="13">
        <f t="shared" si="19"/>
        <v>238</v>
      </c>
      <c r="H29" s="13">
        <f t="shared" si="19"/>
        <v>322</v>
      </c>
      <c r="I29" s="13">
        <f t="shared" si="19"/>
        <v>378</v>
      </c>
      <c r="J29" s="13">
        <f t="shared" si="19"/>
        <v>392</v>
      </c>
      <c r="K29" s="13">
        <f t="shared" si="19"/>
        <v>364</v>
      </c>
      <c r="L29" s="13">
        <f t="shared" si="19"/>
        <v>406</v>
      </c>
      <c r="M29" s="7">
        <f t="shared" si="19"/>
        <v>0</v>
      </c>
      <c r="N29" s="13">
        <f t="shared" si="19"/>
        <v>326</v>
      </c>
      <c r="O29" s="13">
        <f t="shared" si="19"/>
        <v>294</v>
      </c>
      <c r="P29" s="13">
        <f t="shared" si="19"/>
        <v>350</v>
      </c>
      <c r="Q29" s="13">
        <f t="shared" si="19"/>
        <v>308</v>
      </c>
      <c r="R29" s="13">
        <f t="shared" si="19"/>
        <v>238</v>
      </c>
      <c r="S29" s="13">
        <f t="shared" si="19"/>
        <v>350</v>
      </c>
      <c r="T29" s="7">
        <f t="shared" si="19"/>
        <v>0</v>
      </c>
      <c r="U29" s="13">
        <f t="shared" si="19"/>
        <v>378</v>
      </c>
      <c r="V29" s="13">
        <f t="shared" si="19"/>
        <v>322</v>
      </c>
      <c r="W29" s="13">
        <f t="shared" si="19"/>
        <v>434</v>
      </c>
      <c r="X29" s="13">
        <f t="shared" si="19"/>
        <v>252</v>
      </c>
      <c r="Y29" s="13">
        <f t="shared" si="19"/>
        <v>506</v>
      </c>
      <c r="Z29" s="13">
        <f t="shared" ref="Z29:AA29" si="22">Z25+Z27</f>
        <v>238</v>
      </c>
      <c r="AA29" s="7">
        <f t="shared" si="22"/>
        <v>0</v>
      </c>
      <c r="AB29" s="13">
        <f t="shared" ref="AB29:AD29" si="23">AB25+AB27</f>
        <v>252</v>
      </c>
      <c r="AC29" s="13">
        <f t="shared" si="23"/>
        <v>350</v>
      </c>
      <c r="AD29" s="13">
        <f t="shared" si="23"/>
        <v>294</v>
      </c>
      <c r="AE29" s="13">
        <f t="shared" si="19"/>
        <v>280</v>
      </c>
      <c r="AF29" s="13">
        <f t="shared" si="19"/>
        <v>280</v>
      </c>
      <c r="AG29" s="13">
        <f t="shared" si="19"/>
        <v>166</v>
      </c>
      <c r="AH29" s="7">
        <f t="shared" si="19"/>
        <v>0</v>
      </c>
      <c r="AI29" s="13">
        <f t="shared" si="19"/>
        <v>0</v>
      </c>
    </row>
    <row r="30" spans="1:35" ht="13">
      <c r="A30" s="111"/>
      <c r="B30" s="114" t="s">
        <v>20</v>
      </c>
      <c r="C30" s="115"/>
      <c r="D30" s="25">
        <f t="shared" si="13"/>
        <v>909</v>
      </c>
      <c r="E30" s="26">
        <f>7.5*60</f>
        <v>450</v>
      </c>
      <c r="F30" s="26"/>
      <c r="G30" s="26"/>
      <c r="H30" s="26">
        <v>120</v>
      </c>
      <c r="I30" s="26">
        <v>90</v>
      </c>
      <c r="J30" s="26"/>
      <c r="K30" s="26"/>
      <c r="L30" s="26"/>
      <c r="M30" s="26"/>
      <c r="N30" s="26"/>
      <c r="O30" s="26">
        <v>120</v>
      </c>
      <c r="P30" s="26">
        <f t="shared" ref="P30:R30" si="24">(P28-P29)*1</f>
        <v>70</v>
      </c>
      <c r="Q30" s="26">
        <f t="shared" si="24"/>
        <v>56</v>
      </c>
      <c r="R30" s="26">
        <f t="shared" si="24"/>
        <v>3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</row>
    <row r="31" spans="1:35" s="21" customFormat="1" ht="42" customHeight="1">
      <c r="A31" s="111"/>
      <c r="B31" s="14"/>
      <c r="C31" s="14" t="s">
        <v>13</v>
      </c>
      <c r="D31" s="14"/>
      <c r="E31" s="30" t="s">
        <v>23</v>
      </c>
      <c r="F31" s="44"/>
      <c r="G31" s="30" t="s">
        <v>33</v>
      </c>
      <c r="H31" s="30" t="s">
        <v>23</v>
      </c>
      <c r="I31" s="30" t="s">
        <v>23</v>
      </c>
      <c r="J31" s="30"/>
      <c r="K31" s="30"/>
      <c r="L31" s="30"/>
      <c r="M31" s="44"/>
      <c r="N31" s="30"/>
      <c r="O31" s="30" t="s">
        <v>37</v>
      </c>
      <c r="P31" s="30" t="s">
        <v>39</v>
      </c>
      <c r="Q31" s="30"/>
      <c r="R31" s="30" t="s">
        <v>42</v>
      </c>
      <c r="S31" s="30" t="s">
        <v>44</v>
      </c>
      <c r="T31" s="15"/>
      <c r="U31" s="54" t="s">
        <v>70</v>
      </c>
      <c r="V31" s="14"/>
      <c r="W31" s="14"/>
      <c r="X31" s="14" t="s">
        <v>85</v>
      </c>
      <c r="Y31" s="14"/>
      <c r="Z31" s="30" t="s">
        <v>95</v>
      </c>
      <c r="AA31" s="44"/>
      <c r="AB31" s="30"/>
      <c r="AC31" s="30"/>
      <c r="AD31" s="30"/>
      <c r="AE31" s="30"/>
      <c r="AF31" s="30"/>
      <c r="AG31" s="30" t="s">
        <v>110</v>
      </c>
      <c r="AH31" s="44" t="s">
        <v>113</v>
      </c>
      <c r="AI31" s="30"/>
    </row>
    <row r="32" spans="1:35">
      <c r="A32" s="36"/>
    </row>
    <row r="33" spans="1:35" ht="14">
      <c r="A33" s="37"/>
      <c r="B33" s="38"/>
      <c r="C33" s="38"/>
      <c r="D33" s="39"/>
      <c r="E33" s="39"/>
      <c r="F33" s="39"/>
      <c r="G33" s="39"/>
      <c r="H33" s="39"/>
      <c r="I33" s="39"/>
      <c r="J33" s="39"/>
      <c r="K33" s="42"/>
      <c r="L33" s="42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42"/>
      <c r="AC33" s="39"/>
      <c r="AD33" s="39"/>
      <c r="AE33" s="39"/>
      <c r="AF33" s="39"/>
      <c r="AG33" s="39"/>
      <c r="AH33" s="39"/>
      <c r="AI33" s="39"/>
    </row>
    <row r="34" spans="1:35" ht="13">
      <c r="C34" s="5"/>
      <c r="D34" s="24" t="s">
        <v>18</v>
      </c>
      <c r="E34" s="31">
        <v>45962</v>
      </c>
      <c r="F34" s="8">
        <f>E34+1</f>
        <v>45963</v>
      </c>
      <c r="G34" s="31">
        <f>F34+1</f>
        <v>45964</v>
      </c>
      <c r="H34" s="8">
        <f t="shared" ref="H34:AI34" si="25">G34+1</f>
        <v>45965</v>
      </c>
      <c r="I34" s="8">
        <f t="shared" si="25"/>
        <v>45966</v>
      </c>
      <c r="J34" s="31">
        <f t="shared" si="25"/>
        <v>45967</v>
      </c>
      <c r="K34" s="31">
        <f t="shared" si="25"/>
        <v>45968</v>
      </c>
      <c r="L34" s="8">
        <f t="shared" si="25"/>
        <v>45969</v>
      </c>
      <c r="M34" s="8">
        <f t="shared" si="25"/>
        <v>45970</v>
      </c>
      <c r="N34" s="8">
        <f t="shared" si="25"/>
        <v>45971</v>
      </c>
      <c r="O34" s="8">
        <f t="shared" si="25"/>
        <v>45972</v>
      </c>
      <c r="P34" s="8">
        <f t="shared" si="25"/>
        <v>45973</v>
      </c>
      <c r="Q34" s="31">
        <f t="shared" si="25"/>
        <v>45974</v>
      </c>
      <c r="R34" s="8">
        <f t="shared" si="25"/>
        <v>45975</v>
      </c>
      <c r="S34" s="8">
        <f t="shared" si="25"/>
        <v>45976</v>
      </c>
      <c r="T34" s="8">
        <f t="shared" si="25"/>
        <v>45977</v>
      </c>
      <c r="U34" s="8">
        <f t="shared" si="25"/>
        <v>45978</v>
      </c>
      <c r="V34" s="8">
        <f t="shared" si="25"/>
        <v>45979</v>
      </c>
      <c r="W34" s="8">
        <f t="shared" si="25"/>
        <v>45980</v>
      </c>
      <c r="X34" s="31">
        <f t="shared" si="25"/>
        <v>45981</v>
      </c>
      <c r="Y34" s="31">
        <f t="shared" si="25"/>
        <v>45982</v>
      </c>
      <c r="Z34" s="8">
        <f t="shared" si="25"/>
        <v>45983</v>
      </c>
      <c r="AA34" s="8">
        <f t="shared" si="25"/>
        <v>45984</v>
      </c>
      <c r="AB34" s="8">
        <f t="shared" si="25"/>
        <v>45985</v>
      </c>
      <c r="AC34" s="8">
        <f t="shared" si="25"/>
        <v>45986</v>
      </c>
      <c r="AD34" s="8">
        <f t="shared" si="25"/>
        <v>45987</v>
      </c>
      <c r="AE34" s="31">
        <f t="shared" si="25"/>
        <v>45988</v>
      </c>
      <c r="AF34" s="31">
        <f t="shared" si="25"/>
        <v>45989</v>
      </c>
      <c r="AG34" s="8">
        <f t="shared" si="25"/>
        <v>45990</v>
      </c>
      <c r="AH34" s="8">
        <f t="shared" si="25"/>
        <v>45991</v>
      </c>
      <c r="AI34" s="8">
        <f t="shared" si="25"/>
        <v>45992</v>
      </c>
    </row>
    <row r="35" spans="1:35" ht="13">
      <c r="C35" s="3" t="s">
        <v>24</v>
      </c>
      <c r="D35" s="16">
        <f>SUM(E35:AI35)</f>
        <v>0</v>
      </c>
      <c r="E35" s="32"/>
      <c r="F35" s="5"/>
      <c r="G35" s="32"/>
      <c r="H35" s="5"/>
      <c r="I35" s="5"/>
      <c r="J35" s="32"/>
      <c r="K35" s="32"/>
      <c r="L35" s="5"/>
      <c r="M35" s="5"/>
      <c r="N35" s="5"/>
      <c r="O35" s="5"/>
      <c r="P35" s="5"/>
      <c r="Q35" s="32"/>
      <c r="R35" s="5"/>
      <c r="S35" s="5"/>
      <c r="T35" s="5"/>
      <c r="U35" s="5"/>
      <c r="V35" s="5"/>
      <c r="W35" s="5"/>
      <c r="X35" s="32"/>
      <c r="Y35" s="32"/>
      <c r="Z35" s="5"/>
      <c r="AA35" s="5"/>
      <c r="AB35" s="5"/>
      <c r="AC35" s="5"/>
      <c r="AD35" s="5"/>
      <c r="AE35" s="32"/>
      <c r="AF35" s="32"/>
      <c r="AG35" s="5"/>
      <c r="AH35" s="5"/>
      <c r="AI35" s="5"/>
    </row>
    <row r="36" spans="1:35" ht="13">
      <c r="C36" s="3" t="s">
        <v>25</v>
      </c>
      <c r="D36" s="16">
        <f t="shared" ref="D36:D41" si="26">SUM(E36:AI36)</f>
        <v>0</v>
      </c>
      <c r="E36" s="32"/>
      <c r="F36" s="5"/>
      <c r="G36" s="32"/>
      <c r="H36" s="5"/>
      <c r="I36" s="5"/>
      <c r="J36" s="32"/>
      <c r="K36" s="32"/>
      <c r="L36" s="5"/>
      <c r="M36" s="5"/>
      <c r="N36" s="5"/>
      <c r="O36" s="5"/>
      <c r="P36" s="5"/>
      <c r="Q36" s="32"/>
      <c r="R36" s="5"/>
      <c r="S36" s="5"/>
      <c r="T36" s="5"/>
      <c r="U36" s="5"/>
      <c r="V36" s="5"/>
      <c r="W36" s="5"/>
      <c r="X36" s="32"/>
      <c r="Y36" s="32"/>
      <c r="Z36" s="5"/>
      <c r="AA36" s="5"/>
      <c r="AB36" s="5"/>
      <c r="AC36" s="5"/>
      <c r="AD36" s="5"/>
      <c r="AE36" s="32"/>
      <c r="AF36" s="32"/>
      <c r="AG36" s="5"/>
      <c r="AH36" s="5"/>
      <c r="AI36" s="5"/>
    </row>
    <row r="37" spans="1:35" ht="13">
      <c r="C37" s="20" t="s">
        <v>14</v>
      </c>
      <c r="D37" s="16">
        <f t="shared" si="26"/>
        <v>0</v>
      </c>
      <c r="E37" s="32"/>
      <c r="F37" s="5"/>
      <c r="G37" s="32"/>
      <c r="H37" s="5"/>
      <c r="I37" s="5"/>
      <c r="J37" s="32"/>
      <c r="K37" s="32"/>
      <c r="L37" s="5"/>
      <c r="M37" s="5"/>
      <c r="N37" s="5"/>
      <c r="O37" s="5"/>
      <c r="P37" s="5"/>
      <c r="Q37" s="32"/>
      <c r="R37" s="5"/>
      <c r="S37" s="5"/>
      <c r="T37" s="5"/>
      <c r="U37" s="5"/>
      <c r="V37" s="5"/>
      <c r="W37" s="5"/>
      <c r="X37" s="32"/>
      <c r="Y37" s="32"/>
      <c r="Z37" s="5"/>
      <c r="AA37" s="5"/>
      <c r="AB37" s="5"/>
      <c r="AC37" s="5"/>
      <c r="AD37" s="5"/>
      <c r="AE37" s="32"/>
      <c r="AF37" s="32"/>
      <c r="AG37" s="5"/>
      <c r="AH37" s="5"/>
      <c r="AI37" s="5"/>
    </row>
    <row r="38" spans="1:35" ht="13">
      <c r="C38" s="5" t="s">
        <v>15</v>
      </c>
      <c r="D38" s="16">
        <f t="shared" si="26"/>
        <v>0</v>
      </c>
      <c r="E38" s="40"/>
      <c r="F38" s="12"/>
      <c r="G38" s="40"/>
      <c r="H38" s="12"/>
      <c r="I38" s="12"/>
      <c r="J38" s="40"/>
      <c r="K38" s="40"/>
      <c r="L38" s="12"/>
      <c r="M38" s="12"/>
      <c r="N38" s="12"/>
      <c r="O38" s="12"/>
      <c r="P38" s="12"/>
      <c r="Q38" s="40"/>
      <c r="R38" s="12"/>
      <c r="S38" s="12"/>
      <c r="T38" s="5"/>
      <c r="U38" s="12"/>
      <c r="V38" s="12"/>
      <c r="W38" s="12"/>
      <c r="X38" s="32"/>
      <c r="Y38" s="32"/>
      <c r="Z38" s="5"/>
      <c r="AA38" s="5"/>
      <c r="AB38" s="5"/>
      <c r="AC38" s="5"/>
      <c r="AD38" s="5"/>
      <c r="AE38" s="32"/>
      <c r="AF38" s="32"/>
      <c r="AG38" s="5"/>
      <c r="AH38" s="5"/>
      <c r="AI38" s="5"/>
    </row>
    <row r="39" spans="1:35" ht="13">
      <c r="C39" s="5" t="s">
        <v>23</v>
      </c>
      <c r="D39" s="16">
        <f t="shared" si="26"/>
        <v>0</v>
      </c>
      <c r="E39" s="32"/>
      <c r="F39" s="5"/>
      <c r="G39" s="32"/>
      <c r="H39" s="5"/>
      <c r="I39" s="5"/>
      <c r="J39" s="32"/>
      <c r="K39" s="32"/>
      <c r="L39" s="5"/>
      <c r="M39" s="5"/>
      <c r="N39" s="5"/>
      <c r="O39" s="5"/>
      <c r="P39" s="5"/>
      <c r="Q39" s="32"/>
      <c r="R39" s="5"/>
      <c r="S39" s="5"/>
      <c r="T39" s="5"/>
      <c r="U39" s="5"/>
      <c r="V39" s="5"/>
      <c r="W39" s="5"/>
      <c r="X39" s="32"/>
      <c r="Y39" s="32"/>
      <c r="Z39" s="5"/>
      <c r="AA39" s="5"/>
      <c r="AB39" s="5"/>
      <c r="AC39" s="5"/>
      <c r="AD39" s="5"/>
      <c r="AE39" s="32"/>
      <c r="AF39" s="32"/>
      <c r="AG39" s="5"/>
      <c r="AH39" s="5"/>
      <c r="AI39" s="5"/>
    </row>
    <row r="40" spans="1:35" ht="13">
      <c r="C40" s="20" t="s">
        <v>26</v>
      </c>
      <c r="D40" s="16">
        <f t="shared" si="26"/>
        <v>0</v>
      </c>
      <c r="E40" s="32"/>
      <c r="F40" s="5"/>
      <c r="G40" s="32"/>
      <c r="H40" s="5"/>
      <c r="I40" s="5"/>
      <c r="J40" s="32"/>
      <c r="K40" s="32"/>
      <c r="L40" s="5"/>
      <c r="M40" s="5"/>
      <c r="N40" s="5"/>
      <c r="O40" s="5"/>
      <c r="P40" s="5"/>
      <c r="Q40" s="32"/>
      <c r="R40" s="5"/>
      <c r="S40" s="5"/>
      <c r="T40" s="5"/>
      <c r="U40" s="12"/>
      <c r="V40" s="5"/>
      <c r="W40" s="5"/>
      <c r="X40" s="32"/>
      <c r="Y40" s="32"/>
      <c r="Z40" s="5"/>
      <c r="AA40" s="5"/>
      <c r="AB40" s="5"/>
      <c r="AC40" s="5"/>
      <c r="AD40" s="5"/>
      <c r="AE40" s="32"/>
      <c r="AF40" s="32"/>
      <c r="AG40" s="5"/>
      <c r="AH40" s="5"/>
      <c r="AI40" s="5"/>
    </row>
    <row r="41" spans="1:35" ht="13">
      <c r="C41" s="20" t="s">
        <v>29</v>
      </c>
      <c r="D41" s="16">
        <f t="shared" si="26"/>
        <v>0</v>
      </c>
      <c r="E41" s="32"/>
      <c r="F41" s="5"/>
      <c r="G41" s="32"/>
      <c r="H41" s="5"/>
      <c r="I41" s="5"/>
      <c r="J41" s="32"/>
      <c r="K41" s="32"/>
      <c r="L41" s="5"/>
      <c r="M41" s="5"/>
      <c r="N41" s="5"/>
      <c r="O41" s="5"/>
      <c r="P41" s="5"/>
      <c r="Q41" s="32"/>
      <c r="R41" s="5"/>
      <c r="S41" s="5"/>
      <c r="T41" s="5"/>
      <c r="U41" s="5"/>
      <c r="V41" s="5"/>
      <c r="W41" s="5"/>
      <c r="X41" s="32"/>
      <c r="Y41" s="32"/>
      <c r="Z41" s="5"/>
      <c r="AA41" s="5"/>
      <c r="AB41" s="5"/>
      <c r="AC41" s="5"/>
      <c r="AD41" s="5"/>
      <c r="AE41" s="32"/>
      <c r="AF41" s="32"/>
      <c r="AG41" s="5"/>
      <c r="AH41" s="5"/>
      <c r="AI41" s="5"/>
    </row>
    <row r="42" spans="1:35" ht="13">
      <c r="C42" s="20" t="s">
        <v>27</v>
      </c>
      <c r="D42" s="6">
        <f>SUM(D35:D41)</f>
        <v>0</v>
      </c>
      <c r="E42" s="33">
        <f t="shared" ref="E42:AI42" si="27">SUM(E35:E41)</f>
        <v>0</v>
      </c>
      <c r="F42" s="6">
        <f t="shared" si="27"/>
        <v>0</v>
      </c>
      <c r="G42" s="33">
        <f t="shared" si="27"/>
        <v>0</v>
      </c>
      <c r="H42" s="6">
        <f t="shared" si="27"/>
        <v>0</v>
      </c>
      <c r="I42" s="6">
        <f t="shared" si="27"/>
        <v>0</v>
      </c>
      <c r="J42" s="33">
        <f t="shared" si="27"/>
        <v>0</v>
      </c>
      <c r="K42" s="33">
        <f t="shared" si="27"/>
        <v>0</v>
      </c>
      <c r="L42" s="6">
        <f t="shared" si="27"/>
        <v>0</v>
      </c>
      <c r="M42" s="6">
        <f t="shared" si="27"/>
        <v>0</v>
      </c>
      <c r="N42" s="6">
        <f t="shared" si="27"/>
        <v>0</v>
      </c>
      <c r="O42" s="6">
        <f t="shared" si="27"/>
        <v>0</v>
      </c>
      <c r="P42" s="6">
        <f t="shared" si="27"/>
        <v>0</v>
      </c>
      <c r="Q42" s="33">
        <f t="shared" si="27"/>
        <v>0</v>
      </c>
      <c r="R42" s="6">
        <f t="shared" si="27"/>
        <v>0</v>
      </c>
      <c r="S42" s="6">
        <f t="shared" si="27"/>
        <v>0</v>
      </c>
      <c r="T42" s="6">
        <f t="shared" si="27"/>
        <v>0</v>
      </c>
      <c r="U42" s="6">
        <f t="shared" si="27"/>
        <v>0</v>
      </c>
      <c r="V42" s="6">
        <f t="shared" si="27"/>
        <v>0</v>
      </c>
      <c r="W42" s="6">
        <f t="shared" si="27"/>
        <v>0</v>
      </c>
      <c r="X42" s="33">
        <f t="shared" si="27"/>
        <v>0</v>
      </c>
      <c r="Y42" s="33">
        <f t="shared" si="27"/>
        <v>0</v>
      </c>
      <c r="Z42" s="6">
        <f t="shared" si="27"/>
        <v>0</v>
      </c>
      <c r="AA42" s="6">
        <f t="shared" si="27"/>
        <v>0</v>
      </c>
      <c r="AB42" s="6">
        <f t="shared" si="27"/>
        <v>0</v>
      </c>
      <c r="AC42" s="6">
        <f t="shared" si="27"/>
        <v>0</v>
      </c>
      <c r="AD42" s="6">
        <f t="shared" si="27"/>
        <v>0</v>
      </c>
      <c r="AE42" s="33">
        <f t="shared" si="27"/>
        <v>0</v>
      </c>
      <c r="AF42" s="33">
        <f t="shared" si="27"/>
        <v>0</v>
      </c>
      <c r="AG42" s="6">
        <f t="shared" si="27"/>
        <v>0</v>
      </c>
      <c r="AH42" s="6">
        <f t="shared" si="27"/>
        <v>0</v>
      </c>
      <c r="AI42" s="6">
        <f t="shared" si="27"/>
        <v>0</v>
      </c>
    </row>
  </sheetData>
  <mergeCells count="15">
    <mergeCell ref="A8:A15"/>
    <mergeCell ref="B8:B9"/>
    <mergeCell ref="B10:B11"/>
    <mergeCell ref="B12:B13"/>
    <mergeCell ref="B14:C14"/>
    <mergeCell ref="A24:A31"/>
    <mergeCell ref="B24:B25"/>
    <mergeCell ref="B26:B27"/>
    <mergeCell ref="B28:B29"/>
    <mergeCell ref="B30:C30"/>
    <mergeCell ref="A16:A23"/>
    <mergeCell ref="B16:B17"/>
    <mergeCell ref="B18:B19"/>
    <mergeCell ref="B20:B21"/>
    <mergeCell ref="B22:C22"/>
  </mergeCells>
  <hyperlinks>
    <hyperlink ref="A1" location="Summary!A1" display="Index" xr:uid="{FA7B044C-5F89-4374-8DDA-9B690594636C}"/>
  </hyperlinks>
  <pageMargins left="0.7" right="0.7" top="0.75" bottom="0.75" header="0.3" footer="0.3"/>
  <pageSetup paperSize="9" orientation="portrait" r:id="rId1"/>
  <headerFooter>
    <oddFooter>&amp;L_x000D_&amp;1#&amp;"Calibri Light"&amp;8&amp;K000000 Classified as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7731-B3D5-470D-A548-F5C46CD023C2}">
  <dimension ref="A1:AI42"/>
  <sheetViews>
    <sheetView zoomScale="50" zoomScaleNormal="50" workbookViewId="0">
      <pane xSplit="4" ySplit="7" topLeftCell="T8" activePane="bottomRight" state="frozen"/>
      <selection pane="topRight" activeCell="E1" sqref="E1"/>
      <selection pane="bottomLeft" activeCell="A8" sqref="A8"/>
      <selection pane="bottomRight" activeCell="D22" sqref="D22"/>
    </sheetView>
  </sheetViews>
  <sheetFormatPr defaultRowHeight="12.5"/>
  <cols>
    <col min="1" max="1" width="31.7265625" style="2" bestFit="1" customWidth="1"/>
    <col min="2" max="2" width="18.90625" style="2" customWidth="1"/>
    <col min="3" max="3" width="25.453125" style="2" bestFit="1" customWidth="1"/>
    <col min="4" max="4" width="12.6328125" style="18" bestFit="1" customWidth="1"/>
    <col min="5" max="20" width="12.81640625" style="2" customWidth="1"/>
    <col min="21" max="21" width="16.453125" style="2" bestFit="1" customWidth="1"/>
    <col min="22" max="23" width="12.81640625" style="2" customWidth="1"/>
    <col min="24" max="24" width="15" style="2" customWidth="1"/>
    <col min="25" max="35" width="12.81640625" style="2" customWidth="1"/>
    <col min="36" max="16384" width="8.7265625" style="2"/>
  </cols>
  <sheetData>
    <row r="1" spans="1:35">
      <c r="A1" s="1" t="s">
        <v>0</v>
      </c>
    </row>
    <row r="2" spans="1:35" ht="27" customHeight="1">
      <c r="A2" s="29" t="s">
        <v>21</v>
      </c>
      <c r="B2" s="29" t="s">
        <v>22</v>
      </c>
      <c r="C2" s="5"/>
      <c r="D2" s="24" t="s">
        <v>18</v>
      </c>
      <c r="E2" s="8">
        <v>45992</v>
      </c>
      <c r="F2" s="8">
        <f>E2+1</f>
        <v>45993</v>
      </c>
      <c r="G2" s="8">
        <f>F2+1</f>
        <v>45994</v>
      </c>
      <c r="H2" s="8">
        <f>G2+1</f>
        <v>45995</v>
      </c>
      <c r="I2" s="8">
        <f>H2+1</f>
        <v>45996</v>
      </c>
      <c r="J2" s="8">
        <f>I2+1</f>
        <v>45997</v>
      </c>
      <c r="K2" s="9">
        <f t="shared" ref="K2:M2" si="0">J2+1</f>
        <v>45998</v>
      </c>
      <c r="L2" s="8">
        <f t="shared" si="0"/>
        <v>45999</v>
      </c>
      <c r="M2" s="8">
        <f t="shared" si="0"/>
        <v>46000</v>
      </c>
      <c r="N2" s="8">
        <f>M2+1</f>
        <v>46001</v>
      </c>
      <c r="O2" s="8">
        <f>N2+1</f>
        <v>46002</v>
      </c>
      <c r="P2" s="8">
        <f t="shared" ref="P2:T2" si="1">O2+1</f>
        <v>46003</v>
      </c>
      <c r="Q2" s="8">
        <f t="shared" si="1"/>
        <v>46004</v>
      </c>
      <c r="R2" s="9">
        <f t="shared" si="1"/>
        <v>46005</v>
      </c>
      <c r="S2" s="8">
        <f t="shared" si="1"/>
        <v>46006</v>
      </c>
      <c r="T2" s="8">
        <f t="shared" si="1"/>
        <v>46007</v>
      </c>
      <c r="U2" s="8">
        <f>T2+1</f>
        <v>46008</v>
      </c>
      <c r="V2" s="8">
        <f>U2+1</f>
        <v>46009</v>
      </c>
      <c r="W2" s="8">
        <f t="shared" ref="W2:AA2" si="2">V2+1</f>
        <v>46010</v>
      </c>
      <c r="X2" s="8">
        <f t="shared" si="2"/>
        <v>46011</v>
      </c>
      <c r="Y2" s="9">
        <f t="shared" si="2"/>
        <v>46012</v>
      </c>
      <c r="Z2" s="8">
        <f t="shared" si="2"/>
        <v>46013</v>
      </c>
      <c r="AA2" s="8">
        <f t="shared" si="2"/>
        <v>46014</v>
      </c>
      <c r="AB2" s="8">
        <f>AA2+1</f>
        <v>46015</v>
      </c>
      <c r="AC2" s="8">
        <f>AB2+1</f>
        <v>46016</v>
      </c>
      <c r="AD2" s="8">
        <f t="shared" ref="AD2:AH2" si="3">AC2+1</f>
        <v>46017</v>
      </c>
      <c r="AE2" s="8">
        <f t="shared" si="3"/>
        <v>46018</v>
      </c>
      <c r="AF2" s="9">
        <f t="shared" si="3"/>
        <v>46019</v>
      </c>
      <c r="AG2" s="8">
        <f t="shared" si="3"/>
        <v>46020</v>
      </c>
      <c r="AH2" s="8">
        <f t="shared" si="3"/>
        <v>46021</v>
      </c>
      <c r="AI2" s="8">
        <f>AH2+1</f>
        <v>46022</v>
      </c>
    </row>
    <row r="3" spans="1:35" ht="20">
      <c r="A3" s="27">
        <f ca="1">TODAY()-1</f>
        <v>46156</v>
      </c>
      <c r="B3" s="28" t="e">
        <f ca="1">HLOOKUP(A3,E2:AI3,2,0)</f>
        <v>#N/A</v>
      </c>
      <c r="C3" s="5"/>
      <c r="D3" s="19" t="str">
        <f>CONCATENATE(D5,"/",D4)</f>
        <v>12176/15695</v>
      </c>
      <c r="E3" s="19" t="str">
        <f>CONCATENATE(E5,"/",E4)</f>
        <v>410/414</v>
      </c>
      <c r="F3" s="19" t="str">
        <f t="shared" ref="F3:AI3" si="4">CONCATENATE(F5,"/",F4)</f>
        <v>447/504</v>
      </c>
      <c r="G3" s="19" t="str">
        <f t="shared" si="4"/>
        <v>656/748</v>
      </c>
      <c r="H3" s="19" t="str">
        <f t="shared" si="4"/>
        <v>767/844</v>
      </c>
      <c r="I3" s="19" t="str">
        <f t="shared" si="4"/>
        <v>581/722</v>
      </c>
      <c r="J3" s="19" t="str">
        <f t="shared" si="4"/>
        <v>590/713</v>
      </c>
      <c r="K3" s="34" t="str">
        <f t="shared" si="4"/>
        <v>0/0</v>
      </c>
      <c r="L3" s="19" t="str">
        <f t="shared" si="4"/>
        <v>439/736</v>
      </c>
      <c r="M3" s="19" t="str">
        <f t="shared" si="4"/>
        <v>574/712</v>
      </c>
      <c r="N3" s="19" t="str">
        <f t="shared" si="4"/>
        <v>688/776</v>
      </c>
      <c r="O3" s="19" t="str">
        <f t="shared" si="4"/>
        <v>623/712</v>
      </c>
      <c r="P3" s="19" t="str">
        <f t="shared" si="4"/>
        <v>564/734</v>
      </c>
      <c r="Q3" s="19" t="str">
        <f t="shared" si="4"/>
        <v>368/568</v>
      </c>
      <c r="R3" s="34" t="str">
        <f t="shared" si="4"/>
        <v>60/70</v>
      </c>
      <c r="S3" s="19" t="str">
        <f t="shared" si="4"/>
        <v>461/728</v>
      </c>
      <c r="T3" s="19" t="str">
        <f t="shared" si="4"/>
        <v>484/454</v>
      </c>
      <c r="U3" s="19" t="str">
        <f t="shared" si="4"/>
        <v>662/732</v>
      </c>
      <c r="V3" s="19" t="str">
        <f t="shared" si="4"/>
        <v>778/840</v>
      </c>
      <c r="W3" s="19" t="str">
        <f t="shared" si="4"/>
        <v>670/888</v>
      </c>
      <c r="X3" s="19" t="str">
        <f t="shared" si="4"/>
        <v>396/520</v>
      </c>
      <c r="Y3" s="34" t="str">
        <f t="shared" si="4"/>
        <v>0/0</v>
      </c>
      <c r="Z3" s="19" t="str">
        <f t="shared" si="4"/>
        <v>222/368</v>
      </c>
      <c r="AA3" s="19" t="str">
        <f t="shared" si="4"/>
        <v>236/448</v>
      </c>
      <c r="AB3" s="19" t="str">
        <f t="shared" si="4"/>
        <v>102/140</v>
      </c>
      <c r="AC3" s="19" t="str">
        <f t="shared" si="4"/>
        <v>128/160</v>
      </c>
      <c r="AD3" s="19" t="str">
        <f t="shared" si="4"/>
        <v>260/432</v>
      </c>
      <c r="AE3" s="19" t="str">
        <f t="shared" si="4"/>
        <v>195/218</v>
      </c>
      <c r="AF3" s="34" t="str">
        <f t="shared" si="4"/>
        <v>217/378</v>
      </c>
      <c r="AG3" s="19" t="str">
        <f t="shared" si="4"/>
        <v>358/568</v>
      </c>
      <c r="AH3" s="19" t="str">
        <f t="shared" si="4"/>
        <v>240/568</v>
      </c>
      <c r="AI3" s="19" t="str">
        <f t="shared" si="4"/>
        <v>0/0</v>
      </c>
    </row>
    <row r="4" spans="1:35" ht="20">
      <c r="A4" s="28" t="s">
        <v>28</v>
      </c>
      <c r="B4" s="28" t="str">
        <f>D3</f>
        <v>12176/15695</v>
      </c>
      <c r="C4" s="23" t="s">
        <v>1</v>
      </c>
      <c r="D4" s="19">
        <f t="shared" ref="D4:AI5" si="5">D12+D20+D28</f>
        <v>15695</v>
      </c>
      <c r="E4" s="19">
        <f t="shared" si="5"/>
        <v>414</v>
      </c>
      <c r="F4" s="19">
        <f t="shared" si="5"/>
        <v>504</v>
      </c>
      <c r="G4" s="19">
        <f t="shared" si="5"/>
        <v>748</v>
      </c>
      <c r="H4" s="19">
        <f t="shared" si="5"/>
        <v>844</v>
      </c>
      <c r="I4" s="19">
        <f t="shared" si="5"/>
        <v>722</v>
      </c>
      <c r="J4" s="19">
        <f t="shared" si="5"/>
        <v>713</v>
      </c>
      <c r="K4" s="34">
        <f t="shared" si="5"/>
        <v>0</v>
      </c>
      <c r="L4" s="19">
        <f t="shared" si="5"/>
        <v>736</v>
      </c>
      <c r="M4" s="19">
        <f t="shared" si="5"/>
        <v>712</v>
      </c>
      <c r="N4" s="19">
        <f t="shared" si="5"/>
        <v>776</v>
      </c>
      <c r="O4" s="19">
        <f t="shared" si="5"/>
        <v>712</v>
      </c>
      <c r="P4" s="19">
        <f t="shared" si="5"/>
        <v>734</v>
      </c>
      <c r="Q4" s="19">
        <f t="shared" si="5"/>
        <v>568</v>
      </c>
      <c r="R4" s="34">
        <f t="shared" si="5"/>
        <v>70</v>
      </c>
      <c r="S4" s="19">
        <f t="shared" si="5"/>
        <v>728</v>
      </c>
      <c r="T4" s="19">
        <f t="shared" si="5"/>
        <v>454</v>
      </c>
      <c r="U4" s="19">
        <f t="shared" si="5"/>
        <v>732</v>
      </c>
      <c r="V4" s="19">
        <f t="shared" si="5"/>
        <v>840</v>
      </c>
      <c r="W4" s="19">
        <f t="shared" si="5"/>
        <v>888</v>
      </c>
      <c r="X4" s="19">
        <f t="shared" si="5"/>
        <v>520</v>
      </c>
      <c r="Y4" s="34">
        <f t="shared" si="5"/>
        <v>0</v>
      </c>
      <c r="Z4" s="19">
        <f t="shared" si="5"/>
        <v>368</v>
      </c>
      <c r="AA4" s="19">
        <f t="shared" si="5"/>
        <v>448</v>
      </c>
      <c r="AB4" s="19">
        <f t="shared" si="5"/>
        <v>140</v>
      </c>
      <c r="AC4" s="19">
        <f t="shared" si="5"/>
        <v>160</v>
      </c>
      <c r="AD4" s="19">
        <f t="shared" si="5"/>
        <v>432</v>
      </c>
      <c r="AE4" s="19">
        <f t="shared" si="5"/>
        <v>218</v>
      </c>
      <c r="AF4" s="34">
        <f t="shared" si="5"/>
        <v>378</v>
      </c>
      <c r="AG4" s="19">
        <f t="shared" si="5"/>
        <v>568</v>
      </c>
      <c r="AH4" s="19">
        <f t="shared" si="5"/>
        <v>568</v>
      </c>
      <c r="AI4" s="19">
        <f t="shared" si="5"/>
        <v>0</v>
      </c>
    </row>
    <row r="5" spans="1:35" ht="20">
      <c r="A5" s="28" t="s">
        <v>19</v>
      </c>
      <c r="B5" s="43">
        <f>D5/D4</f>
        <v>0.77578846766486143</v>
      </c>
      <c r="C5" s="23" t="s">
        <v>2</v>
      </c>
      <c r="D5" s="19">
        <f t="shared" si="5"/>
        <v>12176</v>
      </c>
      <c r="E5" s="19">
        <f t="shared" si="5"/>
        <v>410</v>
      </c>
      <c r="F5" s="19">
        <f t="shared" si="5"/>
        <v>447</v>
      </c>
      <c r="G5" s="19">
        <f t="shared" si="5"/>
        <v>656</v>
      </c>
      <c r="H5" s="19">
        <f t="shared" si="5"/>
        <v>767</v>
      </c>
      <c r="I5" s="19">
        <f t="shared" si="5"/>
        <v>581</v>
      </c>
      <c r="J5" s="19">
        <f t="shared" si="5"/>
        <v>590</v>
      </c>
      <c r="K5" s="34">
        <f t="shared" si="5"/>
        <v>0</v>
      </c>
      <c r="L5" s="19">
        <f t="shared" si="5"/>
        <v>439</v>
      </c>
      <c r="M5" s="19">
        <f t="shared" si="5"/>
        <v>574</v>
      </c>
      <c r="N5" s="19">
        <f t="shared" si="5"/>
        <v>688</v>
      </c>
      <c r="O5" s="19">
        <f t="shared" si="5"/>
        <v>623</v>
      </c>
      <c r="P5" s="19">
        <f t="shared" si="5"/>
        <v>564</v>
      </c>
      <c r="Q5" s="19">
        <f t="shared" si="5"/>
        <v>368</v>
      </c>
      <c r="R5" s="34">
        <f t="shared" si="5"/>
        <v>60</v>
      </c>
      <c r="S5" s="19">
        <f t="shared" si="5"/>
        <v>461</v>
      </c>
      <c r="T5" s="19">
        <f t="shared" si="5"/>
        <v>484</v>
      </c>
      <c r="U5" s="19">
        <f t="shared" si="5"/>
        <v>662</v>
      </c>
      <c r="V5" s="19">
        <f t="shared" si="5"/>
        <v>778</v>
      </c>
      <c r="W5" s="19">
        <f t="shared" si="5"/>
        <v>670</v>
      </c>
      <c r="X5" s="19">
        <f t="shared" si="5"/>
        <v>396</v>
      </c>
      <c r="Y5" s="34">
        <f t="shared" si="5"/>
        <v>0</v>
      </c>
      <c r="Z5" s="19">
        <f t="shared" si="5"/>
        <v>222</v>
      </c>
      <c r="AA5" s="19">
        <f t="shared" si="5"/>
        <v>236</v>
      </c>
      <c r="AB5" s="19">
        <f t="shared" si="5"/>
        <v>102</v>
      </c>
      <c r="AC5" s="19">
        <f t="shared" si="5"/>
        <v>128</v>
      </c>
      <c r="AD5" s="19">
        <f t="shared" si="5"/>
        <v>260</v>
      </c>
      <c r="AE5" s="19">
        <f>AE13+AE21+AE29</f>
        <v>195</v>
      </c>
      <c r="AF5" s="34">
        <f t="shared" si="5"/>
        <v>217</v>
      </c>
      <c r="AG5" s="19">
        <f t="shared" si="5"/>
        <v>358</v>
      </c>
      <c r="AH5" s="19">
        <f t="shared" si="5"/>
        <v>240</v>
      </c>
      <c r="AI5" s="19">
        <f t="shared" si="5"/>
        <v>0</v>
      </c>
    </row>
    <row r="6" spans="1:35" s="17" customFormat="1" ht="13">
      <c r="C6" s="6" t="s">
        <v>3</v>
      </c>
      <c r="D6" s="6"/>
      <c r="E6" s="6" t="str">
        <f t="shared" ref="E6:AI6" si="6">TEXT(E7,"ddd")</f>
        <v>Mon</v>
      </c>
      <c r="F6" s="6" t="str">
        <f t="shared" si="6"/>
        <v>Tue</v>
      </c>
      <c r="G6" s="6" t="str">
        <f t="shared" si="6"/>
        <v>Wed</v>
      </c>
      <c r="H6" s="6" t="str">
        <f t="shared" si="6"/>
        <v>Thu</v>
      </c>
      <c r="I6" s="6" t="str">
        <f t="shared" si="6"/>
        <v>Fri</v>
      </c>
      <c r="J6" s="6" t="str">
        <f t="shared" si="6"/>
        <v>Sat</v>
      </c>
      <c r="K6" s="6" t="str">
        <f t="shared" si="6"/>
        <v>Sun</v>
      </c>
      <c r="L6" s="6" t="str">
        <f t="shared" si="6"/>
        <v>Mon</v>
      </c>
      <c r="M6" s="6" t="str">
        <f t="shared" si="6"/>
        <v>Tue</v>
      </c>
      <c r="N6" s="6" t="str">
        <f t="shared" si="6"/>
        <v>Wed</v>
      </c>
      <c r="O6" s="6" t="str">
        <f t="shared" si="6"/>
        <v>Thu</v>
      </c>
      <c r="P6" s="6" t="str">
        <f t="shared" si="6"/>
        <v>Fri</v>
      </c>
      <c r="Q6" s="6" t="str">
        <f t="shared" si="6"/>
        <v>Sat</v>
      </c>
      <c r="R6" s="6" t="str">
        <f t="shared" si="6"/>
        <v>Sun</v>
      </c>
      <c r="S6" s="6" t="str">
        <f t="shared" si="6"/>
        <v>Mon</v>
      </c>
      <c r="T6" s="6" t="str">
        <f t="shared" si="6"/>
        <v>Tue</v>
      </c>
      <c r="U6" s="6" t="str">
        <f t="shared" si="6"/>
        <v>Wed</v>
      </c>
      <c r="V6" s="6" t="str">
        <f t="shared" si="6"/>
        <v>Thu</v>
      </c>
      <c r="W6" s="6" t="str">
        <f t="shared" si="6"/>
        <v>Fri</v>
      </c>
      <c r="X6" s="6" t="str">
        <f t="shared" si="6"/>
        <v>Sat</v>
      </c>
      <c r="Y6" s="6" t="str">
        <f t="shared" si="6"/>
        <v>Sun</v>
      </c>
      <c r="Z6" s="6" t="str">
        <f t="shared" si="6"/>
        <v>Mon</v>
      </c>
      <c r="AA6" s="6" t="str">
        <f t="shared" si="6"/>
        <v>Tue</v>
      </c>
      <c r="AB6" s="6" t="str">
        <f t="shared" si="6"/>
        <v>Wed</v>
      </c>
      <c r="AC6" s="6" t="str">
        <f t="shared" si="6"/>
        <v>Thu</v>
      </c>
      <c r="AD6" s="6" t="str">
        <f t="shared" si="6"/>
        <v>Fri</v>
      </c>
      <c r="AE6" s="6" t="str">
        <f t="shared" si="6"/>
        <v>Sat</v>
      </c>
      <c r="AF6" s="6" t="str">
        <f t="shared" si="6"/>
        <v>Sun</v>
      </c>
      <c r="AG6" s="6" t="str">
        <f t="shared" si="6"/>
        <v>Mon</v>
      </c>
      <c r="AH6" s="6" t="str">
        <f t="shared" si="6"/>
        <v>Tue</v>
      </c>
      <c r="AI6" s="6" t="str">
        <f t="shared" si="6"/>
        <v>Wed</v>
      </c>
    </row>
    <row r="7" spans="1:35" s="17" customFormat="1" ht="13">
      <c r="A7" s="6" t="s">
        <v>4</v>
      </c>
      <c r="B7" s="6" t="s">
        <v>5</v>
      </c>
      <c r="C7" s="6" t="s">
        <v>6</v>
      </c>
      <c r="D7" s="6"/>
      <c r="E7" s="8">
        <v>45992</v>
      </c>
      <c r="F7" s="8">
        <f>E7+1</f>
        <v>45993</v>
      </c>
      <c r="G7" s="8">
        <f>F7+1</f>
        <v>45994</v>
      </c>
      <c r="H7" s="8">
        <f>G7+1</f>
        <v>45995</v>
      </c>
      <c r="I7" s="8">
        <f t="shared" ref="I7:M7" si="7">H7+1</f>
        <v>45996</v>
      </c>
      <c r="J7" s="8">
        <f t="shared" si="7"/>
        <v>45997</v>
      </c>
      <c r="K7" s="9">
        <f t="shared" si="7"/>
        <v>45998</v>
      </c>
      <c r="L7" s="8">
        <f t="shared" si="7"/>
        <v>45999</v>
      </c>
      <c r="M7" s="8">
        <f t="shared" si="7"/>
        <v>46000</v>
      </c>
      <c r="N7" s="8">
        <f>M7+1</f>
        <v>46001</v>
      </c>
      <c r="O7" s="8">
        <f>N7+1</f>
        <v>46002</v>
      </c>
      <c r="P7" s="8">
        <f t="shared" ref="P7:T7" si="8">O7+1</f>
        <v>46003</v>
      </c>
      <c r="Q7" s="8">
        <f t="shared" si="8"/>
        <v>46004</v>
      </c>
      <c r="R7" s="9">
        <f t="shared" si="8"/>
        <v>46005</v>
      </c>
      <c r="S7" s="8">
        <f t="shared" si="8"/>
        <v>46006</v>
      </c>
      <c r="T7" s="8">
        <f t="shared" si="8"/>
        <v>46007</v>
      </c>
      <c r="U7" s="8">
        <f>T7+1</f>
        <v>46008</v>
      </c>
      <c r="V7" s="8">
        <f>U7+1</f>
        <v>46009</v>
      </c>
      <c r="W7" s="8">
        <f t="shared" ref="W7:AA7" si="9">V7+1</f>
        <v>46010</v>
      </c>
      <c r="X7" s="8">
        <f t="shared" si="9"/>
        <v>46011</v>
      </c>
      <c r="Y7" s="9">
        <f t="shared" si="9"/>
        <v>46012</v>
      </c>
      <c r="Z7" s="8">
        <f t="shared" si="9"/>
        <v>46013</v>
      </c>
      <c r="AA7" s="8">
        <f t="shared" si="9"/>
        <v>46014</v>
      </c>
      <c r="AB7" s="8">
        <f>AA7+1</f>
        <v>46015</v>
      </c>
      <c r="AC7" s="8">
        <f>AB7+1</f>
        <v>46016</v>
      </c>
      <c r="AD7" s="8">
        <f t="shared" ref="AD7:AH7" si="10">AC7+1</f>
        <v>46017</v>
      </c>
      <c r="AE7" s="8">
        <f t="shared" si="10"/>
        <v>46018</v>
      </c>
      <c r="AF7" s="9">
        <f t="shared" si="10"/>
        <v>46019</v>
      </c>
      <c r="AG7" s="8">
        <f t="shared" si="10"/>
        <v>46020</v>
      </c>
      <c r="AH7" s="8">
        <f t="shared" si="10"/>
        <v>46021</v>
      </c>
      <c r="AI7" s="8">
        <f>AH7+1</f>
        <v>46022</v>
      </c>
    </row>
    <row r="8" spans="1:35" ht="13">
      <c r="A8" s="111" t="s">
        <v>7</v>
      </c>
      <c r="B8" s="112" t="s">
        <v>8</v>
      </c>
      <c r="C8" s="4" t="s">
        <v>9</v>
      </c>
      <c r="D8" s="22">
        <f t="shared" ref="D8:D11" si="11">SUM(E8:AI8)</f>
        <v>3780</v>
      </c>
      <c r="E8" s="10">
        <v>80</v>
      </c>
      <c r="F8" s="10">
        <v>160</v>
      </c>
      <c r="G8" s="10">
        <v>160</v>
      </c>
      <c r="H8" s="10">
        <v>160</v>
      </c>
      <c r="I8" s="10">
        <v>160</v>
      </c>
      <c r="J8" s="10">
        <v>160</v>
      </c>
      <c r="K8" s="11"/>
      <c r="L8" s="10">
        <v>160</v>
      </c>
      <c r="M8" s="10">
        <v>160</v>
      </c>
      <c r="N8" s="10">
        <v>160</v>
      </c>
      <c r="O8" s="10">
        <v>160</v>
      </c>
      <c r="P8" s="10">
        <v>50</v>
      </c>
      <c r="Q8" s="10">
        <v>160</v>
      </c>
      <c r="R8" s="11">
        <v>70</v>
      </c>
      <c r="S8" s="13">
        <v>160</v>
      </c>
      <c r="T8" s="13">
        <v>120</v>
      </c>
      <c r="U8" s="13">
        <v>140</v>
      </c>
      <c r="V8" s="13">
        <v>120</v>
      </c>
      <c r="W8" s="13">
        <v>120</v>
      </c>
      <c r="X8" s="13">
        <v>160</v>
      </c>
      <c r="Y8" s="11"/>
      <c r="Z8" s="13">
        <v>160</v>
      </c>
      <c r="AA8" s="13">
        <v>160</v>
      </c>
      <c r="AB8" s="13">
        <v>60</v>
      </c>
      <c r="AC8" s="13">
        <v>80</v>
      </c>
      <c r="AD8" s="13">
        <v>160</v>
      </c>
      <c r="AE8" s="13">
        <v>130</v>
      </c>
      <c r="AF8" s="11">
        <v>90</v>
      </c>
      <c r="AG8" s="13">
        <v>160</v>
      </c>
      <c r="AH8" s="13">
        <v>160</v>
      </c>
      <c r="AI8" s="10"/>
    </row>
    <row r="9" spans="1:35" ht="13">
      <c r="A9" s="111"/>
      <c r="B9" s="112"/>
      <c r="C9" s="4" t="s">
        <v>10</v>
      </c>
      <c r="D9" s="22">
        <f t="shared" si="11"/>
        <v>2862</v>
      </c>
      <c r="E9" s="10">
        <v>64</v>
      </c>
      <c r="F9" s="10">
        <v>145</v>
      </c>
      <c r="G9" s="10">
        <v>134</v>
      </c>
      <c r="H9" s="10">
        <v>136</v>
      </c>
      <c r="I9" s="10">
        <v>130</v>
      </c>
      <c r="J9" s="10">
        <v>144</v>
      </c>
      <c r="K9" s="11"/>
      <c r="L9" s="10">
        <v>124</v>
      </c>
      <c r="M9" s="10">
        <f>31+16+48</f>
        <v>95</v>
      </c>
      <c r="N9" s="10">
        <v>128</v>
      </c>
      <c r="O9" s="10">
        <v>130</v>
      </c>
      <c r="P9" s="10">
        <v>44</v>
      </c>
      <c r="Q9" s="10">
        <v>136</v>
      </c>
      <c r="R9" s="11">
        <v>60</v>
      </c>
      <c r="S9" s="13">
        <v>86</v>
      </c>
      <c r="T9" s="13">
        <v>108</v>
      </c>
      <c r="U9" s="13">
        <v>116</v>
      </c>
      <c r="V9" s="10">
        <v>108</v>
      </c>
      <c r="W9" s="10">
        <v>118</v>
      </c>
      <c r="X9" s="13">
        <v>108</v>
      </c>
      <c r="Y9" s="11"/>
      <c r="Z9" s="13">
        <v>122</v>
      </c>
      <c r="AA9" s="13">
        <v>110</v>
      </c>
      <c r="AB9" s="13">
        <v>51</v>
      </c>
      <c r="AC9" s="13">
        <v>74</v>
      </c>
      <c r="AD9" s="13">
        <v>96</v>
      </c>
      <c r="AE9" s="13">
        <v>118</v>
      </c>
      <c r="AF9" s="11">
        <v>79</v>
      </c>
      <c r="AG9" s="13">
        <v>70</v>
      </c>
      <c r="AH9" s="13">
        <v>28</v>
      </c>
      <c r="AI9" s="10"/>
    </row>
    <row r="10" spans="1:35">
      <c r="A10" s="111"/>
      <c r="B10" s="113" t="s">
        <v>11</v>
      </c>
      <c r="C10" s="5" t="s">
        <v>9</v>
      </c>
      <c r="D10" s="19">
        <f t="shared" si="11"/>
        <v>1948</v>
      </c>
      <c r="E10" s="12"/>
      <c r="F10" s="12">
        <v>0</v>
      </c>
      <c r="G10" s="12">
        <v>60</v>
      </c>
      <c r="H10" s="12">
        <v>80</v>
      </c>
      <c r="I10" s="12">
        <v>80</v>
      </c>
      <c r="J10" s="12">
        <v>80</v>
      </c>
      <c r="K10" s="11"/>
      <c r="L10" s="12">
        <v>168</v>
      </c>
      <c r="M10" s="12">
        <f>80</f>
        <v>80</v>
      </c>
      <c r="N10" s="12">
        <v>80</v>
      </c>
      <c r="O10" s="12">
        <v>80</v>
      </c>
      <c r="P10" s="12">
        <v>120</v>
      </c>
      <c r="Q10" s="12"/>
      <c r="R10" s="11"/>
      <c r="S10" s="12">
        <v>160</v>
      </c>
      <c r="T10" s="12">
        <v>0</v>
      </c>
      <c r="U10" s="12">
        <v>80</v>
      </c>
      <c r="V10" s="12">
        <v>80</v>
      </c>
      <c r="W10" s="12">
        <v>80</v>
      </c>
      <c r="X10" s="12">
        <v>80</v>
      </c>
      <c r="Y10" s="11"/>
      <c r="Z10" s="12">
        <v>80</v>
      </c>
      <c r="AA10" s="12">
        <v>160</v>
      </c>
      <c r="AB10" s="12">
        <v>80</v>
      </c>
      <c r="AC10" s="12">
        <v>80</v>
      </c>
      <c r="AD10" s="12">
        <v>80</v>
      </c>
      <c r="AE10" s="12">
        <v>0</v>
      </c>
      <c r="AF10" s="11">
        <v>160</v>
      </c>
      <c r="AG10" s="12"/>
      <c r="AH10" s="12"/>
      <c r="AI10" s="12"/>
    </row>
    <row r="11" spans="1:35">
      <c r="A11" s="111"/>
      <c r="B11" s="113"/>
      <c r="C11" s="5" t="s">
        <v>10</v>
      </c>
      <c r="D11" s="19">
        <f t="shared" si="11"/>
        <v>1189</v>
      </c>
      <c r="E11" s="12"/>
      <c r="F11" s="12">
        <v>0</v>
      </c>
      <c r="G11" s="12">
        <v>50</v>
      </c>
      <c r="H11" s="12">
        <v>64</v>
      </c>
      <c r="I11" s="12">
        <v>58</v>
      </c>
      <c r="J11" s="12">
        <v>84</v>
      </c>
      <c r="K11" s="11"/>
      <c r="L11" s="12">
        <f>88</f>
        <v>88</v>
      </c>
      <c r="M11" s="12">
        <f>60</f>
        <v>60</v>
      </c>
      <c r="N11" s="12">
        <v>60</v>
      </c>
      <c r="O11" s="12">
        <v>36</v>
      </c>
      <c r="P11" s="12">
        <v>80</v>
      </c>
      <c r="Q11" s="12">
        <v>78</v>
      </c>
      <c r="R11" s="11"/>
      <c r="S11" s="12">
        <v>92</v>
      </c>
      <c r="T11" s="12">
        <v>0</v>
      </c>
      <c r="U11" s="12">
        <v>48</v>
      </c>
      <c r="V11" s="12">
        <v>58</v>
      </c>
      <c r="W11" s="12">
        <v>45</v>
      </c>
      <c r="X11" s="12">
        <v>36</v>
      </c>
      <c r="Y11" s="11"/>
      <c r="Z11" s="12">
        <v>38</v>
      </c>
      <c r="AA11" s="12">
        <v>70</v>
      </c>
      <c r="AB11" s="12">
        <v>51</v>
      </c>
      <c r="AC11" s="12">
        <v>54</v>
      </c>
      <c r="AD11" s="12">
        <v>39</v>
      </c>
      <c r="AE11" s="12">
        <v>0</v>
      </c>
      <c r="AF11" s="11">
        <v>0</v>
      </c>
      <c r="AG11" s="12"/>
      <c r="AH11" s="12"/>
      <c r="AI11" s="12"/>
    </row>
    <row r="12" spans="1:35" ht="13">
      <c r="A12" s="111"/>
      <c r="B12" s="112" t="s">
        <v>12</v>
      </c>
      <c r="C12" s="4" t="s">
        <v>9</v>
      </c>
      <c r="D12" s="22">
        <f t="shared" ref="D12:D30" si="12">SUM(E12:AI12)</f>
        <v>5728</v>
      </c>
      <c r="E12" s="13">
        <f>E8+E10</f>
        <v>80</v>
      </c>
      <c r="F12" s="13">
        <f t="shared" ref="F12:AI13" si="13">F8+F10</f>
        <v>160</v>
      </c>
      <c r="G12" s="13">
        <f>G8+G10</f>
        <v>220</v>
      </c>
      <c r="H12" s="13">
        <f t="shared" si="13"/>
        <v>240</v>
      </c>
      <c r="I12" s="13">
        <f t="shared" si="13"/>
        <v>240</v>
      </c>
      <c r="J12" s="13">
        <f t="shared" si="13"/>
        <v>240</v>
      </c>
      <c r="K12" s="7">
        <f t="shared" si="13"/>
        <v>0</v>
      </c>
      <c r="L12" s="13">
        <f t="shared" si="13"/>
        <v>328</v>
      </c>
      <c r="M12" s="13">
        <f t="shared" si="13"/>
        <v>240</v>
      </c>
      <c r="N12" s="13">
        <f t="shared" si="13"/>
        <v>240</v>
      </c>
      <c r="O12" s="13">
        <f t="shared" si="13"/>
        <v>240</v>
      </c>
      <c r="P12" s="13">
        <f t="shared" si="13"/>
        <v>170</v>
      </c>
      <c r="Q12" s="13">
        <f t="shared" si="13"/>
        <v>160</v>
      </c>
      <c r="R12" s="7">
        <f t="shared" si="13"/>
        <v>70</v>
      </c>
      <c r="S12" s="13">
        <f t="shared" si="13"/>
        <v>320</v>
      </c>
      <c r="T12" s="13">
        <f t="shared" si="13"/>
        <v>120</v>
      </c>
      <c r="U12" s="13">
        <f t="shared" si="13"/>
        <v>220</v>
      </c>
      <c r="V12" s="13">
        <f t="shared" si="13"/>
        <v>200</v>
      </c>
      <c r="W12" s="13">
        <f t="shared" si="13"/>
        <v>200</v>
      </c>
      <c r="X12" s="13">
        <f t="shared" si="13"/>
        <v>240</v>
      </c>
      <c r="Y12" s="7">
        <f t="shared" si="13"/>
        <v>0</v>
      </c>
      <c r="Z12" s="13">
        <f t="shared" si="13"/>
        <v>240</v>
      </c>
      <c r="AA12" s="13">
        <f t="shared" si="13"/>
        <v>320</v>
      </c>
      <c r="AB12" s="13">
        <f t="shared" si="13"/>
        <v>140</v>
      </c>
      <c r="AC12" s="13">
        <f t="shared" si="13"/>
        <v>160</v>
      </c>
      <c r="AD12" s="13">
        <f t="shared" si="13"/>
        <v>240</v>
      </c>
      <c r="AE12" s="13">
        <f t="shared" si="13"/>
        <v>130</v>
      </c>
      <c r="AF12" s="7">
        <f t="shared" si="13"/>
        <v>250</v>
      </c>
      <c r="AG12" s="13">
        <f t="shared" si="13"/>
        <v>160</v>
      </c>
      <c r="AH12" s="13">
        <f t="shared" si="13"/>
        <v>160</v>
      </c>
      <c r="AI12" s="13">
        <f t="shared" si="13"/>
        <v>0</v>
      </c>
    </row>
    <row r="13" spans="1:35" ht="13">
      <c r="A13" s="111"/>
      <c r="B13" s="112"/>
      <c r="C13" s="4" t="s">
        <v>10</v>
      </c>
      <c r="D13" s="22">
        <f t="shared" si="12"/>
        <v>4051</v>
      </c>
      <c r="E13" s="13">
        <f>E9+E11</f>
        <v>64</v>
      </c>
      <c r="F13" s="13">
        <f t="shared" si="13"/>
        <v>145</v>
      </c>
      <c r="G13" s="13">
        <f>G9+G11</f>
        <v>184</v>
      </c>
      <c r="H13" s="13">
        <f t="shared" si="13"/>
        <v>200</v>
      </c>
      <c r="I13" s="13">
        <f t="shared" si="13"/>
        <v>188</v>
      </c>
      <c r="J13" s="13">
        <f t="shared" si="13"/>
        <v>228</v>
      </c>
      <c r="K13" s="7">
        <f t="shared" si="13"/>
        <v>0</v>
      </c>
      <c r="L13" s="13">
        <f t="shared" si="13"/>
        <v>212</v>
      </c>
      <c r="M13" s="13">
        <f t="shared" si="13"/>
        <v>155</v>
      </c>
      <c r="N13" s="13">
        <f t="shared" si="13"/>
        <v>188</v>
      </c>
      <c r="O13" s="13">
        <f t="shared" si="13"/>
        <v>166</v>
      </c>
      <c r="P13" s="13">
        <f t="shared" si="13"/>
        <v>124</v>
      </c>
      <c r="Q13" s="13">
        <f t="shared" si="13"/>
        <v>214</v>
      </c>
      <c r="R13" s="7">
        <f t="shared" si="13"/>
        <v>60</v>
      </c>
      <c r="S13" s="13">
        <f t="shared" si="13"/>
        <v>178</v>
      </c>
      <c r="T13" s="13">
        <f t="shared" si="13"/>
        <v>108</v>
      </c>
      <c r="U13" s="13">
        <f t="shared" si="13"/>
        <v>164</v>
      </c>
      <c r="V13" s="13">
        <f t="shared" si="13"/>
        <v>166</v>
      </c>
      <c r="W13" s="13">
        <f t="shared" si="13"/>
        <v>163</v>
      </c>
      <c r="X13" s="13">
        <f t="shared" si="13"/>
        <v>144</v>
      </c>
      <c r="Y13" s="7">
        <f t="shared" si="13"/>
        <v>0</v>
      </c>
      <c r="Z13" s="13">
        <f t="shared" si="13"/>
        <v>160</v>
      </c>
      <c r="AA13" s="13">
        <f t="shared" si="13"/>
        <v>180</v>
      </c>
      <c r="AB13" s="13">
        <f t="shared" si="13"/>
        <v>102</v>
      </c>
      <c r="AC13" s="13">
        <f t="shared" si="13"/>
        <v>128</v>
      </c>
      <c r="AD13" s="13">
        <f t="shared" si="13"/>
        <v>135</v>
      </c>
      <c r="AE13" s="13">
        <f t="shared" si="13"/>
        <v>118</v>
      </c>
      <c r="AF13" s="7">
        <f t="shared" si="13"/>
        <v>79</v>
      </c>
      <c r="AG13" s="13">
        <f t="shared" si="13"/>
        <v>70</v>
      </c>
      <c r="AH13" s="13">
        <f t="shared" si="13"/>
        <v>28</v>
      </c>
      <c r="AI13" s="13">
        <f t="shared" si="13"/>
        <v>0</v>
      </c>
    </row>
    <row r="14" spans="1:35" ht="13">
      <c r="A14" s="111"/>
      <c r="B14" s="114" t="s">
        <v>20</v>
      </c>
      <c r="C14" s="115"/>
      <c r="D14" s="25">
        <f t="shared" si="12"/>
        <v>0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s="21" customFormat="1" ht="42" customHeight="1">
      <c r="A15" s="111"/>
      <c r="B15" s="14"/>
      <c r="C15" s="14" t="s">
        <v>13</v>
      </c>
      <c r="D15" s="14"/>
      <c r="E15" s="30"/>
      <c r="F15" s="30"/>
      <c r="G15" s="30" t="s">
        <v>119</v>
      </c>
      <c r="H15" s="30" t="s">
        <v>122</v>
      </c>
      <c r="I15" s="30" t="s">
        <v>122</v>
      </c>
      <c r="J15" s="30"/>
      <c r="K15" s="44"/>
      <c r="L15" s="30" t="s">
        <v>125</v>
      </c>
      <c r="M15" s="30" t="s">
        <v>127</v>
      </c>
      <c r="N15" s="30" t="s">
        <v>125</v>
      </c>
      <c r="O15" s="30" t="s">
        <v>132</v>
      </c>
      <c r="P15" s="30" t="s">
        <v>135</v>
      </c>
      <c r="Q15" s="30" t="s">
        <v>128</v>
      </c>
      <c r="R15" s="44" t="s">
        <v>138</v>
      </c>
      <c r="S15" s="30" t="s">
        <v>139</v>
      </c>
      <c r="T15" s="30" t="s">
        <v>23</v>
      </c>
      <c r="U15" s="30" t="s">
        <v>23</v>
      </c>
      <c r="V15" s="41" t="s">
        <v>143</v>
      </c>
      <c r="W15" s="41" t="s">
        <v>139</v>
      </c>
      <c r="X15" s="41" t="s">
        <v>139</v>
      </c>
      <c r="Y15" s="44"/>
      <c r="Z15" s="41" t="s">
        <v>139</v>
      </c>
      <c r="AA15" s="41" t="s">
        <v>139</v>
      </c>
      <c r="AB15" s="41" t="s">
        <v>139</v>
      </c>
      <c r="AC15" s="41" t="s">
        <v>139</v>
      </c>
      <c r="AD15" s="41" t="s">
        <v>148</v>
      </c>
      <c r="AE15" s="41" t="s">
        <v>139</v>
      </c>
      <c r="AF15" s="41" t="s">
        <v>139</v>
      </c>
      <c r="AG15" s="41" t="s">
        <v>152</v>
      </c>
      <c r="AH15" s="41" t="s">
        <v>23</v>
      </c>
      <c r="AI15" s="30" t="s">
        <v>153</v>
      </c>
    </row>
    <row r="16" spans="1:35" ht="13">
      <c r="A16" s="111" t="s">
        <v>16</v>
      </c>
      <c r="B16" s="112" t="s">
        <v>8</v>
      </c>
      <c r="C16" s="4" t="s">
        <v>9</v>
      </c>
      <c r="D16" s="22">
        <f t="shared" ref="D16:D19" si="14">SUM(E16:AI16)</f>
        <v>2672</v>
      </c>
      <c r="E16" s="10">
        <f>18*3</f>
        <v>54</v>
      </c>
      <c r="F16" s="10"/>
      <c r="G16" s="10">
        <v>128</v>
      </c>
      <c r="H16" s="10">
        <v>128</v>
      </c>
      <c r="I16" s="10">
        <v>128</v>
      </c>
      <c r="J16" s="10">
        <v>128</v>
      </c>
      <c r="K16" s="11"/>
      <c r="L16" s="10">
        <v>128</v>
      </c>
      <c r="M16" s="10">
        <v>128</v>
      </c>
      <c r="N16" s="10">
        <v>128</v>
      </c>
      <c r="O16" s="10">
        <v>128</v>
      </c>
      <c r="P16" s="10">
        <v>128</v>
      </c>
      <c r="Q16" s="10">
        <v>128</v>
      </c>
      <c r="R16" s="11"/>
      <c r="S16" s="13">
        <v>128</v>
      </c>
      <c r="T16" s="13">
        <v>54</v>
      </c>
      <c r="U16" s="10">
        <v>92</v>
      </c>
      <c r="V16" s="10">
        <v>80</v>
      </c>
      <c r="W16" s="10">
        <v>128</v>
      </c>
      <c r="X16" s="10">
        <v>0</v>
      </c>
      <c r="Y16" s="11"/>
      <c r="Z16" s="10">
        <v>128</v>
      </c>
      <c r="AA16" s="10">
        <v>128</v>
      </c>
      <c r="AB16" s="10">
        <v>0</v>
      </c>
      <c r="AC16" s="10">
        <v>0</v>
      </c>
      <c r="AD16" s="10">
        <v>128</v>
      </c>
      <c r="AE16" s="10">
        <v>88</v>
      </c>
      <c r="AF16" s="11">
        <v>128</v>
      </c>
      <c r="AG16" s="10">
        <v>128</v>
      </c>
      <c r="AH16" s="10">
        <v>128</v>
      </c>
      <c r="AI16" s="10"/>
    </row>
    <row r="17" spans="1:35" ht="13">
      <c r="A17" s="111"/>
      <c r="B17" s="112"/>
      <c r="C17" s="4" t="s">
        <v>10</v>
      </c>
      <c r="D17" s="22">
        <f t="shared" si="14"/>
        <v>1692</v>
      </c>
      <c r="E17" s="22">
        <v>52</v>
      </c>
      <c r="F17" s="22"/>
      <c r="G17" s="22">
        <v>104</v>
      </c>
      <c r="H17" s="10">
        <v>105</v>
      </c>
      <c r="I17" s="10">
        <v>79</v>
      </c>
      <c r="J17" s="10">
        <v>84</v>
      </c>
      <c r="K17" s="11"/>
      <c r="L17" s="10">
        <v>74</v>
      </c>
      <c r="M17" s="10">
        <f>19+32+44+10</f>
        <v>105</v>
      </c>
      <c r="N17" s="10">
        <v>100</v>
      </c>
      <c r="O17" s="10">
        <v>84</v>
      </c>
      <c r="P17" s="10">
        <v>90</v>
      </c>
      <c r="Q17" s="10">
        <v>28</v>
      </c>
      <c r="R17" s="11"/>
      <c r="S17" s="13">
        <v>72</v>
      </c>
      <c r="T17" s="13">
        <v>40</v>
      </c>
      <c r="U17" s="10">
        <v>78</v>
      </c>
      <c r="V17" s="10">
        <v>66</v>
      </c>
      <c r="W17" s="10">
        <v>87</v>
      </c>
      <c r="X17" s="10">
        <v>0</v>
      </c>
      <c r="Y17" s="11"/>
      <c r="Z17" s="10">
        <v>62</v>
      </c>
      <c r="AA17" s="10">
        <v>56</v>
      </c>
      <c r="AB17" s="10">
        <v>0</v>
      </c>
      <c r="AC17" s="10">
        <v>0</v>
      </c>
      <c r="AD17" s="10">
        <v>87</v>
      </c>
      <c r="AE17" s="10">
        <v>77</v>
      </c>
      <c r="AF17" s="11">
        <v>54</v>
      </c>
      <c r="AG17" s="10">
        <v>36</v>
      </c>
      <c r="AH17" s="10">
        <v>72</v>
      </c>
      <c r="AI17" s="10"/>
    </row>
    <row r="18" spans="1:35">
      <c r="A18" s="111"/>
      <c r="B18" s="113" t="s">
        <v>11</v>
      </c>
      <c r="C18" s="5" t="s">
        <v>9</v>
      </c>
      <c r="D18" s="19">
        <f t="shared" si="14"/>
        <v>631</v>
      </c>
      <c r="E18" s="12"/>
      <c r="F18" s="12">
        <v>64</v>
      </c>
      <c r="G18" s="12">
        <v>36</v>
      </c>
      <c r="H18" s="12">
        <v>0</v>
      </c>
      <c r="I18" s="12">
        <v>74</v>
      </c>
      <c r="J18" s="12">
        <v>65</v>
      </c>
      <c r="K18" s="11"/>
      <c r="L18" s="12">
        <v>0</v>
      </c>
      <c r="M18" s="12">
        <v>64</v>
      </c>
      <c r="N18" s="12">
        <v>128</v>
      </c>
      <c r="O18" s="12">
        <v>64</v>
      </c>
      <c r="P18" s="12">
        <v>72</v>
      </c>
      <c r="Q18" s="12"/>
      <c r="R18" s="11"/>
      <c r="S18" s="12"/>
      <c r="T18" s="12">
        <v>0</v>
      </c>
      <c r="U18" s="12">
        <v>0</v>
      </c>
      <c r="V18" s="12"/>
      <c r="W18" s="12"/>
      <c r="X18" s="12"/>
      <c r="Y18" s="11"/>
      <c r="Z18" s="12"/>
      <c r="AA18" s="12"/>
      <c r="AB18" s="12">
        <v>0</v>
      </c>
      <c r="AC18" s="12">
        <v>0</v>
      </c>
      <c r="AD18" s="12">
        <v>64</v>
      </c>
      <c r="AE18" s="12"/>
      <c r="AF18" s="11">
        <v>0</v>
      </c>
      <c r="AG18" s="12"/>
      <c r="AH18" s="12"/>
      <c r="AI18" s="12"/>
    </row>
    <row r="19" spans="1:35">
      <c r="A19" s="111"/>
      <c r="B19" s="113"/>
      <c r="C19" s="5" t="s">
        <v>10</v>
      </c>
      <c r="D19" s="19">
        <f t="shared" si="14"/>
        <v>441</v>
      </c>
      <c r="E19" s="12"/>
      <c r="F19" s="12">
        <v>22</v>
      </c>
      <c r="G19" s="12">
        <v>32</v>
      </c>
      <c r="H19" s="12">
        <v>0</v>
      </c>
      <c r="I19" s="12">
        <v>48</v>
      </c>
      <c r="J19" s="12">
        <v>40</v>
      </c>
      <c r="K19" s="11"/>
      <c r="L19" s="12">
        <v>13</v>
      </c>
      <c r="M19" s="12">
        <f>16+32</f>
        <v>48</v>
      </c>
      <c r="N19" s="12">
        <v>92</v>
      </c>
      <c r="O19" s="12">
        <v>51</v>
      </c>
      <c r="P19" s="12">
        <v>42</v>
      </c>
      <c r="Q19" s="12"/>
      <c r="R19" s="11"/>
      <c r="S19" s="12">
        <v>15</v>
      </c>
      <c r="T19" s="12">
        <v>0</v>
      </c>
      <c r="U19" s="12">
        <v>0</v>
      </c>
      <c r="V19" s="12"/>
      <c r="W19" s="12"/>
      <c r="X19" s="12"/>
      <c r="Y19" s="11"/>
      <c r="Z19" s="12"/>
      <c r="AA19" s="12"/>
      <c r="AB19" s="12">
        <v>0</v>
      </c>
      <c r="AC19" s="12">
        <v>0</v>
      </c>
      <c r="AD19" s="12">
        <v>38</v>
      </c>
      <c r="AE19" s="12"/>
      <c r="AF19" s="11">
        <v>0</v>
      </c>
      <c r="AG19" s="12"/>
      <c r="AH19" s="12"/>
      <c r="AI19" s="12"/>
    </row>
    <row r="20" spans="1:35" ht="13">
      <c r="A20" s="111"/>
      <c r="B20" s="112" t="s">
        <v>12</v>
      </c>
      <c r="C20" s="4" t="s">
        <v>9</v>
      </c>
      <c r="D20" s="22">
        <f t="shared" si="12"/>
        <v>3303</v>
      </c>
      <c r="E20" s="13">
        <f>E16+E18</f>
        <v>54</v>
      </c>
      <c r="F20" s="13">
        <f t="shared" ref="F20:AI21" si="15">F16+F18</f>
        <v>64</v>
      </c>
      <c r="G20" s="13">
        <f t="shared" si="15"/>
        <v>164</v>
      </c>
      <c r="H20" s="13">
        <f t="shared" si="15"/>
        <v>128</v>
      </c>
      <c r="I20" s="13">
        <f t="shared" si="15"/>
        <v>202</v>
      </c>
      <c r="J20" s="13">
        <f t="shared" si="15"/>
        <v>193</v>
      </c>
      <c r="K20" s="7">
        <f t="shared" si="15"/>
        <v>0</v>
      </c>
      <c r="L20" s="13">
        <f t="shared" si="15"/>
        <v>128</v>
      </c>
      <c r="M20" s="13">
        <f t="shared" si="15"/>
        <v>192</v>
      </c>
      <c r="N20" s="13">
        <f t="shared" si="15"/>
        <v>256</v>
      </c>
      <c r="O20" s="13">
        <f t="shared" si="15"/>
        <v>192</v>
      </c>
      <c r="P20" s="13">
        <f t="shared" si="15"/>
        <v>200</v>
      </c>
      <c r="Q20" s="13">
        <f t="shared" si="15"/>
        <v>128</v>
      </c>
      <c r="R20" s="7">
        <f t="shared" si="15"/>
        <v>0</v>
      </c>
      <c r="S20" s="13">
        <f t="shared" si="15"/>
        <v>128</v>
      </c>
      <c r="T20" s="13">
        <f t="shared" si="15"/>
        <v>54</v>
      </c>
      <c r="U20" s="13">
        <f t="shared" si="15"/>
        <v>92</v>
      </c>
      <c r="V20" s="13">
        <f t="shared" si="15"/>
        <v>80</v>
      </c>
      <c r="W20" s="13">
        <f t="shared" si="15"/>
        <v>128</v>
      </c>
      <c r="X20" s="13">
        <f t="shared" si="15"/>
        <v>0</v>
      </c>
      <c r="Y20" s="7">
        <f t="shared" si="15"/>
        <v>0</v>
      </c>
      <c r="Z20" s="13">
        <f t="shared" si="15"/>
        <v>128</v>
      </c>
      <c r="AA20" s="13">
        <f t="shared" si="15"/>
        <v>128</v>
      </c>
      <c r="AB20" s="13">
        <f t="shared" si="15"/>
        <v>0</v>
      </c>
      <c r="AC20" s="13">
        <f t="shared" si="15"/>
        <v>0</v>
      </c>
      <c r="AD20" s="13">
        <f t="shared" si="15"/>
        <v>192</v>
      </c>
      <c r="AE20" s="13">
        <f t="shared" si="15"/>
        <v>88</v>
      </c>
      <c r="AF20" s="7">
        <f t="shared" si="15"/>
        <v>128</v>
      </c>
      <c r="AG20" s="13">
        <f t="shared" si="15"/>
        <v>128</v>
      </c>
      <c r="AH20" s="13">
        <f t="shared" si="15"/>
        <v>128</v>
      </c>
      <c r="AI20" s="13">
        <f t="shared" si="15"/>
        <v>0</v>
      </c>
    </row>
    <row r="21" spans="1:35" ht="13">
      <c r="A21" s="111"/>
      <c r="B21" s="112"/>
      <c r="C21" s="4" t="s">
        <v>10</v>
      </c>
      <c r="D21" s="22">
        <f t="shared" si="12"/>
        <v>2133</v>
      </c>
      <c r="E21" s="13">
        <f>E17+E19</f>
        <v>52</v>
      </c>
      <c r="F21" s="13">
        <f t="shared" si="15"/>
        <v>22</v>
      </c>
      <c r="G21" s="13">
        <f t="shared" si="15"/>
        <v>136</v>
      </c>
      <c r="H21" s="13">
        <f t="shared" si="15"/>
        <v>105</v>
      </c>
      <c r="I21" s="13">
        <f t="shared" si="15"/>
        <v>127</v>
      </c>
      <c r="J21" s="13">
        <f t="shared" si="15"/>
        <v>124</v>
      </c>
      <c r="K21" s="7">
        <f t="shared" si="15"/>
        <v>0</v>
      </c>
      <c r="L21" s="13">
        <f t="shared" si="15"/>
        <v>87</v>
      </c>
      <c r="M21" s="13">
        <f t="shared" si="15"/>
        <v>153</v>
      </c>
      <c r="N21" s="13">
        <f t="shared" si="15"/>
        <v>192</v>
      </c>
      <c r="O21" s="13">
        <f t="shared" si="15"/>
        <v>135</v>
      </c>
      <c r="P21" s="13">
        <f t="shared" si="15"/>
        <v>132</v>
      </c>
      <c r="Q21" s="13">
        <f t="shared" si="15"/>
        <v>28</v>
      </c>
      <c r="R21" s="7">
        <f t="shared" si="15"/>
        <v>0</v>
      </c>
      <c r="S21" s="13">
        <f t="shared" si="15"/>
        <v>87</v>
      </c>
      <c r="T21" s="13">
        <f t="shared" si="15"/>
        <v>40</v>
      </c>
      <c r="U21" s="13">
        <f t="shared" si="15"/>
        <v>78</v>
      </c>
      <c r="V21" s="13">
        <f t="shared" si="15"/>
        <v>66</v>
      </c>
      <c r="W21" s="13">
        <f t="shared" si="15"/>
        <v>87</v>
      </c>
      <c r="X21" s="13">
        <f t="shared" si="15"/>
        <v>0</v>
      </c>
      <c r="Y21" s="7">
        <f t="shared" si="15"/>
        <v>0</v>
      </c>
      <c r="Z21" s="13">
        <f t="shared" si="15"/>
        <v>62</v>
      </c>
      <c r="AA21" s="13">
        <f t="shared" si="15"/>
        <v>56</v>
      </c>
      <c r="AB21" s="13">
        <f t="shared" si="15"/>
        <v>0</v>
      </c>
      <c r="AC21" s="13">
        <f t="shared" si="15"/>
        <v>0</v>
      </c>
      <c r="AD21" s="13">
        <f t="shared" si="15"/>
        <v>125</v>
      </c>
      <c r="AE21" s="13">
        <f t="shared" si="15"/>
        <v>77</v>
      </c>
      <c r="AF21" s="7">
        <f t="shared" si="15"/>
        <v>54</v>
      </c>
      <c r="AG21" s="13">
        <f t="shared" si="15"/>
        <v>36</v>
      </c>
      <c r="AH21" s="13">
        <f t="shared" si="15"/>
        <v>72</v>
      </c>
      <c r="AI21" s="13">
        <f t="shared" si="15"/>
        <v>0</v>
      </c>
    </row>
    <row r="22" spans="1:35" ht="13">
      <c r="A22" s="111"/>
      <c r="B22" s="114" t="s">
        <v>20</v>
      </c>
      <c r="C22" s="115"/>
      <c r="D22" s="25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>
        <v>180</v>
      </c>
      <c r="AF22" s="26"/>
      <c r="AG22" s="26"/>
      <c r="AH22" s="26"/>
      <c r="AI22" s="26"/>
    </row>
    <row r="23" spans="1:35" s="21" customFormat="1" ht="75">
      <c r="A23" s="111"/>
      <c r="B23" s="14"/>
      <c r="C23" s="14" t="s">
        <v>13</v>
      </c>
      <c r="D23" s="14"/>
      <c r="E23" s="30"/>
      <c r="F23" s="30" t="s">
        <v>118</v>
      </c>
      <c r="G23" s="30" t="s">
        <v>120</v>
      </c>
      <c r="H23" s="30" t="s">
        <v>122</v>
      </c>
      <c r="I23" s="30" t="s">
        <v>122</v>
      </c>
      <c r="J23" s="30" t="s">
        <v>122</v>
      </c>
      <c r="K23" s="44"/>
      <c r="L23" s="30" t="s">
        <v>130</v>
      </c>
      <c r="M23" s="30" t="s">
        <v>128</v>
      </c>
      <c r="N23" s="30" t="s">
        <v>126</v>
      </c>
      <c r="O23" s="30" t="s">
        <v>133</v>
      </c>
      <c r="P23" s="41" t="s">
        <v>134</v>
      </c>
      <c r="Q23" s="30" t="s">
        <v>136</v>
      </c>
      <c r="R23" s="44"/>
      <c r="S23" s="30" t="s">
        <v>139</v>
      </c>
      <c r="T23" s="30" t="s">
        <v>23</v>
      </c>
      <c r="U23" s="30" t="s">
        <v>23</v>
      </c>
      <c r="V23" s="41" t="s">
        <v>143</v>
      </c>
      <c r="W23" s="41" t="s">
        <v>139</v>
      </c>
      <c r="X23" s="41" t="s">
        <v>139</v>
      </c>
      <c r="Y23" s="44"/>
      <c r="Z23" s="41" t="s">
        <v>139</v>
      </c>
      <c r="AA23" s="41" t="s">
        <v>139</v>
      </c>
      <c r="AB23" s="41" t="s">
        <v>139</v>
      </c>
      <c r="AC23" s="41" t="s">
        <v>139</v>
      </c>
      <c r="AD23" s="41" t="s">
        <v>149</v>
      </c>
      <c r="AE23" s="41" t="s">
        <v>152</v>
      </c>
      <c r="AF23" s="41" t="s">
        <v>152</v>
      </c>
      <c r="AG23" s="41" t="s">
        <v>152</v>
      </c>
      <c r="AH23" s="41" t="s">
        <v>23</v>
      </c>
      <c r="AI23" s="30" t="s">
        <v>153</v>
      </c>
    </row>
    <row r="24" spans="1:35" ht="13">
      <c r="A24" s="111" t="s">
        <v>17</v>
      </c>
      <c r="B24" s="112" t="s">
        <v>8</v>
      </c>
      <c r="C24" s="4" t="s">
        <v>9</v>
      </c>
      <c r="D24" s="22">
        <f t="shared" ref="D24:D27" si="16">SUM(E24:AI24)</f>
        <v>5600</v>
      </c>
      <c r="E24" s="13">
        <v>280</v>
      </c>
      <c r="F24" s="13">
        <v>280</v>
      </c>
      <c r="G24" s="13">
        <v>280</v>
      </c>
      <c r="H24" s="13">
        <v>280</v>
      </c>
      <c r="I24" s="13">
        <v>280</v>
      </c>
      <c r="J24" s="13">
        <v>280</v>
      </c>
      <c r="K24" s="11"/>
      <c r="L24" s="10">
        <v>280</v>
      </c>
      <c r="M24" s="10">
        <v>280</v>
      </c>
      <c r="N24" s="10">
        <v>280</v>
      </c>
      <c r="O24" s="10">
        <v>280</v>
      </c>
      <c r="P24" s="10">
        <v>280</v>
      </c>
      <c r="Q24" s="10">
        <v>280</v>
      </c>
      <c r="R24" s="11"/>
      <c r="S24" s="10">
        <v>280</v>
      </c>
      <c r="T24" s="10">
        <v>280</v>
      </c>
      <c r="U24" s="10">
        <v>280</v>
      </c>
      <c r="V24" s="10">
        <v>280</v>
      </c>
      <c r="W24" s="10">
        <v>280</v>
      </c>
      <c r="X24" s="10">
        <v>280</v>
      </c>
      <c r="Y24" s="11"/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1"/>
      <c r="AG24" s="10">
        <v>280</v>
      </c>
      <c r="AH24" s="10">
        <v>280</v>
      </c>
      <c r="AI24" s="10">
        <v>0</v>
      </c>
    </row>
    <row r="25" spans="1:35" ht="13">
      <c r="A25" s="111"/>
      <c r="B25" s="112"/>
      <c r="C25" s="4" t="s">
        <v>10</v>
      </c>
      <c r="D25" s="22">
        <f t="shared" si="16"/>
        <v>4774</v>
      </c>
      <c r="E25" s="13">
        <v>252</v>
      </c>
      <c r="F25" s="13">
        <v>280</v>
      </c>
      <c r="G25" s="13">
        <v>266</v>
      </c>
      <c r="H25" s="10">
        <v>266</v>
      </c>
      <c r="I25" s="10">
        <v>266</v>
      </c>
      <c r="J25" s="10">
        <v>238</v>
      </c>
      <c r="K25" s="11"/>
      <c r="L25" s="10">
        <v>140</v>
      </c>
      <c r="M25" s="10">
        <v>266</v>
      </c>
      <c r="N25" s="10">
        <v>280</v>
      </c>
      <c r="O25" s="10">
        <v>266</v>
      </c>
      <c r="P25" s="10">
        <v>224</v>
      </c>
      <c r="Q25" s="10">
        <v>126</v>
      </c>
      <c r="R25" s="11"/>
      <c r="S25" s="10">
        <v>196</v>
      </c>
      <c r="T25" s="10">
        <v>238</v>
      </c>
      <c r="U25" s="10">
        <v>280</v>
      </c>
      <c r="V25" s="10">
        <v>294</v>
      </c>
      <c r="W25" s="10">
        <v>252</v>
      </c>
      <c r="X25" s="10">
        <v>252</v>
      </c>
      <c r="Y25" s="11"/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1"/>
      <c r="AG25" s="10">
        <v>252</v>
      </c>
      <c r="AH25" s="10">
        <v>140</v>
      </c>
      <c r="AI25" s="10">
        <v>0</v>
      </c>
    </row>
    <row r="26" spans="1:35">
      <c r="A26" s="111"/>
      <c r="B26" s="113" t="s">
        <v>11</v>
      </c>
      <c r="C26" s="5" t="s">
        <v>9</v>
      </c>
      <c r="D26" s="19">
        <f t="shared" si="16"/>
        <v>1064</v>
      </c>
      <c r="E26" s="12"/>
      <c r="F26" s="12">
        <v>0</v>
      </c>
      <c r="G26" s="12">
        <v>84</v>
      </c>
      <c r="H26" s="12">
        <f>14*14</f>
        <v>196</v>
      </c>
      <c r="I26" s="12">
        <v>0</v>
      </c>
      <c r="J26" s="12">
        <v>0</v>
      </c>
      <c r="K26" s="11"/>
      <c r="L26" s="12">
        <v>0</v>
      </c>
      <c r="M26" s="12">
        <v>0</v>
      </c>
      <c r="N26" s="12">
        <v>0</v>
      </c>
      <c r="O26" s="12">
        <v>0</v>
      </c>
      <c r="P26" s="12">
        <v>84</v>
      </c>
      <c r="Q26" s="12">
        <v>0</v>
      </c>
      <c r="R26" s="11"/>
      <c r="S26" s="12"/>
      <c r="T26" s="12"/>
      <c r="U26" s="12">
        <v>140</v>
      </c>
      <c r="V26" s="12">
        <v>280</v>
      </c>
      <c r="W26" s="12">
        <v>280</v>
      </c>
      <c r="X26" s="12"/>
      <c r="Y26" s="11"/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1"/>
      <c r="AG26" s="12">
        <v>0</v>
      </c>
      <c r="AH26" s="12">
        <v>0</v>
      </c>
      <c r="AI26" s="12">
        <v>0</v>
      </c>
    </row>
    <row r="27" spans="1:35">
      <c r="A27" s="111"/>
      <c r="B27" s="113"/>
      <c r="C27" s="5" t="s">
        <v>10</v>
      </c>
      <c r="D27" s="19">
        <f t="shared" si="16"/>
        <v>1218</v>
      </c>
      <c r="E27" s="12">
        <v>42</v>
      </c>
      <c r="F27" s="12">
        <v>0</v>
      </c>
      <c r="G27" s="12">
        <v>70</v>
      </c>
      <c r="H27" s="12">
        <v>196</v>
      </c>
      <c r="I27" s="12">
        <v>0</v>
      </c>
      <c r="J27" s="12">
        <v>0</v>
      </c>
      <c r="K27" s="11"/>
      <c r="L27" s="12">
        <v>0</v>
      </c>
      <c r="M27" s="12">
        <v>0</v>
      </c>
      <c r="N27" s="12">
        <v>28</v>
      </c>
      <c r="O27" s="12">
        <v>56</v>
      </c>
      <c r="P27" s="12">
        <v>84</v>
      </c>
      <c r="Q27" s="12">
        <v>0</v>
      </c>
      <c r="R27" s="11"/>
      <c r="S27" s="12"/>
      <c r="T27" s="12">
        <v>98</v>
      </c>
      <c r="U27" s="12">
        <v>140</v>
      </c>
      <c r="V27" s="12">
        <v>252</v>
      </c>
      <c r="W27" s="12">
        <v>168</v>
      </c>
      <c r="X27" s="12"/>
      <c r="Y27" s="11"/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1">
        <v>84</v>
      </c>
      <c r="AG27" s="12">
        <v>0</v>
      </c>
      <c r="AH27" s="12">
        <v>0</v>
      </c>
      <c r="AI27" s="12">
        <v>0</v>
      </c>
    </row>
    <row r="28" spans="1:35" ht="13">
      <c r="A28" s="111"/>
      <c r="B28" s="112" t="s">
        <v>12</v>
      </c>
      <c r="C28" s="4" t="s">
        <v>9</v>
      </c>
      <c r="D28" s="22">
        <f t="shared" si="12"/>
        <v>6664</v>
      </c>
      <c r="E28" s="13">
        <f t="shared" ref="E28:AF29" si="17">E24+E26</f>
        <v>280</v>
      </c>
      <c r="F28" s="13">
        <f t="shared" si="17"/>
        <v>280</v>
      </c>
      <c r="G28" s="13">
        <f t="shared" si="17"/>
        <v>364</v>
      </c>
      <c r="H28" s="13">
        <f t="shared" si="17"/>
        <v>476</v>
      </c>
      <c r="I28" s="13">
        <f t="shared" si="17"/>
        <v>280</v>
      </c>
      <c r="J28" s="13">
        <f t="shared" si="17"/>
        <v>280</v>
      </c>
      <c r="K28" s="7">
        <f t="shared" si="17"/>
        <v>0</v>
      </c>
      <c r="L28" s="13">
        <f t="shared" si="17"/>
        <v>280</v>
      </c>
      <c r="M28" s="13">
        <f t="shared" si="17"/>
        <v>280</v>
      </c>
      <c r="N28" s="13">
        <f t="shared" si="17"/>
        <v>280</v>
      </c>
      <c r="O28" s="13">
        <f t="shared" si="17"/>
        <v>280</v>
      </c>
      <c r="P28" s="13">
        <f t="shared" si="17"/>
        <v>364</v>
      </c>
      <c r="Q28" s="13">
        <f t="shared" si="17"/>
        <v>280</v>
      </c>
      <c r="R28" s="7">
        <f t="shared" si="17"/>
        <v>0</v>
      </c>
      <c r="S28" s="13">
        <f t="shared" si="17"/>
        <v>280</v>
      </c>
      <c r="T28" s="13">
        <f t="shared" si="17"/>
        <v>280</v>
      </c>
      <c r="U28" s="13">
        <f t="shared" si="17"/>
        <v>420</v>
      </c>
      <c r="V28" s="13">
        <f t="shared" si="17"/>
        <v>560</v>
      </c>
      <c r="W28" s="13">
        <f t="shared" si="17"/>
        <v>560</v>
      </c>
      <c r="X28" s="13">
        <f t="shared" si="17"/>
        <v>280</v>
      </c>
      <c r="Y28" s="7">
        <f t="shared" si="17"/>
        <v>0</v>
      </c>
      <c r="Z28" s="13">
        <f t="shared" si="17"/>
        <v>0</v>
      </c>
      <c r="AA28" s="13">
        <f t="shared" si="17"/>
        <v>0</v>
      </c>
      <c r="AB28" s="13">
        <f t="shared" si="17"/>
        <v>0</v>
      </c>
      <c r="AC28" s="13">
        <f t="shared" si="17"/>
        <v>0</v>
      </c>
      <c r="AD28" s="13">
        <f t="shared" si="17"/>
        <v>0</v>
      </c>
      <c r="AE28" s="13">
        <f t="shared" si="17"/>
        <v>0</v>
      </c>
      <c r="AF28" s="7">
        <f t="shared" si="17"/>
        <v>0</v>
      </c>
      <c r="AG28" s="13">
        <f t="shared" ref="AG28:AH28" si="18">AG24+AG26</f>
        <v>280</v>
      </c>
      <c r="AH28" s="13">
        <f t="shared" si="18"/>
        <v>280</v>
      </c>
      <c r="AI28" s="13">
        <f t="shared" ref="AI28" si="19">AI24+AI26</f>
        <v>0</v>
      </c>
    </row>
    <row r="29" spans="1:35" ht="13">
      <c r="A29" s="111"/>
      <c r="B29" s="112"/>
      <c r="C29" s="4" t="s">
        <v>10</v>
      </c>
      <c r="D29" s="22">
        <f t="shared" si="12"/>
        <v>5992</v>
      </c>
      <c r="E29" s="13">
        <f t="shared" si="17"/>
        <v>294</v>
      </c>
      <c r="F29" s="13">
        <f t="shared" si="17"/>
        <v>280</v>
      </c>
      <c r="G29" s="13">
        <f t="shared" si="17"/>
        <v>336</v>
      </c>
      <c r="H29" s="13">
        <f t="shared" si="17"/>
        <v>462</v>
      </c>
      <c r="I29" s="13">
        <f t="shared" si="17"/>
        <v>266</v>
      </c>
      <c r="J29" s="13">
        <f t="shared" si="17"/>
        <v>238</v>
      </c>
      <c r="K29" s="7">
        <f t="shared" si="17"/>
        <v>0</v>
      </c>
      <c r="L29" s="13">
        <f t="shared" si="17"/>
        <v>140</v>
      </c>
      <c r="M29" s="13">
        <f t="shared" si="17"/>
        <v>266</v>
      </c>
      <c r="N29" s="13">
        <f t="shared" si="17"/>
        <v>308</v>
      </c>
      <c r="O29" s="13">
        <f t="shared" si="17"/>
        <v>322</v>
      </c>
      <c r="P29" s="13">
        <f t="shared" si="17"/>
        <v>308</v>
      </c>
      <c r="Q29" s="13">
        <f t="shared" si="17"/>
        <v>126</v>
      </c>
      <c r="R29" s="7">
        <f t="shared" si="17"/>
        <v>0</v>
      </c>
      <c r="S29" s="13">
        <f t="shared" si="17"/>
        <v>196</v>
      </c>
      <c r="T29" s="13">
        <f t="shared" si="17"/>
        <v>336</v>
      </c>
      <c r="U29" s="13">
        <f t="shared" si="17"/>
        <v>420</v>
      </c>
      <c r="V29" s="13">
        <f t="shared" si="17"/>
        <v>546</v>
      </c>
      <c r="W29" s="13">
        <f t="shared" si="17"/>
        <v>420</v>
      </c>
      <c r="X29" s="13">
        <f t="shared" si="17"/>
        <v>252</v>
      </c>
      <c r="Y29" s="7">
        <f t="shared" si="17"/>
        <v>0</v>
      </c>
      <c r="Z29" s="13">
        <f t="shared" si="17"/>
        <v>0</v>
      </c>
      <c r="AA29" s="13">
        <f t="shared" si="17"/>
        <v>0</v>
      </c>
      <c r="AB29" s="13">
        <f t="shared" si="17"/>
        <v>0</v>
      </c>
      <c r="AC29" s="13">
        <f t="shared" si="17"/>
        <v>0</v>
      </c>
      <c r="AD29" s="13">
        <f t="shared" si="17"/>
        <v>0</v>
      </c>
      <c r="AE29" s="13">
        <f t="shared" si="17"/>
        <v>0</v>
      </c>
      <c r="AF29" s="7">
        <f t="shared" si="17"/>
        <v>84</v>
      </c>
      <c r="AG29" s="13">
        <f t="shared" ref="AG29:AH29" si="20">AG25+AG27</f>
        <v>252</v>
      </c>
      <c r="AH29" s="13">
        <f t="shared" si="20"/>
        <v>140</v>
      </c>
      <c r="AI29" s="13">
        <f t="shared" ref="AI29" si="21">AI25+AI27</f>
        <v>0</v>
      </c>
    </row>
    <row r="30" spans="1:35" ht="13">
      <c r="A30" s="111"/>
      <c r="B30" s="114" t="s">
        <v>20</v>
      </c>
      <c r="C30" s="115"/>
      <c r="D30" s="25">
        <f t="shared" si="12"/>
        <v>0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</row>
    <row r="31" spans="1:35" s="21" customFormat="1" ht="42" customHeight="1">
      <c r="A31" s="111"/>
      <c r="B31" s="14"/>
      <c r="C31" s="14" t="s">
        <v>13</v>
      </c>
      <c r="D31" s="14"/>
      <c r="E31" s="30"/>
      <c r="F31" s="30"/>
      <c r="G31" s="30" t="s">
        <v>121</v>
      </c>
      <c r="H31" s="58" t="s">
        <v>123</v>
      </c>
      <c r="I31" s="30"/>
      <c r="J31" s="30" t="s">
        <v>124</v>
      </c>
      <c r="K31" s="44"/>
      <c r="L31" s="30" t="s">
        <v>131</v>
      </c>
      <c r="M31" s="30" t="s">
        <v>129</v>
      </c>
      <c r="N31" s="30"/>
      <c r="O31" s="30"/>
      <c r="P31" s="41" t="s">
        <v>134</v>
      </c>
      <c r="Q31" s="30" t="s">
        <v>137</v>
      </c>
      <c r="R31" s="44"/>
      <c r="S31" s="30" t="s">
        <v>140</v>
      </c>
      <c r="T31" s="30"/>
      <c r="U31" s="54"/>
      <c r="V31" s="14"/>
      <c r="W31" s="41" t="s">
        <v>139</v>
      </c>
      <c r="X31" s="41" t="s">
        <v>139</v>
      </c>
      <c r="Y31" s="44"/>
      <c r="Z31" s="30" t="s">
        <v>145</v>
      </c>
      <c r="AA31" s="30" t="s">
        <v>145</v>
      </c>
      <c r="AB31" s="30" t="s">
        <v>145</v>
      </c>
      <c r="AC31" s="30" t="s">
        <v>145</v>
      </c>
      <c r="AD31" s="30" t="s">
        <v>145</v>
      </c>
      <c r="AE31" s="30" t="s">
        <v>145</v>
      </c>
      <c r="AF31" s="44"/>
      <c r="AG31" s="30" t="s">
        <v>23</v>
      </c>
      <c r="AH31" s="30" t="s">
        <v>23</v>
      </c>
      <c r="AI31" s="30" t="s">
        <v>153</v>
      </c>
    </row>
    <row r="32" spans="1:35">
      <c r="A32" s="36"/>
    </row>
    <row r="33" spans="1:35" ht="14">
      <c r="A33" s="37"/>
      <c r="B33" s="38"/>
      <c r="C33" s="38"/>
      <c r="D33" s="39"/>
      <c r="E33" s="39"/>
      <c r="F33" s="39"/>
      <c r="G33" s="39"/>
      <c r="H33" s="39"/>
      <c r="I33" s="39"/>
      <c r="J33" s="39"/>
      <c r="K33" s="39"/>
      <c r="L33" s="42"/>
      <c r="M33" s="42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42"/>
      <c r="AC33" s="39"/>
      <c r="AD33" s="39"/>
      <c r="AE33" s="39"/>
      <c r="AF33" s="39"/>
      <c r="AG33" s="39"/>
      <c r="AH33" s="39"/>
      <c r="AI33" s="39"/>
    </row>
    <row r="34" spans="1:35" ht="13">
      <c r="C34" s="5"/>
      <c r="D34" s="24" t="s">
        <v>18</v>
      </c>
      <c r="E34" s="8">
        <v>45992</v>
      </c>
      <c r="F34" s="8">
        <f>E34+1</f>
        <v>45993</v>
      </c>
      <c r="G34" s="8">
        <f>F34+1</f>
        <v>45994</v>
      </c>
      <c r="H34" s="8">
        <f t="shared" ref="H34:AI34" si="22">G34+1</f>
        <v>45995</v>
      </c>
      <c r="I34" s="8">
        <f t="shared" si="22"/>
        <v>45996</v>
      </c>
      <c r="J34" s="8">
        <f t="shared" si="22"/>
        <v>45997</v>
      </c>
      <c r="K34" s="31">
        <f t="shared" si="22"/>
        <v>45998</v>
      </c>
      <c r="L34" s="8">
        <f t="shared" si="22"/>
        <v>45999</v>
      </c>
      <c r="M34" s="8">
        <f t="shared" si="22"/>
        <v>46000</v>
      </c>
      <c r="N34" s="8">
        <f t="shared" si="22"/>
        <v>46001</v>
      </c>
      <c r="O34" s="8">
        <f t="shared" si="22"/>
        <v>46002</v>
      </c>
      <c r="P34" s="8">
        <f t="shared" si="22"/>
        <v>46003</v>
      </c>
      <c r="Q34" s="8">
        <f t="shared" si="22"/>
        <v>46004</v>
      </c>
      <c r="R34" s="31">
        <f t="shared" si="22"/>
        <v>46005</v>
      </c>
      <c r="S34" s="8">
        <f t="shared" si="22"/>
        <v>46006</v>
      </c>
      <c r="T34" s="8">
        <f t="shared" si="22"/>
        <v>46007</v>
      </c>
      <c r="U34" s="8">
        <f t="shared" si="22"/>
        <v>46008</v>
      </c>
      <c r="V34" s="8">
        <f t="shared" si="22"/>
        <v>46009</v>
      </c>
      <c r="W34" s="8">
        <f t="shared" si="22"/>
        <v>46010</v>
      </c>
      <c r="X34" s="8">
        <f t="shared" si="22"/>
        <v>46011</v>
      </c>
      <c r="Y34" s="31">
        <f t="shared" si="22"/>
        <v>46012</v>
      </c>
      <c r="Z34" s="8">
        <f t="shared" si="22"/>
        <v>46013</v>
      </c>
      <c r="AA34" s="8">
        <f t="shared" si="22"/>
        <v>46014</v>
      </c>
      <c r="AB34" s="8">
        <f t="shared" si="22"/>
        <v>46015</v>
      </c>
      <c r="AC34" s="8">
        <f t="shared" si="22"/>
        <v>46016</v>
      </c>
      <c r="AD34" s="8">
        <f t="shared" si="22"/>
        <v>46017</v>
      </c>
      <c r="AE34" s="8">
        <f t="shared" si="22"/>
        <v>46018</v>
      </c>
      <c r="AF34" s="31">
        <f t="shared" si="22"/>
        <v>46019</v>
      </c>
      <c r="AG34" s="8">
        <f t="shared" si="22"/>
        <v>46020</v>
      </c>
      <c r="AH34" s="8">
        <f t="shared" si="22"/>
        <v>46021</v>
      </c>
      <c r="AI34" s="8">
        <f t="shared" si="22"/>
        <v>46022</v>
      </c>
    </row>
    <row r="35" spans="1:35" ht="13">
      <c r="C35" s="3" t="s">
        <v>24</v>
      </c>
      <c r="D35" s="16">
        <f>SUM(E35:AI35)</f>
        <v>0</v>
      </c>
      <c r="E35" s="5"/>
      <c r="F35" s="5"/>
      <c r="G35" s="5"/>
      <c r="H35" s="5"/>
      <c r="I35" s="5"/>
      <c r="J35" s="5"/>
      <c r="K35" s="32"/>
      <c r="L35" s="5"/>
      <c r="M35" s="5"/>
      <c r="N35" s="5"/>
      <c r="O35" s="5"/>
      <c r="P35" s="5"/>
      <c r="Q35" s="5"/>
      <c r="R35" s="32"/>
      <c r="S35" s="5"/>
      <c r="T35" s="5"/>
      <c r="U35" s="5"/>
      <c r="V35" s="5"/>
      <c r="W35" s="5"/>
      <c r="X35" s="5"/>
      <c r="Y35" s="32"/>
      <c r="Z35" s="5"/>
      <c r="AA35" s="5"/>
      <c r="AB35" s="5"/>
      <c r="AC35" s="5"/>
      <c r="AD35" s="5"/>
      <c r="AE35" s="5"/>
      <c r="AF35" s="32"/>
      <c r="AG35" s="5"/>
      <c r="AH35" s="5"/>
      <c r="AI35" s="5"/>
    </row>
    <row r="36" spans="1:35" ht="13">
      <c r="C36" s="3" t="s">
        <v>25</v>
      </c>
      <c r="D36" s="16">
        <f t="shared" ref="D36:D41" si="23">SUM(E36:AI36)</f>
        <v>0</v>
      </c>
      <c r="E36" s="5"/>
      <c r="F36" s="5"/>
      <c r="G36" s="5"/>
      <c r="H36" s="5"/>
      <c r="I36" s="5"/>
      <c r="J36" s="5"/>
      <c r="K36" s="32"/>
      <c r="L36" s="5"/>
      <c r="M36" s="5"/>
      <c r="N36" s="5"/>
      <c r="O36" s="5"/>
      <c r="P36" s="5"/>
      <c r="Q36" s="5"/>
      <c r="R36" s="32"/>
      <c r="S36" s="5"/>
      <c r="T36" s="5"/>
      <c r="U36" s="5"/>
      <c r="V36" s="5"/>
      <c r="W36" s="5"/>
      <c r="X36" s="5"/>
      <c r="Y36" s="32"/>
      <c r="Z36" s="5"/>
      <c r="AA36" s="5"/>
      <c r="AB36" s="5"/>
      <c r="AC36" s="5"/>
      <c r="AD36" s="5"/>
      <c r="AE36" s="5"/>
      <c r="AF36" s="32"/>
      <c r="AG36" s="5"/>
      <c r="AH36" s="5"/>
      <c r="AI36" s="5"/>
    </row>
    <row r="37" spans="1:35" ht="13">
      <c r="C37" s="20" t="s">
        <v>14</v>
      </c>
      <c r="D37" s="16">
        <f t="shared" si="23"/>
        <v>0</v>
      </c>
      <c r="E37" s="5"/>
      <c r="F37" s="5"/>
      <c r="G37" s="5"/>
      <c r="H37" s="5"/>
      <c r="I37" s="5"/>
      <c r="J37" s="5"/>
      <c r="K37" s="32"/>
      <c r="L37" s="5"/>
      <c r="M37" s="5"/>
      <c r="N37" s="5"/>
      <c r="O37" s="5"/>
      <c r="P37" s="5"/>
      <c r="Q37" s="5"/>
      <c r="R37" s="32"/>
      <c r="S37" s="5"/>
      <c r="T37" s="5"/>
      <c r="U37" s="5"/>
      <c r="V37" s="5"/>
      <c r="W37" s="5"/>
      <c r="X37" s="5"/>
      <c r="Y37" s="32"/>
      <c r="Z37" s="5"/>
      <c r="AA37" s="5"/>
      <c r="AB37" s="5"/>
      <c r="AC37" s="5"/>
      <c r="AD37" s="5"/>
      <c r="AE37" s="5"/>
      <c r="AF37" s="32"/>
      <c r="AG37" s="5"/>
      <c r="AH37" s="5"/>
      <c r="AI37" s="5"/>
    </row>
    <row r="38" spans="1:35" ht="13">
      <c r="C38" s="5" t="s">
        <v>15</v>
      </c>
      <c r="D38" s="16">
        <f t="shared" si="23"/>
        <v>0</v>
      </c>
      <c r="E38" s="12"/>
      <c r="F38" s="12"/>
      <c r="G38" s="12"/>
      <c r="H38" s="12"/>
      <c r="I38" s="12"/>
      <c r="J38" s="12"/>
      <c r="K38" s="40"/>
      <c r="L38" s="12"/>
      <c r="M38" s="12"/>
      <c r="N38" s="12"/>
      <c r="O38" s="12"/>
      <c r="P38" s="12"/>
      <c r="Q38" s="12"/>
      <c r="R38" s="40"/>
      <c r="S38" s="12"/>
      <c r="T38" s="12"/>
      <c r="U38" s="12"/>
      <c r="V38" s="12"/>
      <c r="W38" s="12"/>
      <c r="X38" s="12"/>
      <c r="Y38" s="32"/>
      <c r="Z38" s="5"/>
      <c r="AA38" s="5"/>
      <c r="AB38" s="5"/>
      <c r="AC38" s="5"/>
      <c r="AD38" s="5"/>
      <c r="AE38" s="5"/>
      <c r="AF38" s="32"/>
      <c r="AG38" s="5"/>
      <c r="AH38" s="5"/>
      <c r="AI38" s="5"/>
    </row>
    <row r="39" spans="1:35" ht="13">
      <c r="C39" s="5" t="s">
        <v>23</v>
      </c>
      <c r="D39" s="16">
        <f t="shared" si="23"/>
        <v>0</v>
      </c>
      <c r="E39" s="5"/>
      <c r="F39" s="5"/>
      <c r="G39" s="5"/>
      <c r="H39" s="5"/>
      <c r="I39" s="5"/>
      <c r="J39" s="5"/>
      <c r="K39" s="32"/>
      <c r="L39" s="5"/>
      <c r="M39" s="5"/>
      <c r="N39" s="5"/>
      <c r="O39" s="5"/>
      <c r="P39" s="5"/>
      <c r="Q39" s="5"/>
      <c r="R39" s="32"/>
      <c r="S39" s="5"/>
      <c r="T39" s="5"/>
      <c r="U39" s="5"/>
      <c r="V39" s="5"/>
      <c r="W39" s="5"/>
      <c r="X39" s="5"/>
      <c r="Y39" s="32"/>
      <c r="Z39" s="5"/>
      <c r="AA39" s="5"/>
      <c r="AB39" s="5"/>
      <c r="AC39" s="5"/>
      <c r="AD39" s="5"/>
      <c r="AE39" s="5"/>
      <c r="AF39" s="32"/>
      <c r="AG39" s="5"/>
      <c r="AH39" s="5"/>
      <c r="AI39" s="5"/>
    </row>
    <row r="40" spans="1:35" ht="13">
      <c r="C40" s="20" t="s">
        <v>26</v>
      </c>
      <c r="D40" s="16">
        <f t="shared" si="23"/>
        <v>0</v>
      </c>
      <c r="E40" s="5"/>
      <c r="F40" s="5"/>
      <c r="G40" s="5"/>
      <c r="H40" s="5"/>
      <c r="I40" s="5"/>
      <c r="J40" s="5"/>
      <c r="K40" s="32"/>
      <c r="L40" s="5"/>
      <c r="M40" s="5"/>
      <c r="N40" s="5"/>
      <c r="O40" s="5"/>
      <c r="P40" s="5"/>
      <c r="Q40" s="5"/>
      <c r="R40" s="32"/>
      <c r="S40" s="5"/>
      <c r="T40" s="5"/>
      <c r="U40" s="12"/>
      <c r="V40" s="5"/>
      <c r="W40" s="5"/>
      <c r="X40" s="5"/>
      <c r="Y40" s="32"/>
      <c r="Z40" s="5"/>
      <c r="AA40" s="5"/>
      <c r="AB40" s="5"/>
      <c r="AC40" s="5"/>
      <c r="AD40" s="5"/>
      <c r="AE40" s="5"/>
      <c r="AF40" s="32"/>
      <c r="AG40" s="5"/>
      <c r="AH40" s="5"/>
      <c r="AI40" s="5"/>
    </row>
    <row r="41" spans="1:35" ht="13">
      <c r="C41" s="20" t="s">
        <v>29</v>
      </c>
      <c r="D41" s="16">
        <f t="shared" si="23"/>
        <v>0</v>
      </c>
      <c r="E41" s="5"/>
      <c r="F41" s="5"/>
      <c r="G41" s="5"/>
      <c r="H41" s="5"/>
      <c r="I41" s="5"/>
      <c r="J41" s="5"/>
      <c r="K41" s="32"/>
      <c r="L41" s="5"/>
      <c r="M41" s="5"/>
      <c r="N41" s="5"/>
      <c r="O41" s="5"/>
      <c r="P41" s="5"/>
      <c r="Q41" s="5"/>
      <c r="R41" s="32"/>
      <c r="S41" s="5"/>
      <c r="T41" s="5"/>
      <c r="U41" s="5"/>
      <c r="V41" s="5"/>
      <c r="W41" s="5"/>
      <c r="X41" s="5"/>
      <c r="Y41" s="32"/>
      <c r="Z41" s="5"/>
      <c r="AA41" s="5"/>
      <c r="AB41" s="5"/>
      <c r="AC41" s="5"/>
      <c r="AD41" s="5"/>
      <c r="AE41" s="5"/>
      <c r="AF41" s="32"/>
      <c r="AG41" s="5"/>
      <c r="AH41" s="5"/>
      <c r="AI41" s="5"/>
    </row>
    <row r="42" spans="1:35" ht="13">
      <c r="C42" s="20" t="s">
        <v>27</v>
      </c>
      <c r="D42" s="6">
        <f>SUM(D35:D41)</f>
        <v>0</v>
      </c>
      <c r="E42" s="6">
        <f t="shared" ref="E42:AI42" si="24">SUM(E35:E41)</f>
        <v>0</v>
      </c>
      <c r="F42" s="6">
        <f t="shared" si="24"/>
        <v>0</v>
      </c>
      <c r="G42" s="6">
        <f t="shared" si="24"/>
        <v>0</v>
      </c>
      <c r="H42" s="6">
        <f t="shared" si="24"/>
        <v>0</v>
      </c>
      <c r="I42" s="6">
        <f t="shared" si="24"/>
        <v>0</v>
      </c>
      <c r="J42" s="6">
        <f t="shared" si="24"/>
        <v>0</v>
      </c>
      <c r="K42" s="33">
        <f t="shared" si="24"/>
        <v>0</v>
      </c>
      <c r="L42" s="6">
        <f t="shared" si="24"/>
        <v>0</v>
      </c>
      <c r="M42" s="6">
        <f t="shared" si="24"/>
        <v>0</v>
      </c>
      <c r="N42" s="6">
        <f t="shared" si="24"/>
        <v>0</v>
      </c>
      <c r="O42" s="6">
        <f t="shared" si="24"/>
        <v>0</v>
      </c>
      <c r="P42" s="6">
        <f t="shared" si="24"/>
        <v>0</v>
      </c>
      <c r="Q42" s="6">
        <f t="shared" si="24"/>
        <v>0</v>
      </c>
      <c r="R42" s="33">
        <f t="shared" si="24"/>
        <v>0</v>
      </c>
      <c r="S42" s="6">
        <f t="shared" si="24"/>
        <v>0</v>
      </c>
      <c r="T42" s="6">
        <f t="shared" si="24"/>
        <v>0</v>
      </c>
      <c r="U42" s="6">
        <f t="shared" si="24"/>
        <v>0</v>
      </c>
      <c r="V42" s="6">
        <f t="shared" si="24"/>
        <v>0</v>
      </c>
      <c r="W42" s="6">
        <f t="shared" si="24"/>
        <v>0</v>
      </c>
      <c r="X42" s="6">
        <f t="shared" si="24"/>
        <v>0</v>
      </c>
      <c r="Y42" s="33">
        <f t="shared" si="24"/>
        <v>0</v>
      </c>
      <c r="Z42" s="6">
        <f t="shared" si="24"/>
        <v>0</v>
      </c>
      <c r="AA42" s="6">
        <f t="shared" si="24"/>
        <v>0</v>
      </c>
      <c r="AB42" s="6">
        <f t="shared" si="24"/>
        <v>0</v>
      </c>
      <c r="AC42" s="6">
        <f t="shared" si="24"/>
        <v>0</v>
      </c>
      <c r="AD42" s="6">
        <f t="shared" si="24"/>
        <v>0</v>
      </c>
      <c r="AE42" s="6">
        <f t="shared" si="24"/>
        <v>0</v>
      </c>
      <c r="AF42" s="33">
        <f t="shared" si="24"/>
        <v>0</v>
      </c>
      <c r="AG42" s="6">
        <f t="shared" si="24"/>
        <v>0</v>
      </c>
      <c r="AH42" s="6">
        <f t="shared" si="24"/>
        <v>0</v>
      </c>
      <c r="AI42" s="6">
        <f t="shared" si="24"/>
        <v>0</v>
      </c>
    </row>
  </sheetData>
  <mergeCells count="15">
    <mergeCell ref="A16:A23"/>
    <mergeCell ref="B16:B17"/>
    <mergeCell ref="B18:B19"/>
    <mergeCell ref="B20:B21"/>
    <mergeCell ref="B22:C22"/>
    <mergeCell ref="A8:A15"/>
    <mergeCell ref="B8:B9"/>
    <mergeCell ref="B10:B11"/>
    <mergeCell ref="B12:B13"/>
    <mergeCell ref="B14:C14"/>
    <mergeCell ref="A24:A31"/>
    <mergeCell ref="B24:B25"/>
    <mergeCell ref="B26:B27"/>
    <mergeCell ref="B28:B29"/>
    <mergeCell ref="B30:C30"/>
  </mergeCells>
  <hyperlinks>
    <hyperlink ref="A1" location="Summary!A1" display="Index" xr:uid="{E508C0C1-6085-419B-BAB8-C79D983C41B7}"/>
  </hyperlinks>
  <pageMargins left="0.7" right="0.7" top="0.75" bottom="0.75" header="0.3" footer="0.3"/>
  <pageSetup paperSize="9" orientation="portrait" r:id="rId1"/>
  <headerFooter>
    <oddFooter>&amp;L_x000D_&amp;1#&amp;"Calibri Light"&amp;8&amp;K000000 Classified as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3497-5E85-4D32-B66F-C3FDB77DE64F}">
  <dimension ref="A1:AI58"/>
  <sheetViews>
    <sheetView zoomScale="50" zoomScaleNormal="50" workbookViewId="0">
      <pane xSplit="4" ySplit="7" topLeftCell="R35" activePane="bottomRight" state="frozen"/>
      <selection pane="topRight" activeCell="E1" sqref="E1"/>
      <selection pane="bottomLeft" activeCell="A8" sqref="A8"/>
      <selection pane="bottomRight" activeCell="U38" sqref="U38"/>
    </sheetView>
  </sheetViews>
  <sheetFormatPr defaultRowHeight="12.5"/>
  <cols>
    <col min="1" max="1" width="31.7265625" style="2" bestFit="1" customWidth="1"/>
    <col min="2" max="2" width="18.90625" style="2" customWidth="1"/>
    <col min="3" max="3" width="25.453125" style="2" bestFit="1" customWidth="1"/>
    <col min="4" max="4" width="12.6328125" style="18" bestFit="1" customWidth="1"/>
    <col min="5" max="20" width="12.81640625" style="2" customWidth="1"/>
    <col min="21" max="21" width="16.453125" style="2" bestFit="1" customWidth="1"/>
    <col min="22" max="23" width="12.81640625" style="2" customWidth="1"/>
    <col min="24" max="25" width="15" style="2" customWidth="1"/>
    <col min="26" max="35" width="12.81640625" style="2" customWidth="1"/>
    <col min="36" max="16384" width="8.7265625" style="2"/>
  </cols>
  <sheetData>
    <row r="1" spans="1:35">
      <c r="A1" s="1" t="s">
        <v>0</v>
      </c>
    </row>
    <row r="2" spans="1:35" ht="27" customHeight="1">
      <c r="A2" s="29" t="s">
        <v>21</v>
      </c>
      <c r="B2" s="29" t="s">
        <v>22</v>
      </c>
      <c r="C2" s="5"/>
      <c r="D2" s="24" t="s">
        <v>18</v>
      </c>
      <c r="E2" s="8">
        <v>46023</v>
      </c>
      <c r="F2" s="8">
        <f>E2+1</f>
        <v>46024</v>
      </c>
      <c r="G2" s="8">
        <f>F2+1</f>
        <v>46025</v>
      </c>
      <c r="H2" s="9">
        <f>G2+1</f>
        <v>46026</v>
      </c>
      <c r="I2" s="8">
        <f>H2+1</f>
        <v>46027</v>
      </c>
      <c r="J2" s="8">
        <f>I2+1</f>
        <v>46028</v>
      </c>
      <c r="K2" s="8">
        <f t="shared" ref="K2:M2" si="0">J2+1</f>
        <v>46029</v>
      </c>
      <c r="L2" s="8">
        <f t="shared" si="0"/>
        <v>46030</v>
      </c>
      <c r="M2" s="8">
        <f t="shared" si="0"/>
        <v>46031</v>
      </c>
      <c r="N2" s="8">
        <f>M2+1</f>
        <v>46032</v>
      </c>
      <c r="O2" s="9">
        <f>N2+1</f>
        <v>46033</v>
      </c>
      <c r="P2" s="8">
        <f t="shared" ref="P2:T2" si="1">O2+1</f>
        <v>46034</v>
      </c>
      <c r="Q2" s="8">
        <f t="shared" si="1"/>
        <v>46035</v>
      </c>
      <c r="R2" s="8">
        <f t="shared" si="1"/>
        <v>46036</v>
      </c>
      <c r="S2" s="8">
        <f t="shared" si="1"/>
        <v>46037</v>
      </c>
      <c r="T2" s="8">
        <f t="shared" si="1"/>
        <v>46038</v>
      </c>
      <c r="U2" s="8">
        <f>T2+1</f>
        <v>46039</v>
      </c>
      <c r="V2" s="9">
        <f>U2+1</f>
        <v>46040</v>
      </c>
      <c r="W2" s="8">
        <f t="shared" ref="W2:AA2" si="2">V2+1</f>
        <v>46041</v>
      </c>
      <c r="X2" s="8">
        <f t="shared" si="2"/>
        <v>46042</v>
      </c>
      <c r="Y2" s="8">
        <f t="shared" si="2"/>
        <v>46043</v>
      </c>
      <c r="Z2" s="8">
        <f t="shared" si="2"/>
        <v>46044</v>
      </c>
      <c r="AA2" s="8">
        <f t="shared" si="2"/>
        <v>46045</v>
      </c>
      <c r="AB2" s="8">
        <f>AA2+1</f>
        <v>46046</v>
      </c>
      <c r="AC2" s="9">
        <f>AB2+1</f>
        <v>46047</v>
      </c>
      <c r="AD2" s="8">
        <f t="shared" ref="AD2:AH2" si="3">AC2+1</f>
        <v>46048</v>
      </c>
      <c r="AE2" s="8">
        <f t="shared" si="3"/>
        <v>46049</v>
      </c>
      <c r="AF2" s="8">
        <f t="shared" si="3"/>
        <v>46050</v>
      </c>
      <c r="AG2" s="8">
        <f t="shared" si="3"/>
        <v>46051</v>
      </c>
      <c r="AH2" s="8">
        <f t="shared" si="3"/>
        <v>46052</v>
      </c>
      <c r="AI2" s="8">
        <f>AH2+1</f>
        <v>46053</v>
      </c>
    </row>
    <row r="3" spans="1:35" ht="20">
      <c r="A3" s="27">
        <f ca="1">TODAY()-1</f>
        <v>46156</v>
      </c>
      <c r="B3" s="28" t="e">
        <f ca="1">HLOOKUP(A3,E2:AI3,2,0)</f>
        <v>#N/A</v>
      </c>
      <c r="C3" s="5"/>
      <c r="D3" s="19" t="str">
        <f>CONCATENATE(D5,"/",D4)</f>
        <v>13767/19130</v>
      </c>
      <c r="E3" s="19" t="str">
        <f>CONCATENATE(E5,"/",E4)</f>
        <v>0/0</v>
      </c>
      <c r="F3" s="19" t="str">
        <f t="shared" ref="F3:AI3" si="4">CONCATENATE(F5,"/",F4)</f>
        <v>365/712</v>
      </c>
      <c r="G3" s="19" t="str">
        <f t="shared" si="4"/>
        <v>411/712</v>
      </c>
      <c r="H3" s="34" t="str">
        <f t="shared" si="4"/>
        <v>97/160</v>
      </c>
      <c r="I3" s="19" t="str">
        <f t="shared" si="4"/>
        <v>416/648</v>
      </c>
      <c r="J3" s="19" t="str">
        <f t="shared" si="4"/>
        <v>454/728</v>
      </c>
      <c r="K3" s="19" t="str">
        <f t="shared" si="4"/>
        <v>521/808</v>
      </c>
      <c r="L3" s="19" t="str">
        <f t="shared" si="4"/>
        <v>523/868</v>
      </c>
      <c r="M3" s="19" t="str">
        <f t="shared" si="4"/>
        <v>606/856</v>
      </c>
      <c r="N3" s="19" t="str">
        <f t="shared" si="4"/>
        <v>521/864</v>
      </c>
      <c r="O3" s="34" t="str">
        <f t="shared" si="4"/>
        <v>574/856</v>
      </c>
      <c r="P3" s="19" t="str">
        <f t="shared" si="4"/>
        <v>681/850</v>
      </c>
      <c r="Q3" s="19" t="str">
        <f t="shared" si="4"/>
        <v>567/792</v>
      </c>
      <c r="R3" s="19" t="str">
        <f t="shared" si="4"/>
        <v>0/0</v>
      </c>
      <c r="S3" s="19" t="str">
        <f t="shared" si="4"/>
        <v>170/126</v>
      </c>
      <c r="T3" s="19" t="str">
        <f t="shared" si="4"/>
        <v>348/460</v>
      </c>
      <c r="U3" s="19" t="str">
        <f t="shared" si="4"/>
        <v>696/872</v>
      </c>
      <c r="V3" s="34" t="str">
        <f t="shared" si="4"/>
        <v>613/792</v>
      </c>
      <c r="W3" s="19" t="str">
        <f t="shared" si="4"/>
        <v>600/674</v>
      </c>
      <c r="X3" s="19" t="str">
        <f t="shared" si="4"/>
        <v>484/538</v>
      </c>
      <c r="Y3" s="19" t="str">
        <f t="shared" si="4"/>
        <v>588/936</v>
      </c>
      <c r="Z3" s="19" t="str">
        <f t="shared" si="4"/>
        <v>517/792</v>
      </c>
      <c r="AA3" s="19" t="str">
        <f t="shared" si="4"/>
        <v>514/666</v>
      </c>
      <c r="AB3" s="19" t="str">
        <f t="shared" si="4"/>
        <v>431/540</v>
      </c>
      <c r="AC3" s="34" t="str">
        <f t="shared" si="4"/>
        <v>70/160</v>
      </c>
      <c r="AD3" s="19" t="str">
        <f t="shared" si="4"/>
        <v>0/0</v>
      </c>
      <c r="AE3" s="19" t="str">
        <f t="shared" si="4"/>
        <v>522/412</v>
      </c>
      <c r="AF3" s="19" t="str">
        <f t="shared" si="4"/>
        <v>632/704</v>
      </c>
      <c r="AG3" s="19" t="str">
        <f t="shared" si="4"/>
        <v>620/872</v>
      </c>
      <c r="AH3" s="19" t="str">
        <f t="shared" si="4"/>
        <v>610/680</v>
      </c>
      <c r="AI3" s="19" t="str">
        <f t="shared" si="4"/>
        <v>616/1052</v>
      </c>
    </row>
    <row r="4" spans="1:35" ht="20">
      <c r="A4" s="28" t="s">
        <v>28</v>
      </c>
      <c r="B4" s="28" t="str">
        <f>D3</f>
        <v>13767/19130</v>
      </c>
      <c r="C4" s="23" t="s">
        <v>1</v>
      </c>
      <c r="D4" s="19">
        <f t="shared" ref="D4:AI5" si="5">D12+D20+D28</f>
        <v>19130</v>
      </c>
      <c r="E4" s="19">
        <f t="shared" si="5"/>
        <v>0</v>
      </c>
      <c r="F4" s="19">
        <f t="shared" si="5"/>
        <v>712</v>
      </c>
      <c r="G4" s="19">
        <f t="shared" si="5"/>
        <v>712</v>
      </c>
      <c r="H4" s="34">
        <f t="shared" si="5"/>
        <v>160</v>
      </c>
      <c r="I4" s="19">
        <f t="shared" si="5"/>
        <v>648</v>
      </c>
      <c r="J4" s="19">
        <f t="shared" si="5"/>
        <v>728</v>
      </c>
      <c r="K4" s="19">
        <f t="shared" si="5"/>
        <v>808</v>
      </c>
      <c r="L4" s="19">
        <f t="shared" si="5"/>
        <v>868</v>
      </c>
      <c r="M4" s="19">
        <f t="shared" si="5"/>
        <v>856</v>
      </c>
      <c r="N4" s="19">
        <f t="shared" si="5"/>
        <v>864</v>
      </c>
      <c r="O4" s="34">
        <f t="shared" si="5"/>
        <v>856</v>
      </c>
      <c r="P4" s="19">
        <f t="shared" si="5"/>
        <v>850</v>
      </c>
      <c r="Q4" s="19">
        <f t="shared" si="5"/>
        <v>792</v>
      </c>
      <c r="R4" s="19">
        <f t="shared" si="5"/>
        <v>0</v>
      </c>
      <c r="S4" s="19">
        <f t="shared" si="5"/>
        <v>126</v>
      </c>
      <c r="T4" s="19">
        <f t="shared" si="5"/>
        <v>460</v>
      </c>
      <c r="U4" s="19">
        <f t="shared" si="5"/>
        <v>872</v>
      </c>
      <c r="V4" s="34">
        <f t="shared" si="5"/>
        <v>792</v>
      </c>
      <c r="W4" s="19">
        <f t="shared" si="5"/>
        <v>674</v>
      </c>
      <c r="X4" s="19">
        <f t="shared" si="5"/>
        <v>538</v>
      </c>
      <c r="Y4" s="19">
        <f t="shared" si="5"/>
        <v>936</v>
      </c>
      <c r="Z4" s="19">
        <f t="shared" si="5"/>
        <v>792</v>
      </c>
      <c r="AA4" s="19">
        <f t="shared" si="5"/>
        <v>666</v>
      </c>
      <c r="AB4" s="19">
        <f t="shared" si="5"/>
        <v>540</v>
      </c>
      <c r="AC4" s="34">
        <f t="shared" si="5"/>
        <v>160</v>
      </c>
      <c r="AD4" s="19">
        <f t="shared" si="5"/>
        <v>0</v>
      </c>
      <c r="AE4" s="19">
        <f t="shared" si="5"/>
        <v>412</v>
      </c>
      <c r="AF4" s="19">
        <f t="shared" si="5"/>
        <v>704</v>
      </c>
      <c r="AG4" s="19">
        <f t="shared" si="5"/>
        <v>872</v>
      </c>
      <c r="AH4" s="19">
        <f t="shared" si="5"/>
        <v>680</v>
      </c>
      <c r="AI4" s="19">
        <f t="shared" si="5"/>
        <v>1052</v>
      </c>
    </row>
    <row r="5" spans="1:35" ht="20">
      <c r="A5" s="28" t="s">
        <v>19</v>
      </c>
      <c r="B5" s="43">
        <f>D5/D4</f>
        <v>0.71965499215891271</v>
      </c>
      <c r="C5" s="23" t="s">
        <v>2</v>
      </c>
      <c r="D5" s="19">
        <f t="shared" si="5"/>
        <v>13767</v>
      </c>
      <c r="E5" s="19">
        <f t="shared" si="5"/>
        <v>0</v>
      </c>
      <c r="F5" s="19">
        <f t="shared" si="5"/>
        <v>365</v>
      </c>
      <c r="G5" s="19">
        <f t="shared" si="5"/>
        <v>411</v>
      </c>
      <c r="H5" s="34">
        <f t="shared" si="5"/>
        <v>97</v>
      </c>
      <c r="I5" s="19">
        <f t="shared" si="5"/>
        <v>416</v>
      </c>
      <c r="J5" s="19">
        <f t="shared" si="5"/>
        <v>454</v>
      </c>
      <c r="K5" s="19">
        <f t="shared" si="5"/>
        <v>521</v>
      </c>
      <c r="L5" s="19">
        <f t="shared" si="5"/>
        <v>523</v>
      </c>
      <c r="M5" s="19">
        <f t="shared" si="5"/>
        <v>606</v>
      </c>
      <c r="N5" s="19">
        <f t="shared" si="5"/>
        <v>521</v>
      </c>
      <c r="O5" s="34">
        <f t="shared" si="5"/>
        <v>574</v>
      </c>
      <c r="P5" s="19">
        <f t="shared" si="5"/>
        <v>681</v>
      </c>
      <c r="Q5" s="19">
        <f t="shared" si="5"/>
        <v>567</v>
      </c>
      <c r="R5" s="19">
        <f t="shared" si="5"/>
        <v>0</v>
      </c>
      <c r="S5" s="19">
        <f t="shared" si="5"/>
        <v>170</v>
      </c>
      <c r="T5" s="19">
        <f t="shared" si="5"/>
        <v>348</v>
      </c>
      <c r="U5" s="19">
        <f t="shared" si="5"/>
        <v>696</v>
      </c>
      <c r="V5" s="34">
        <f t="shared" si="5"/>
        <v>613</v>
      </c>
      <c r="W5" s="19">
        <f t="shared" si="5"/>
        <v>600</v>
      </c>
      <c r="X5" s="19">
        <f t="shared" si="5"/>
        <v>484</v>
      </c>
      <c r="Y5" s="19">
        <f t="shared" si="5"/>
        <v>588</v>
      </c>
      <c r="Z5" s="19">
        <f t="shared" si="5"/>
        <v>517</v>
      </c>
      <c r="AA5" s="19">
        <f t="shared" si="5"/>
        <v>514</v>
      </c>
      <c r="AB5" s="19">
        <f t="shared" si="5"/>
        <v>431</v>
      </c>
      <c r="AC5" s="34">
        <f t="shared" si="5"/>
        <v>70</v>
      </c>
      <c r="AD5" s="19">
        <f t="shared" si="5"/>
        <v>0</v>
      </c>
      <c r="AE5" s="19">
        <f>AE13+AE21+AE29</f>
        <v>522</v>
      </c>
      <c r="AF5" s="19">
        <f t="shared" si="5"/>
        <v>632</v>
      </c>
      <c r="AG5" s="19">
        <f t="shared" si="5"/>
        <v>620</v>
      </c>
      <c r="AH5" s="19">
        <f t="shared" si="5"/>
        <v>610</v>
      </c>
      <c r="AI5" s="19">
        <f t="shared" si="5"/>
        <v>616</v>
      </c>
    </row>
    <row r="6" spans="1:35" s="17" customFormat="1" ht="13">
      <c r="C6" s="6" t="s">
        <v>3</v>
      </c>
      <c r="D6" s="6"/>
      <c r="E6" s="6" t="str">
        <f t="shared" ref="E6:AI6" si="6">TEXT(E7,"ddd")</f>
        <v>Thu</v>
      </c>
      <c r="F6" s="6" t="str">
        <f>TEXT(F7,"ddd")</f>
        <v>Fri</v>
      </c>
      <c r="G6" s="6" t="str">
        <f t="shared" si="6"/>
        <v>Sat</v>
      </c>
      <c r="H6" s="34" t="str">
        <f t="shared" si="6"/>
        <v>Sun</v>
      </c>
      <c r="I6" s="6" t="str">
        <f t="shared" si="6"/>
        <v>Mon</v>
      </c>
      <c r="J6" s="6" t="str">
        <f t="shared" si="6"/>
        <v>Tue</v>
      </c>
      <c r="K6" s="6" t="str">
        <f t="shared" si="6"/>
        <v>Wed</v>
      </c>
      <c r="L6" s="6" t="str">
        <f t="shared" si="6"/>
        <v>Thu</v>
      </c>
      <c r="M6" s="6" t="str">
        <f t="shared" si="6"/>
        <v>Fri</v>
      </c>
      <c r="N6" s="6" t="str">
        <f t="shared" si="6"/>
        <v>Sat</v>
      </c>
      <c r="O6" s="34" t="str">
        <f t="shared" si="6"/>
        <v>Sun</v>
      </c>
      <c r="P6" s="6" t="str">
        <f t="shared" si="6"/>
        <v>Mon</v>
      </c>
      <c r="Q6" s="6" t="str">
        <f t="shared" si="6"/>
        <v>Tue</v>
      </c>
      <c r="R6" s="6" t="str">
        <f t="shared" si="6"/>
        <v>Wed</v>
      </c>
      <c r="S6" s="6" t="str">
        <f t="shared" si="6"/>
        <v>Thu</v>
      </c>
      <c r="T6" s="6" t="str">
        <f t="shared" si="6"/>
        <v>Fri</v>
      </c>
      <c r="U6" s="6" t="str">
        <f t="shared" si="6"/>
        <v>Sat</v>
      </c>
      <c r="V6" s="34" t="str">
        <f t="shared" si="6"/>
        <v>Sun</v>
      </c>
      <c r="W6" s="6" t="str">
        <f t="shared" si="6"/>
        <v>Mon</v>
      </c>
      <c r="X6" s="6" t="str">
        <f t="shared" si="6"/>
        <v>Tue</v>
      </c>
      <c r="Y6" s="6" t="str">
        <f t="shared" si="6"/>
        <v>Wed</v>
      </c>
      <c r="Z6" s="6" t="str">
        <f t="shared" si="6"/>
        <v>Thu</v>
      </c>
      <c r="AA6" s="6" t="str">
        <f t="shared" si="6"/>
        <v>Fri</v>
      </c>
      <c r="AB6" s="6" t="str">
        <f t="shared" si="6"/>
        <v>Sat</v>
      </c>
      <c r="AC6" s="34" t="str">
        <f t="shared" si="6"/>
        <v>Sun</v>
      </c>
      <c r="AD6" s="6" t="str">
        <f t="shared" si="6"/>
        <v>Mon</v>
      </c>
      <c r="AE6" s="6" t="str">
        <f t="shared" si="6"/>
        <v>Tue</v>
      </c>
      <c r="AF6" s="6" t="str">
        <f t="shared" si="6"/>
        <v>Wed</v>
      </c>
      <c r="AG6" s="6" t="str">
        <f t="shared" si="6"/>
        <v>Thu</v>
      </c>
      <c r="AH6" s="6" t="str">
        <f t="shared" si="6"/>
        <v>Fri</v>
      </c>
      <c r="AI6" s="6" t="str">
        <f t="shared" si="6"/>
        <v>Sat</v>
      </c>
    </row>
    <row r="7" spans="1:35" s="17" customFormat="1" ht="13">
      <c r="A7" s="6" t="s">
        <v>4</v>
      </c>
      <c r="B7" s="6" t="s">
        <v>5</v>
      </c>
      <c r="C7" s="6" t="s">
        <v>6</v>
      </c>
      <c r="D7" s="6"/>
      <c r="E7" s="8">
        <v>46023</v>
      </c>
      <c r="F7" s="8">
        <f>E7+1</f>
        <v>46024</v>
      </c>
      <c r="G7" s="8">
        <f>F7+1</f>
        <v>46025</v>
      </c>
      <c r="H7" s="9">
        <f>G7+1</f>
        <v>46026</v>
      </c>
      <c r="I7" s="8">
        <f t="shared" ref="I7:M7" si="7">H7+1</f>
        <v>46027</v>
      </c>
      <c r="J7" s="8">
        <f t="shared" si="7"/>
        <v>46028</v>
      </c>
      <c r="K7" s="8">
        <f t="shared" si="7"/>
        <v>46029</v>
      </c>
      <c r="L7" s="8">
        <f t="shared" si="7"/>
        <v>46030</v>
      </c>
      <c r="M7" s="8">
        <f t="shared" si="7"/>
        <v>46031</v>
      </c>
      <c r="N7" s="8">
        <f>M7+1</f>
        <v>46032</v>
      </c>
      <c r="O7" s="9">
        <f>N7+1</f>
        <v>46033</v>
      </c>
      <c r="P7" s="8">
        <f t="shared" ref="P7:T7" si="8">O7+1</f>
        <v>46034</v>
      </c>
      <c r="Q7" s="8">
        <f t="shared" si="8"/>
        <v>46035</v>
      </c>
      <c r="R7" s="8">
        <f t="shared" si="8"/>
        <v>46036</v>
      </c>
      <c r="S7" s="8">
        <f t="shared" si="8"/>
        <v>46037</v>
      </c>
      <c r="T7" s="8">
        <f t="shared" si="8"/>
        <v>46038</v>
      </c>
      <c r="U7" s="8">
        <f>T7+1</f>
        <v>46039</v>
      </c>
      <c r="V7" s="9">
        <f>U7+1</f>
        <v>46040</v>
      </c>
      <c r="W7" s="8">
        <f t="shared" ref="W7:AA7" si="9">V7+1</f>
        <v>46041</v>
      </c>
      <c r="X7" s="8">
        <f t="shared" si="9"/>
        <v>46042</v>
      </c>
      <c r="Y7" s="8">
        <f t="shared" si="9"/>
        <v>46043</v>
      </c>
      <c r="Z7" s="8">
        <f t="shared" si="9"/>
        <v>46044</v>
      </c>
      <c r="AA7" s="8">
        <f t="shared" si="9"/>
        <v>46045</v>
      </c>
      <c r="AB7" s="8">
        <f>AA7+1</f>
        <v>46046</v>
      </c>
      <c r="AC7" s="9">
        <f>AB7+1</f>
        <v>46047</v>
      </c>
      <c r="AD7" s="8">
        <f t="shared" ref="AD7:AH7" si="10">AC7+1</f>
        <v>46048</v>
      </c>
      <c r="AE7" s="8">
        <f t="shared" si="10"/>
        <v>46049</v>
      </c>
      <c r="AF7" s="8">
        <f t="shared" si="10"/>
        <v>46050</v>
      </c>
      <c r="AG7" s="8">
        <f t="shared" si="10"/>
        <v>46051</v>
      </c>
      <c r="AH7" s="8">
        <f t="shared" si="10"/>
        <v>46052</v>
      </c>
      <c r="AI7" s="8">
        <f>AH7+1</f>
        <v>46053</v>
      </c>
    </row>
    <row r="8" spans="1:35" ht="13">
      <c r="A8" s="111" t="s">
        <v>7</v>
      </c>
      <c r="B8" s="112" t="s">
        <v>8</v>
      </c>
      <c r="C8" s="4" t="s">
        <v>9</v>
      </c>
      <c r="D8" s="22">
        <f t="shared" ref="D8:D11" si="11">SUM(E8:AI8)</f>
        <v>3800</v>
      </c>
      <c r="E8" s="10"/>
      <c r="F8" s="10">
        <v>160</v>
      </c>
      <c r="G8" s="10">
        <v>160</v>
      </c>
      <c r="H8" s="11">
        <v>160</v>
      </c>
      <c r="I8" s="10">
        <v>160</v>
      </c>
      <c r="J8" s="10">
        <v>160</v>
      </c>
      <c r="K8" s="10">
        <v>160</v>
      </c>
      <c r="L8" s="10">
        <v>160</v>
      </c>
      <c r="M8" s="10">
        <v>160</v>
      </c>
      <c r="N8" s="10">
        <v>160</v>
      </c>
      <c r="O8" s="11">
        <v>80</v>
      </c>
      <c r="P8" s="10">
        <v>40</v>
      </c>
      <c r="Q8" s="10">
        <v>160</v>
      </c>
      <c r="R8" s="10"/>
      <c r="S8" s="10"/>
      <c r="T8" s="13">
        <v>80</v>
      </c>
      <c r="U8" s="13"/>
      <c r="V8" s="11">
        <v>160</v>
      </c>
      <c r="W8" s="13">
        <v>80</v>
      </c>
      <c r="X8" s="13">
        <v>160</v>
      </c>
      <c r="Y8" s="13">
        <v>160</v>
      </c>
      <c r="Z8" s="13">
        <v>160</v>
      </c>
      <c r="AA8" s="13">
        <v>160</v>
      </c>
      <c r="AB8" s="13">
        <v>160</v>
      </c>
      <c r="AC8" s="11">
        <v>160</v>
      </c>
      <c r="AD8" s="13"/>
      <c r="AE8" s="13">
        <v>160</v>
      </c>
      <c r="AF8" s="13">
        <v>160</v>
      </c>
      <c r="AG8" s="13">
        <v>160</v>
      </c>
      <c r="AH8" s="13">
        <v>160</v>
      </c>
      <c r="AI8" s="13">
        <v>160</v>
      </c>
    </row>
    <row r="9" spans="1:35" ht="13">
      <c r="A9" s="111"/>
      <c r="B9" s="112"/>
      <c r="C9" s="4" t="s">
        <v>10</v>
      </c>
      <c r="D9" s="22">
        <f t="shared" si="11"/>
        <v>2144</v>
      </c>
      <c r="E9" s="10"/>
      <c r="F9" s="10">
        <v>80</v>
      </c>
      <c r="G9" s="10">
        <v>71</v>
      </c>
      <c r="H9" s="11">
        <v>97</v>
      </c>
      <c r="I9" s="10">
        <v>67</v>
      </c>
      <c r="J9" s="10">
        <v>102</v>
      </c>
      <c r="K9" s="10">
        <v>98</v>
      </c>
      <c r="L9" s="10">
        <v>90</v>
      </c>
      <c r="M9" s="10">
        <v>98</v>
      </c>
      <c r="N9" s="10">
        <v>81</v>
      </c>
      <c r="O9" s="11">
        <v>44</v>
      </c>
      <c r="P9" s="10">
        <v>34</v>
      </c>
      <c r="Q9" s="10">
        <v>64</v>
      </c>
      <c r="R9" s="10"/>
      <c r="S9" s="10">
        <v>44</v>
      </c>
      <c r="T9" s="13">
        <v>40</v>
      </c>
      <c r="U9" s="13">
        <v>16</v>
      </c>
      <c r="V9" s="11">
        <v>88</v>
      </c>
      <c r="W9" s="10">
        <v>48</v>
      </c>
      <c r="X9" s="13">
        <v>90</v>
      </c>
      <c r="Y9" s="13">
        <v>101</v>
      </c>
      <c r="Z9" s="13">
        <v>93</v>
      </c>
      <c r="AA9" s="13">
        <v>96</v>
      </c>
      <c r="AB9" s="13">
        <v>102</v>
      </c>
      <c r="AC9" s="11">
        <v>56</v>
      </c>
      <c r="AD9" s="13"/>
      <c r="AE9" s="13">
        <v>112</v>
      </c>
      <c r="AF9" s="13">
        <v>84</v>
      </c>
      <c r="AG9" s="13">
        <v>80</v>
      </c>
      <c r="AH9" s="13">
        <v>60</v>
      </c>
      <c r="AI9" s="10">
        <v>108</v>
      </c>
    </row>
    <row r="10" spans="1:35">
      <c r="A10" s="111"/>
      <c r="B10" s="113" t="s">
        <v>11</v>
      </c>
      <c r="C10" s="5" t="s">
        <v>9</v>
      </c>
      <c r="D10" s="19">
        <f t="shared" si="11"/>
        <v>1480</v>
      </c>
      <c r="E10" s="12"/>
      <c r="F10" s="12">
        <v>80</v>
      </c>
      <c r="G10" s="12">
        <v>80</v>
      </c>
      <c r="H10" s="11"/>
      <c r="I10" s="12">
        <v>80</v>
      </c>
      <c r="J10" s="12">
        <v>160</v>
      </c>
      <c r="K10" s="12">
        <v>100</v>
      </c>
      <c r="L10" s="12">
        <v>160</v>
      </c>
      <c r="M10" s="12">
        <v>160</v>
      </c>
      <c r="N10" s="12"/>
      <c r="O10" s="11">
        <v>80</v>
      </c>
      <c r="P10" s="12">
        <v>100</v>
      </c>
      <c r="Q10" s="12"/>
      <c r="R10" s="12"/>
      <c r="S10" s="12"/>
      <c r="T10" s="12"/>
      <c r="U10" s="12">
        <v>160</v>
      </c>
      <c r="V10" s="11"/>
      <c r="W10" s="12"/>
      <c r="X10" s="12"/>
      <c r="Y10" s="12">
        <v>80</v>
      </c>
      <c r="Z10" s="12"/>
      <c r="AA10" s="12"/>
      <c r="AB10" s="12"/>
      <c r="AC10" s="11"/>
      <c r="AD10" s="12"/>
      <c r="AE10" s="12"/>
      <c r="AF10" s="12"/>
      <c r="AG10" s="12">
        <v>80</v>
      </c>
      <c r="AH10" s="12"/>
      <c r="AI10" s="12">
        <v>160</v>
      </c>
    </row>
    <row r="11" spans="1:35">
      <c r="A11" s="111"/>
      <c r="B11" s="113"/>
      <c r="C11" s="5" t="s">
        <v>10</v>
      </c>
      <c r="D11" s="19">
        <f t="shared" si="11"/>
        <v>938</v>
      </c>
      <c r="E11" s="12"/>
      <c r="F11" s="12">
        <v>33</v>
      </c>
      <c r="G11" s="12">
        <v>39</v>
      </c>
      <c r="H11" s="11"/>
      <c r="I11" s="12">
        <v>24</v>
      </c>
      <c r="J11" s="12">
        <v>66</v>
      </c>
      <c r="K11" s="12">
        <v>78</v>
      </c>
      <c r="L11" s="12">
        <v>59</v>
      </c>
      <c r="M11" s="12">
        <v>60</v>
      </c>
      <c r="N11" s="12">
        <v>0</v>
      </c>
      <c r="O11" s="11">
        <v>36</v>
      </c>
      <c r="P11" s="12">
        <v>73</v>
      </c>
      <c r="Q11" s="12">
        <v>45</v>
      </c>
      <c r="R11" s="12"/>
      <c r="S11" s="12"/>
      <c r="T11" s="12"/>
      <c r="U11" s="12">
        <v>80</v>
      </c>
      <c r="V11" s="11"/>
      <c r="W11" s="12"/>
      <c r="X11" s="12">
        <v>16</v>
      </c>
      <c r="Y11" s="12">
        <v>39</v>
      </c>
      <c r="Z11" s="12"/>
      <c r="AA11" s="12">
        <v>24</v>
      </c>
      <c r="AB11" s="12"/>
      <c r="AC11" s="11"/>
      <c r="AD11" s="12"/>
      <c r="AE11" s="12"/>
      <c r="AF11" s="12">
        <v>64</v>
      </c>
      <c r="AG11" s="12">
        <v>66</v>
      </c>
      <c r="AH11" s="12">
        <v>76</v>
      </c>
      <c r="AI11" s="12">
        <v>60</v>
      </c>
    </row>
    <row r="12" spans="1:35" ht="13">
      <c r="A12" s="111"/>
      <c r="B12" s="112" t="s">
        <v>12</v>
      </c>
      <c r="C12" s="4" t="s">
        <v>9</v>
      </c>
      <c r="D12" s="22">
        <f t="shared" ref="D12:D30" si="12">SUM(E12:AI12)</f>
        <v>5280</v>
      </c>
      <c r="E12" s="13">
        <f>E8+E10</f>
        <v>0</v>
      </c>
      <c r="F12" s="13">
        <f t="shared" ref="F12:AI13" si="13">F8+F10</f>
        <v>240</v>
      </c>
      <c r="G12" s="13">
        <f>G8+G10</f>
        <v>240</v>
      </c>
      <c r="H12" s="7">
        <f t="shared" si="13"/>
        <v>160</v>
      </c>
      <c r="I12" s="13">
        <f t="shared" si="13"/>
        <v>240</v>
      </c>
      <c r="J12" s="13">
        <f t="shared" si="13"/>
        <v>320</v>
      </c>
      <c r="K12" s="13">
        <f t="shared" si="13"/>
        <v>260</v>
      </c>
      <c r="L12" s="13">
        <f t="shared" si="13"/>
        <v>320</v>
      </c>
      <c r="M12" s="13">
        <f t="shared" si="13"/>
        <v>320</v>
      </c>
      <c r="N12" s="13">
        <f t="shared" si="13"/>
        <v>160</v>
      </c>
      <c r="O12" s="13">
        <f t="shared" si="13"/>
        <v>160</v>
      </c>
      <c r="P12" s="13">
        <f t="shared" si="13"/>
        <v>140</v>
      </c>
      <c r="Q12" s="13">
        <f t="shared" si="13"/>
        <v>160</v>
      </c>
      <c r="R12" s="13">
        <f t="shared" si="13"/>
        <v>0</v>
      </c>
      <c r="S12" s="13">
        <f t="shared" ref="S12" si="14">S8+S10</f>
        <v>0</v>
      </c>
      <c r="T12" s="13">
        <f t="shared" si="13"/>
        <v>80</v>
      </c>
      <c r="U12" s="13">
        <f t="shared" si="13"/>
        <v>160</v>
      </c>
      <c r="V12" s="7">
        <f t="shared" si="13"/>
        <v>160</v>
      </c>
      <c r="W12" s="13">
        <f t="shared" si="13"/>
        <v>80</v>
      </c>
      <c r="X12" s="13">
        <f t="shared" si="13"/>
        <v>160</v>
      </c>
      <c r="Y12" s="13">
        <f t="shared" si="13"/>
        <v>240</v>
      </c>
      <c r="Z12" s="13">
        <f t="shared" si="13"/>
        <v>160</v>
      </c>
      <c r="AA12" s="13">
        <f t="shared" si="13"/>
        <v>160</v>
      </c>
      <c r="AB12" s="13">
        <f t="shared" si="13"/>
        <v>160</v>
      </c>
      <c r="AC12" s="7">
        <f t="shared" si="13"/>
        <v>160</v>
      </c>
      <c r="AD12" s="13">
        <f t="shared" si="13"/>
        <v>0</v>
      </c>
      <c r="AE12" s="13">
        <f t="shared" si="13"/>
        <v>160</v>
      </c>
      <c r="AF12" s="13">
        <f t="shared" si="13"/>
        <v>160</v>
      </c>
      <c r="AG12" s="13">
        <f t="shared" si="13"/>
        <v>240</v>
      </c>
      <c r="AH12" s="13">
        <f t="shared" si="13"/>
        <v>160</v>
      </c>
      <c r="AI12" s="13">
        <f t="shared" si="13"/>
        <v>320</v>
      </c>
    </row>
    <row r="13" spans="1:35" ht="13">
      <c r="A13" s="111"/>
      <c r="B13" s="112"/>
      <c r="C13" s="4" t="s">
        <v>10</v>
      </c>
      <c r="D13" s="22">
        <f t="shared" si="12"/>
        <v>3082</v>
      </c>
      <c r="E13" s="13">
        <f>E9+E11</f>
        <v>0</v>
      </c>
      <c r="F13" s="13">
        <f t="shared" si="13"/>
        <v>113</v>
      </c>
      <c r="G13" s="13">
        <f>G9+G11</f>
        <v>110</v>
      </c>
      <c r="H13" s="7">
        <f t="shared" si="13"/>
        <v>97</v>
      </c>
      <c r="I13" s="13">
        <f t="shared" si="13"/>
        <v>91</v>
      </c>
      <c r="J13" s="13">
        <f t="shared" si="13"/>
        <v>168</v>
      </c>
      <c r="K13" s="13">
        <f t="shared" si="13"/>
        <v>176</v>
      </c>
      <c r="L13" s="13">
        <f t="shared" si="13"/>
        <v>149</v>
      </c>
      <c r="M13" s="13">
        <f t="shared" si="13"/>
        <v>158</v>
      </c>
      <c r="N13" s="13">
        <f t="shared" si="13"/>
        <v>81</v>
      </c>
      <c r="O13" s="13">
        <f t="shared" si="13"/>
        <v>80</v>
      </c>
      <c r="P13" s="13">
        <f t="shared" si="13"/>
        <v>107</v>
      </c>
      <c r="Q13" s="13">
        <f t="shared" si="13"/>
        <v>109</v>
      </c>
      <c r="R13" s="13">
        <f t="shared" si="13"/>
        <v>0</v>
      </c>
      <c r="S13" s="13">
        <f t="shared" ref="S13" si="15">S9+S11</f>
        <v>44</v>
      </c>
      <c r="T13" s="13">
        <f t="shared" si="13"/>
        <v>40</v>
      </c>
      <c r="U13" s="13">
        <f t="shared" si="13"/>
        <v>96</v>
      </c>
      <c r="V13" s="7">
        <f t="shared" si="13"/>
        <v>88</v>
      </c>
      <c r="W13" s="13">
        <f t="shared" si="13"/>
        <v>48</v>
      </c>
      <c r="X13" s="13">
        <f t="shared" si="13"/>
        <v>106</v>
      </c>
      <c r="Y13" s="13">
        <f t="shared" si="13"/>
        <v>140</v>
      </c>
      <c r="Z13" s="13">
        <f t="shared" si="13"/>
        <v>93</v>
      </c>
      <c r="AA13" s="13">
        <f t="shared" si="13"/>
        <v>120</v>
      </c>
      <c r="AB13" s="13">
        <f t="shared" si="13"/>
        <v>102</v>
      </c>
      <c r="AC13" s="7">
        <f t="shared" si="13"/>
        <v>56</v>
      </c>
      <c r="AD13" s="13">
        <f t="shared" si="13"/>
        <v>0</v>
      </c>
      <c r="AE13" s="13">
        <f t="shared" si="13"/>
        <v>112</v>
      </c>
      <c r="AF13" s="13">
        <f t="shared" si="13"/>
        <v>148</v>
      </c>
      <c r="AG13" s="13">
        <f t="shared" si="13"/>
        <v>146</v>
      </c>
      <c r="AH13" s="13">
        <f t="shared" si="13"/>
        <v>136</v>
      </c>
      <c r="AI13" s="13">
        <f t="shared" si="13"/>
        <v>168</v>
      </c>
    </row>
    <row r="14" spans="1:35" ht="13">
      <c r="A14" s="111"/>
      <c r="B14" s="114" t="s">
        <v>20</v>
      </c>
      <c r="C14" s="115"/>
      <c r="D14" s="25">
        <f t="shared" si="12"/>
        <v>4390</v>
      </c>
      <c r="E14" s="35"/>
      <c r="F14" s="35">
        <v>180</v>
      </c>
      <c r="G14" s="35">
        <v>210</v>
      </c>
      <c r="H14" s="35"/>
      <c r="I14" s="35">
        <v>180</v>
      </c>
      <c r="J14" s="35">
        <v>90</v>
      </c>
      <c r="K14" s="35">
        <v>90</v>
      </c>
      <c r="L14" s="35">
        <v>90</v>
      </c>
      <c r="M14" s="35">
        <v>120</v>
      </c>
      <c r="N14" s="35">
        <v>180</v>
      </c>
      <c r="O14" s="35">
        <v>240</v>
      </c>
      <c r="P14" s="35">
        <v>360</v>
      </c>
      <c r="Q14" s="35">
        <v>210</v>
      </c>
      <c r="R14" s="35"/>
      <c r="S14" s="35"/>
      <c r="T14" s="35">
        <v>300</v>
      </c>
      <c r="U14" s="35">
        <v>400</v>
      </c>
      <c r="V14" s="35"/>
      <c r="W14" s="35">
        <v>180</v>
      </c>
      <c r="X14" s="35">
        <v>90</v>
      </c>
      <c r="Y14" s="35">
        <v>150</v>
      </c>
      <c r="Z14" s="35">
        <v>120</v>
      </c>
      <c r="AA14" s="35">
        <v>120</v>
      </c>
      <c r="AB14" s="35">
        <v>90</v>
      </c>
      <c r="AC14" s="35">
        <v>210</v>
      </c>
      <c r="AD14" s="35"/>
      <c r="AE14" s="35">
        <v>180</v>
      </c>
      <c r="AF14" s="35">
        <v>150</v>
      </c>
      <c r="AG14" s="35">
        <v>150</v>
      </c>
      <c r="AH14" s="35">
        <v>210</v>
      </c>
      <c r="AI14" s="35">
        <v>90</v>
      </c>
    </row>
    <row r="15" spans="1:35" s="21" customFormat="1" ht="42" customHeight="1">
      <c r="A15" s="111"/>
      <c r="B15" s="14"/>
      <c r="C15" s="14" t="s">
        <v>13</v>
      </c>
      <c r="D15" s="14"/>
      <c r="E15" s="30"/>
      <c r="F15" s="30" t="s">
        <v>156</v>
      </c>
      <c r="G15" s="30" t="s">
        <v>156</v>
      </c>
      <c r="H15" s="44"/>
      <c r="I15" s="30" t="s">
        <v>164</v>
      </c>
      <c r="J15" s="30" t="s">
        <v>165</v>
      </c>
      <c r="K15" s="30" t="s">
        <v>168</v>
      </c>
      <c r="L15" s="30" t="s">
        <v>168</v>
      </c>
      <c r="M15" s="30" t="s">
        <v>176</v>
      </c>
      <c r="N15" s="30" t="s">
        <v>176</v>
      </c>
      <c r="O15" s="15" t="s">
        <v>176</v>
      </c>
      <c r="P15" s="30" t="s">
        <v>176</v>
      </c>
      <c r="Q15" s="30" t="s">
        <v>179</v>
      </c>
      <c r="R15" s="30"/>
      <c r="S15" s="30" t="s">
        <v>180</v>
      </c>
      <c r="T15" s="30" t="s">
        <v>182</v>
      </c>
      <c r="U15" s="30" t="s">
        <v>182</v>
      </c>
      <c r="V15" s="44" t="s">
        <v>183</v>
      </c>
      <c r="W15" s="41" t="s">
        <v>183</v>
      </c>
      <c r="X15" s="41" t="s">
        <v>183</v>
      </c>
      <c r="Y15" s="41" t="s">
        <v>183</v>
      </c>
      <c r="Z15" s="41" t="s">
        <v>183</v>
      </c>
      <c r="AA15" s="41" t="s">
        <v>185</v>
      </c>
      <c r="AB15" s="41" t="s">
        <v>183</v>
      </c>
      <c r="AC15" s="41" t="s">
        <v>183</v>
      </c>
      <c r="AD15" s="41"/>
      <c r="AE15" s="41" t="s">
        <v>186</v>
      </c>
      <c r="AF15" s="30" t="s">
        <v>189</v>
      </c>
      <c r="AG15" s="41"/>
      <c r="AH15" s="41" t="s">
        <v>188</v>
      </c>
      <c r="AI15" s="30" t="s">
        <v>189</v>
      </c>
    </row>
    <row r="16" spans="1:35" ht="13">
      <c r="A16" s="111" t="s">
        <v>16</v>
      </c>
      <c r="B16" s="112" t="s">
        <v>8</v>
      </c>
      <c r="C16" s="4" t="s">
        <v>9</v>
      </c>
      <c r="D16" s="22">
        <f t="shared" ref="D16:D19" si="16">SUM(E16:AI16)</f>
        <v>2714</v>
      </c>
      <c r="E16" s="10"/>
      <c r="F16" s="10">
        <v>128</v>
      </c>
      <c r="G16" s="10">
        <v>128</v>
      </c>
      <c r="H16" s="11"/>
      <c r="I16" s="10">
        <v>128</v>
      </c>
      <c r="J16" s="10">
        <v>128</v>
      </c>
      <c r="K16" s="10">
        <v>128</v>
      </c>
      <c r="L16" s="10">
        <v>128</v>
      </c>
      <c r="M16" s="10">
        <v>128</v>
      </c>
      <c r="N16" s="10">
        <v>128</v>
      </c>
      <c r="O16" s="11">
        <v>128</v>
      </c>
      <c r="P16" s="10">
        <v>128</v>
      </c>
      <c r="Q16" s="10">
        <v>128</v>
      </c>
      <c r="R16" s="10"/>
      <c r="S16" s="10"/>
      <c r="T16" s="13">
        <v>64</v>
      </c>
      <c r="U16" s="10">
        <v>128</v>
      </c>
      <c r="V16" s="11">
        <v>128</v>
      </c>
      <c r="W16" s="10">
        <v>90</v>
      </c>
      <c r="X16" s="10"/>
      <c r="Y16" s="10">
        <v>128</v>
      </c>
      <c r="Z16" s="10">
        <v>128</v>
      </c>
      <c r="AA16" s="10">
        <v>128</v>
      </c>
      <c r="AB16" s="10">
        <v>128</v>
      </c>
      <c r="AC16" s="11"/>
      <c r="AD16" s="10"/>
      <c r="AE16" s="10"/>
      <c r="AF16" s="10"/>
      <c r="AG16" s="10">
        <v>128</v>
      </c>
      <c r="AH16" s="10">
        <v>128</v>
      </c>
      <c r="AI16" s="10">
        <v>128</v>
      </c>
    </row>
    <row r="17" spans="1:35" ht="13">
      <c r="A17" s="111"/>
      <c r="B17" s="112"/>
      <c r="C17" s="4" t="s">
        <v>10</v>
      </c>
      <c r="D17" s="22">
        <f t="shared" si="16"/>
        <v>1663</v>
      </c>
      <c r="E17" s="22"/>
      <c r="F17" s="22">
        <v>72</v>
      </c>
      <c r="G17" s="22">
        <v>90</v>
      </c>
      <c r="H17" s="11"/>
      <c r="I17" s="10">
        <v>87</v>
      </c>
      <c r="J17" s="10">
        <v>20</v>
      </c>
      <c r="K17" s="10">
        <v>51</v>
      </c>
      <c r="L17" s="10">
        <v>80</v>
      </c>
      <c r="M17" s="10">
        <v>90</v>
      </c>
      <c r="N17" s="10">
        <v>80</v>
      </c>
      <c r="O17" s="11">
        <v>80</v>
      </c>
      <c r="P17" s="10">
        <v>84</v>
      </c>
      <c r="Q17" s="10">
        <v>86</v>
      </c>
      <c r="R17" s="10"/>
      <c r="S17" s="10">
        <v>42</v>
      </c>
      <c r="T17" s="13">
        <v>44</v>
      </c>
      <c r="U17" s="10">
        <f>50+32+22</f>
        <v>104</v>
      </c>
      <c r="V17" s="11">
        <v>49</v>
      </c>
      <c r="W17" s="10">
        <f>44+16+16</f>
        <v>76</v>
      </c>
      <c r="X17" s="10">
        <v>28</v>
      </c>
      <c r="Y17" s="10">
        <v>68</v>
      </c>
      <c r="Z17" s="10">
        <v>60</v>
      </c>
      <c r="AA17" s="10">
        <v>62</v>
      </c>
      <c r="AB17" s="10">
        <v>91</v>
      </c>
      <c r="AC17" s="11"/>
      <c r="AD17" s="10"/>
      <c r="AE17" s="10"/>
      <c r="AF17" s="10">
        <v>19</v>
      </c>
      <c r="AG17" s="10">
        <v>76</v>
      </c>
      <c r="AH17" s="10">
        <v>76</v>
      </c>
      <c r="AI17" s="10">
        <v>48</v>
      </c>
    </row>
    <row r="18" spans="1:35">
      <c r="A18" s="111"/>
      <c r="B18" s="113" t="s">
        <v>11</v>
      </c>
      <c r="C18" s="5" t="s">
        <v>9</v>
      </c>
      <c r="D18" s="19">
        <f t="shared" si="16"/>
        <v>824</v>
      </c>
      <c r="E18" s="12"/>
      <c r="F18" s="12">
        <v>64</v>
      </c>
      <c r="G18" s="12">
        <v>64</v>
      </c>
      <c r="H18" s="11"/>
      <c r="I18" s="12"/>
      <c r="J18" s="12"/>
      <c r="K18" s="12"/>
      <c r="L18" s="12"/>
      <c r="M18" s="12">
        <v>128</v>
      </c>
      <c r="N18" s="12">
        <v>128</v>
      </c>
      <c r="O18" s="11">
        <v>64</v>
      </c>
      <c r="P18" s="12"/>
      <c r="Q18" s="12"/>
      <c r="R18" s="12"/>
      <c r="S18" s="12"/>
      <c r="T18" s="12">
        <v>64</v>
      </c>
      <c r="U18" s="12">
        <v>80</v>
      </c>
      <c r="V18" s="11"/>
      <c r="W18" s="12"/>
      <c r="X18" s="12"/>
      <c r="Y18" s="12">
        <v>64</v>
      </c>
      <c r="Z18" s="12"/>
      <c r="AA18" s="12"/>
      <c r="AB18" s="12"/>
      <c r="AC18" s="11"/>
      <c r="AD18" s="12"/>
      <c r="AE18" s="12"/>
      <c r="AF18" s="12">
        <v>40</v>
      </c>
      <c r="AG18" s="12"/>
      <c r="AH18" s="12"/>
      <c r="AI18" s="12">
        <v>128</v>
      </c>
    </row>
    <row r="19" spans="1:35">
      <c r="A19" s="111"/>
      <c r="B19" s="113"/>
      <c r="C19" s="5" t="s">
        <v>10</v>
      </c>
      <c r="D19" s="19">
        <f t="shared" si="16"/>
        <v>647</v>
      </c>
      <c r="E19" s="12"/>
      <c r="F19" s="12">
        <v>26</v>
      </c>
      <c r="G19" s="12">
        <v>43</v>
      </c>
      <c r="H19" s="11"/>
      <c r="I19" s="12"/>
      <c r="J19" s="12"/>
      <c r="K19" s="12"/>
      <c r="L19" s="12"/>
      <c r="M19" s="12">
        <v>78</v>
      </c>
      <c r="N19" s="12">
        <v>52</v>
      </c>
      <c r="O19" s="11">
        <v>36</v>
      </c>
      <c r="P19" s="12"/>
      <c r="Q19" s="12">
        <v>22</v>
      </c>
      <c r="R19" s="12"/>
      <c r="S19" s="12"/>
      <c r="T19" s="12">
        <v>40</v>
      </c>
      <c r="U19" s="12">
        <v>62</v>
      </c>
      <c r="V19" s="11"/>
      <c r="W19" s="12"/>
      <c r="X19" s="12">
        <v>28</v>
      </c>
      <c r="Y19" s="12">
        <v>44</v>
      </c>
      <c r="Z19" s="12"/>
      <c r="AA19" s="12">
        <v>24</v>
      </c>
      <c r="AB19" s="12"/>
      <c r="AC19" s="11"/>
      <c r="AD19" s="12"/>
      <c r="AE19" s="12">
        <v>60</v>
      </c>
      <c r="AF19" s="12"/>
      <c r="AG19" s="12">
        <v>48</v>
      </c>
      <c r="AH19" s="12">
        <v>48</v>
      </c>
      <c r="AI19" s="12">
        <v>36</v>
      </c>
    </row>
    <row r="20" spans="1:35" ht="13">
      <c r="A20" s="111"/>
      <c r="B20" s="112" t="s">
        <v>12</v>
      </c>
      <c r="C20" s="4" t="s">
        <v>9</v>
      </c>
      <c r="D20" s="22">
        <f t="shared" si="12"/>
        <v>3538</v>
      </c>
      <c r="E20" s="13">
        <f>E16+E18</f>
        <v>0</v>
      </c>
      <c r="F20" s="13">
        <f t="shared" ref="F20:AI21" si="17">F16+F18</f>
        <v>192</v>
      </c>
      <c r="G20" s="13">
        <f t="shared" si="17"/>
        <v>192</v>
      </c>
      <c r="H20" s="7">
        <f t="shared" si="17"/>
        <v>0</v>
      </c>
      <c r="I20" s="13">
        <f t="shared" si="17"/>
        <v>128</v>
      </c>
      <c r="J20" s="13">
        <f t="shared" si="17"/>
        <v>128</v>
      </c>
      <c r="K20" s="13">
        <f t="shared" si="17"/>
        <v>128</v>
      </c>
      <c r="L20" s="13">
        <f t="shared" si="17"/>
        <v>128</v>
      </c>
      <c r="M20" s="13">
        <f t="shared" si="17"/>
        <v>256</v>
      </c>
      <c r="N20" s="13">
        <f t="shared" si="17"/>
        <v>256</v>
      </c>
      <c r="O20" s="7">
        <f t="shared" si="17"/>
        <v>192</v>
      </c>
      <c r="P20" s="13">
        <f t="shared" si="17"/>
        <v>128</v>
      </c>
      <c r="Q20" s="13">
        <f t="shared" si="17"/>
        <v>128</v>
      </c>
      <c r="R20" s="13">
        <f t="shared" si="17"/>
        <v>0</v>
      </c>
      <c r="S20" s="13">
        <f t="shared" ref="S20" si="18">S16+S18</f>
        <v>0</v>
      </c>
      <c r="T20" s="13">
        <f t="shared" si="17"/>
        <v>128</v>
      </c>
      <c r="U20" s="13">
        <f t="shared" si="17"/>
        <v>208</v>
      </c>
      <c r="V20" s="7">
        <f t="shared" si="17"/>
        <v>128</v>
      </c>
      <c r="W20" s="13">
        <f t="shared" si="17"/>
        <v>90</v>
      </c>
      <c r="X20" s="13">
        <f t="shared" si="17"/>
        <v>0</v>
      </c>
      <c r="Y20" s="13">
        <f t="shared" si="17"/>
        <v>192</v>
      </c>
      <c r="Z20" s="13">
        <f t="shared" si="17"/>
        <v>128</v>
      </c>
      <c r="AA20" s="13">
        <f t="shared" si="17"/>
        <v>128</v>
      </c>
      <c r="AB20" s="13">
        <f t="shared" si="17"/>
        <v>128</v>
      </c>
      <c r="AC20" s="7">
        <f t="shared" si="17"/>
        <v>0</v>
      </c>
      <c r="AD20" s="13">
        <f t="shared" si="17"/>
        <v>0</v>
      </c>
      <c r="AE20" s="13">
        <f t="shared" si="17"/>
        <v>0</v>
      </c>
      <c r="AF20" s="13">
        <f t="shared" si="17"/>
        <v>40</v>
      </c>
      <c r="AG20" s="13">
        <f t="shared" si="17"/>
        <v>128</v>
      </c>
      <c r="AH20" s="13">
        <f t="shared" si="17"/>
        <v>128</v>
      </c>
      <c r="AI20" s="13">
        <f t="shared" si="17"/>
        <v>256</v>
      </c>
    </row>
    <row r="21" spans="1:35" ht="13">
      <c r="A21" s="111"/>
      <c r="B21" s="112"/>
      <c r="C21" s="4" t="s">
        <v>10</v>
      </c>
      <c r="D21" s="22">
        <f t="shared" si="12"/>
        <v>2310</v>
      </c>
      <c r="E21" s="13">
        <f>E17+E19</f>
        <v>0</v>
      </c>
      <c r="F21" s="13">
        <f t="shared" si="17"/>
        <v>98</v>
      </c>
      <c r="G21" s="13">
        <f t="shared" si="17"/>
        <v>133</v>
      </c>
      <c r="H21" s="7">
        <f t="shared" si="17"/>
        <v>0</v>
      </c>
      <c r="I21" s="13">
        <f t="shared" si="17"/>
        <v>87</v>
      </c>
      <c r="J21" s="13">
        <f t="shared" si="17"/>
        <v>20</v>
      </c>
      <c r="K21" s="13">
        <f t="shared" si="17"/>
        <v>51</v>
      </c>
      <c r="L21" s="13">
        <f t="shared" si="17"/>
        <v>80</v>
      </c>
      <c r="M21" s="13">
        <f t="shared" si="17"/>
        <v>168</v>
      </c>
      <c r="N21" s="13">
        <f t="shared" si="17"/>
        <v>132</v>
      </c>
      <c r="O21" s="7">
        <f t="shared" si="17"/>
        <v>116</v>
      </c>
      <c r="P21" s="13">
        <f t="shared" si="17"/>
        <v>84</v>
      </c>
      <c r="Q21" s="13">
        <f t="shared" si="17"/>
        <v>108</v>
      </c>
      <c r="R21" s="13">
        <f t="shared" si="17"/>
        <v>0</v>
      </c>
      <c r="S21" s="13">
        <f t="shared" ref="S21" si="19">S17+S19</f>
        <v>42</v>
      </c>
      <c r="T21" s="13">
        <f t="shared" si="17"/>
        <v>84</v>
      </c>
      <c r="U21" s="13">
        <f t="shared" si="17"/>
        <v>166</v>
      </c>
      <c r="V21" s="7">
        <f t="shared" si="17"/>
        <v>49</v>
      </c>
      <c r="W21" s="13">
        <f t="shared" si="17"/>
        <v>76</v>
      </c>
      <c r="X21" s="13">
        <f t="shared" si="17"/>
        <v>56</v>
      </c>
      <c r="Y21" s="13">
        <f t="shared" si="17"/>
        <v>112</v>
      </c>
      <c r="Z21" s="13">
        <f t="shared" si="17"/>
        <v>60</v>
      </c>
      <c r="AA21" s="13">
        <f t="shared" si="17"/>
        <v>86</v>
      </c>
      <c r="AB21" s="13">
        <f t="shared" si="17"/>
        <v>91</v>
      </c>
      <c r="AC21" s="7">
        <f t="shared" si="17"/>
        <v>0</v>
      </c>
      <c r="AD21" s="13">
        <f t="shared" si="17"/>
        <v>0</v>
      </c>
      <c r="AE21" s="13">
        <f t="shared" si="17"/>
        <v>60</v>
      </c>
      <c r="AF21" s="13">
        <f t="shared" si="17"/>
        <v>19</v>
      </c>
      <c r="AG21" s="13">
        <f t="shared" si="17"/>
        <v>124</v>
      </c>
      <c r="AH21" s="13">
        <f t="shared" si="17"/>
        <v>124</v>
      </c>
      <c r="AI21" s="13">
        <f t="shared" si="17"/>
        <v>84</v>
      </c>
    </row>
    <row r="22" spans="1:35" ht="13">
      <c r="A22" s="111"/>
      <c r="B22" s="114" t="s">
        <v>20</v>
      </c>
      <c r="C22" s="115"/>
      <c r="D22" s="25"/>
      <c r="E22" s="26"/>
      <c r="F22" s="26">
        <v>120</v>
      </c>
      <c r="G22" s="26">
        <v>150</v>
      </c>
      <c r="H22" s="26"/>
      <c r="I22" s="26"/>
      <c r="J22" s="26">
        <v>400</v>
      </c>
      <c r="K22" s="26">
        <v>400</v>
      </c>
      <c r="L22" s="26">
        <v>90</v>
      </c>
      <c r="M22" s="26">
        <v>90</v>
      </c>
      <c r="N22" s="26"/>
      <c r="O22" s="26">
        <v>90</v>
      </c>
      <c r="P22" s="26">
        <v>60</v>
      </c>
      <c r="Q22" s="26">
        <v>120</v>
      </c>
      <c r="R22" s="26"/>
      <c r="S22" s="26"/>
      <c r="T22" s="26">
        <v>210</v>
      </c>
      <c r="U22" s="26">
        <v>120</v>
      </c>
      <c r="V22" s="26"/>
      <c r="W22" s="26">
        <v>120</v>
      </c>
      <c r="X22" s="26">
        <v>450</v>
      </c>
      <c r="Y22" s="26">
        <v>180</v>
      </c>
      <c r="Z22" s="26">
        <v>150</v>
      </c>
      <c r="AA22" s="26">
        <v>210</v>
      </c>
      <c r="AB22" s="26">
        <v>60</v>
      </c>
      <c r="AC22" s="26"/>
      <c r="AD22" s="26"/>
      <c r="AE22" s="26">
        <v>180</v>
      </c>
      <c r="AF22" s="26">
        <v>450</v>
      </c>
      <c r="AG22" s="26">
        <v>240</v>
      </c>
      <c r="AH22" s="26">
        <v>120</v>
      </c>
      <c r="AI22" s="26">
        <v>210</v>
      </c>
    </row>
    <row r="23" spans="1:35" s="21" customFormat="1" ht="39">
      <c r="A23" s="111"/>
      <c r="B23" s="14"/>
      <c r="C23" s="14" t="s">
        <v>13</v>
      </c>
      <c r="D23" s="14"/>
      <c r="E23" s="30"/>
      <c r="F23" s="30" t="s">
        <v>157</v>
      </c>
      <c r="G23" s="30" t="s">
        <v>41</v>
      </c>
      <c r="H23" s="44"/>
      <c r="I23" s="30"/>
      <c r="J23" s="30" t="s">
        <v>163</v>
      </c>
      <c r="K23" s="30" t="s">
        <v>169</v>
      </c>
      <c r="L23" s="30"/>
      <c r="M23" s="30" t="s">
        <v>175</v>
      </c>
      <c r="N23" s="30" t="s">
        <v>175</v>
      </c>
      <c r="O23" s="44" t="s">
        <v>149</v>
      </c>
      <c r="P23" s="30" t="s">
        <v>149</v>
      </c>
      <c r="Q23" s="30" t="s">
        <v>179</v>
      </c>
      <c r="R23" s="30"/>
      <c r="S23" s="30" t="s">
        <v>180</v>
      </c>
      <c r="T23" s="30" t="s">
        <v>182</v>
      </c>
      <c r="U23" s="30"/>
      <c r="V23" s="44" t="s">
        <v>183</v>
      </c>
      <c r="W23" s="41" t="s">
        <v>183</v>
      </c>
      <c r="X23" s="41" t="s">
        <v>183</v>
      </c>
      <c r="Y23" s="41" t="s">
        <v>183</v>
      </c>
      <c r="Z23" s="41" t="s">
        <v>183</v>
      </c>
      <c r="AA23" s="41" t="s">
        <v>185</v>
      </c>
      <c r="AB23" s="41" t="s">
        <v>185</v>
      </c>
      <c r="AC23" s="41"/>
      <c r="AD23" s="41"/>
      <c r="AE23" s="41" t="s">
        <v>182</v>
      </c>
      <c r="AF23" s="41" t="s">
        <v>188</v>
      </c>
      <c r="AG23" s="41"/>
      <c r="AH23" s="41" t="s">
        <v>15</v>
      </c>
      <c r="AI23" s="30" t="s">
        <v>190</v>
      </c>
    </row>
    <row r="24" spans="1:35" ht="13">
      <c r="A24" s="111" t="s">
        <v>17</v>
      </c>
      <c r="B24" s="112" t="s">
        <v>8</v>
      </c>
      <c r="C24" s="4" t="s">
        <v>9</v>
      </c>
      <c r="D24" s="22">
        <f t="shared" ref="D24:D27" si="20">SUM(E24:AI24)</f>
        <v>6650</v>
      </c>
      <c r="E24" s="13"/>
      <c r="F24" s="13">
        <v>280</v>
      </c>
      <c r="G24" s="13">
        <v>280</v>
      </c>
      <c r="H24" s="11"/>
      <c r="I24" s="13">
        <v>280</v>
      </c>
      <c r="J24" s="13">
        <v>280</v>
      </c>
      <c r="K24" s="13">
        <v>280</v>
      </c>
      <c r="L24" s="13">
        <v>280</v>
      </c>
      <c r="M24" s="13">
        <v>280</v>
      </c>
      <c r="N24" s="13">
        <v>280</v>
      </c>
      <c r="O24" s="11">
        <v>252</v>
      </c>
      <c r="P24" s="10">
        <v>252</v>
      </c>
      <c r="Q24" s="10">
        <v>252</v>
      </c>
      <c r="R24" s="10"/>
      <c r="S24" s="10">
        <v>126</v>
      </c>
      <c r="T24" s="10">
        <v>252</v>
      </c>
      <c r="U24" s="10">
        <v>252</v>
      </c>
      <c r="V24" s="11">
        <v>252</v>
      </c>
      <c r="W24" s="10">
        <v>252</v>
      </c>
      <c r="X24" s="10">
        <v>252</v>
      </c>
      <c r="Y24" s="10">
        <v>252</v>
      </c>
      <c r="Z24" s="10">
        <v>252</v>
      </c>
      <c r="AA24" s="10">
        <v>252</v>
      </c>
      <c r="AB24" s="10">
        <v>252</v>
      </c>
      <c r="AC24" s="11"/>
      <c r="AD24" s="10"/>
      <c r="AE24" s="10">
        <v>252</v>
      </c>
      <c r="AF24" s="10">
        <v>252</v>
      </c>
      <c r="AG24" s="10">
        <v>252</v>
      </c>
      <c r="AH24" s="10">
        <v>252</v>
      </c>
      <c r="AI24" s="10">
        <v>252</v>
      </c>
    </row>
    <row r="25" spans="1:35" ht="13">
      <c r="A25" s="111"/>
      <c r="B25" s="112"/>
      <c r="C25" s="4" t="s">
        <v>10</v>
      </c>
      <c r="D25" s="22">
        <f t="shared" si="20"/>
        <v>5967</v>
      </c>
      <c r="E25" s="13"/>
      <c r="F25" s="13">
        <v>154</v>
      </c>
      <c r="G25" s="13">
        <v>168</v>
      </c>
      <c r="H25" s="11"/>
      <c r="I25" s="10">
        <v>238</v>
      </c>
      <c r="J25" s="10">
        <v>266</v>
      </c>
      <c r="K25" s="10">
        <v>252</v>
      </c>
      <c r="L25" s="10">
        <v>238</v>
      </c>
      <c r="M25" s="10">
        <v>238</v>
      </c>
      <c r="N25" s="10">
        <v>182</v>
      </c>
      <c r="O25" s="11">
        <v>238</v>
      </c>
      <c r="P25" s="10">
        <v>238</v>
      </c>
      <c r="Q25" s="10">
        <v>196</v>
      </c>
      <c r="R25" s="10"/>
      <c r="S25" s="10">
        <v>84</v>
      </c>
      <c r="T25" s="10">
        <v>224</v>
      </c>
      <c r="U25" s="10">
        <f>182+56</f>
        <v>238</v>
      </c>
      <c r="V25" s="11">
        <v>294</v>
      </c>
      <c r="W25" s="10">
        <v>266</v>
      </c>
      <c r="X25" s="10">
        <v>266</v>
      </c>
      <c r="Y25" s="10">
        <v>266</v>
      </c>
      <c r="Z25" s="10">
        <v>224</v>
      </c>
      <c r="AA25" s="10">
        <v>224</v>
      </c>
      <c r="AB25" s="10">
        <v>238</v>
      </c>
      <c r="AC25" s="11"/>
      <c r="AD25" s="10"/>
      <c r="AE25" s="10">
        <v>280</v>
      </c>
      <c r="AF25" s="10">
        <f>115+28+28+56</f>
        <v>227</v>
      </c>
      <c r="AG25" s="10">
        <v>238</v>
      </c>
      <c r="AH25" s="10">
        <v>252</v>
      </c>
      <c r="AI25" s="10">
        <v>238</v>
      </c>
    </row>
    <row r="26" spans="1:35">
      <c r="A26" s="111"/>
      <c r="B26" s="113" t="s">
        <v>11</v>
      </c>
      <c r="C26" s="5" t="s">
        <v>9</v>
      </c>
      <c r="D26" s="19">
        <f t="shared" si="20"/>
        <v>3662</v>
      </c>
      <c r="E26" s="12"/>
      <c r="F26" s="12"/>
      <c r="G26" s="12"/>
      <c r="H26" s="11"/>
      <c r="I26" s="12"/>
      <c r="J26" s="12"/>
      <c r="K26" s="12">
        <v>140</v>
      </c>
      <c r="L26" s="12">
        <v>140</v>
      </c>
      <c r="M26" s="12"/>
      <c r="N26" s="12">
        <v>168</v>
      </c>
      <c r="O26" s="11">
        <v>252</v>
      </c>
      <c r="P26" s="12">
        <f>30*11</f>
        <v>330</v>
      </c>
      <c r="Q26" s="12">
        <v>252</v>
      </c>
      <c r="R26" s="12"/>
      <c r="S26" s="12"/>
      <c r="T26" s="12"/>
      <c r="U26" s="12">
        <v>252</v>
      </c>
      <c r="V26" s="11">
        <v>252</v>
      </c>
      <c r="W26" s="12">
        <v>252</v>
      </c>
      <c r="X26" s="12">
        <v>126</v>
      </c>
      <c r="Y26" s="12">
        <v>252</v>
      </c>
      <c r="Z26" s="12">
        <v>252</v>
      </c>
      <c r="AA26" s="12">
        <v>126</v>
      </c>
      <c r="AB26" s="12"/>
      <c r="AC26" s="11"/>
      <c r="AD26" s="12"/>
      <c r="AE26" s="12"/>
      <c r="AF26" s="12">
        <v>252</v>
      </c>
      <c r="AG26" s="12">
        <v>252</v>
      </c>
      <c r="AH26" s="12">
        <f>140</f>
        <v>140</v>
      </c>
      <c r="AI26" s="12">
        <f>16*14</f>
        <v>224</v>
      </c>
    </row>
    <row r="27" spans="1:35">
      <c r="A27" s="111"/>
      <c r="B27" s="113"/>
      <c r="C27" s="5" t="s">
        <v>10</v>
      </c>
      <c r="D27" s="19">
        <f t="shared" si="20"/>
        <v>2408</v>
      </c>
      <c r="E27" s="12"/>
      <c r="F27" s="12"/>
      <c r="G27" s="12"/>
      <c r="H27" s="11"/>
      <c r="I27" s="12"/>
      <c r="J27" s="12"/>
      <c r="K27" s="12">
        <v>42</v>
      </c>
      <c r="L27" s="12">
        <v>56</v>
      </c>
      <c r="M27" s="12">
        <v>42</v>
      </c>
      <c r="N27" s="12">
        <v>126</v>
      </c>
      <c r="O27" s="11">
        <v>140</v>
      </c>
      <c r="P27" s="12">
        <f>42+112+56+42</f>
        <v>252</v>
      </c>
      <c r="Q27" s="12">
        <v>154</v>
      </c>
      <c r="R27" s="12"/>
      <c r="S27" s="12"/>
      <c r="T27" s="12"/>
      <c r="U27" s="12">
        <f>84+56+56</f>
        <v>196</v>
      </c>
      <c r="V27" s="11">
        <v>182</v>
      </c>
      <c r="W27" s="12">
        <f>84+42+42+28+14</f>
        <v>210</v>
      </c>
      <c r="X27" s="12">
        <v>56</v>
      </c>
      <c r="Y27" s="12">
        <v>70</v>
      </c>
      <c r="Z27" s="12">
        <v>140</v>
      </c>
      <c r="AA27" s="12">
        <v>84</v>
      </c>
      <c r="AB27" s="12"/>
      <c r="AC27" s="11">
        <v>14</v>
      </c>
      <c r="AD27" s="12"/>
      <c r="AE27" s="12">
        <v>70</v>
      </c>
      <c r="AF27" s="12">
        <f>126+28+56+14+14</f>
        <v>238</v>
      </c>
      <c r="AG27" s="12">
        <v>112</v>
      </c>
      <c r="AH27" s="12">
        <v>98</v>
      </c>
      <c r="AI27" s="12">
        <v>126</v>
      </c>
    </row>
    <row r="28" spans="1:35" ht="13">
      <c r="A28" s="111"/>
      <c r="B28" s="112" t="s">
        <v>12</v>
      </c>
      <c r="C28" s="4" t="s">
        <v>9</v>
      </c>
      <c r="D28" s="22">
        <f t="shared" si="12"/>
        <v>10312</v>
      </c>
      <c r="E28" s="13">
        <f t="shared" ref="E28:AI29" si="21">E24+E26</f>
        <v>0</v>
      </c>
      <c r="F28" s="13">
        <f t="shared" si="21"/>
        <v>280</v>
      </c>
      <c r="G28" s="13">
        <f t="shared" si="21"/>
        <v>280</v>
      </c>
      <c r="H28" s="7">
        <f t="shared" si="21"/>
        <v>0</v>
      </c>
      <c r="I28" s="13">
        <f t="shared" si="21"/>
        <v>280</v>
      </c>
      <c r="J28" s="13">
        <f t="shared" si="21"/>
        <v>280</v>
      </c>
      <c r="K28" s="13">
        <f t="shared" si="21"/>
        <v>420</v>
      </c>
      <c r="L28" s="13">
        <f t="shared" si="21"/>
        <v>420</v>
      </c>
      <c r="M28" s="13">
        <f t="shared" si="21"/>
        <v>280</v>
      </c>
      <c r="N28" s="13">
        <f t="shared" si="21"/>
        <v>448</v>
      </c>
      <c r="O28" s="7">
        <f t="shared" si="21"/>
        <v>504</v>
      </c>
      <c r="P28" s="13">
        <f t="shared" si="21"/>
        <v>582</v>
      </c>
      <c r="Q28" s="13">
        <f t="shared" si="21"/>
        <v>504</v>
      </c>
      <c r="R28" s="13">
        <f t="shared" si="21"/>
        <v>0</v>
      </c>
      <c r="S28" s="13">
        <f t="shared" ref="S28" si="22">S24+S26</f>
        <v>126</v>
      </c>
      <c r="T28" s="13">
        <f t="shared" si="21"/>
        <v>252</v>
      </c>
      <c r="U28" s="13">
        <f t="shared" si="21"/>
        <v>504</v>
      </c>
      <c r="V28" s="7">
        <f t="shared" si="21"/>
        <v>504</v>
      </c>
      <c r="W28" s="13">
        <f t="shared" si="21"/>
        <v>504</v>
      </c>
      <c r="X28" s="13">
        <f t="shared" si="21"/>
        <v>378</v>
      </c>
      <c r="Y28" s="13">
        <f t="shared" si="21"/>
        <v>504</v>
      </c>
      <c r="Z28" s="13">
        <f t="shared" si="21"/>
        <v>504</v>
      </c>
      <c r="AA28" s="13">
        <f t="shared" si="21"/>
        <v>378</v>
      </c>
      <c r="AB28" s="13">
        <f t="shared" si="21"/>
        <v>252</v>
      </c>
      <c r="AC28" s="7">
        <f t="shared" si="21"/>
        <v>0</v>
      </c>
      <c r="AD28" s="13">
        <f t="shared" si="21"/>
        <v>0</v>
      </c>
      <c r="AE28" s="13">
        <f t="shared" si="21"/>
        <v>252</v>
      </c>
      <c r="AF28" s="13">
        <f t="shared" si="21"/>
        <v>504</v>
      </c>
      <c r="AG28" s="13">
        <f t="shared" si="21"/>
        <v>504</v>
      </c>
      <c r="AH28" s="13">
        <f t="shared" si="21"/>
        <v>392</v>
      </c>
      <c r="AI28" s="13">
        <f t="shared" si="21"/>
        <v>476</v>
      </c>
    </row>
    <row r="29" spans="1:35" ht="13">
      <c r="A29" s="111"/>
      <c r="B29" s="112"/>
      <c r="C29" s="4" t="s">
        <v>10</v>
      </c>
      <c r="D29" s="22">
        <f t="shared" si="12"/>
        <v>8375</v>
      </c>
      <c r="E29" s="13">
        <f t="shared" si="21"/>
        <v>0</v>
      </c>
      <c r="F29" s="13">
        <f t="shared" si="21"/>
        <v>154</v>
      </c>
      <c r="G29" s="13">
        <f t="shared" si="21"/>
        <v>168</v>
      </c>
      <c r="H29" s="7">
        <f t="shared" si="21"/>
        <v>0</v>
      </c>
      <c r="I29" s="13">
        <f t="shared" si="21"/>
        <v>238</v>
      </c>
      <c r="J29" s="13">
        <f t="shared" si="21"/>
        <v>266</v>
      </c>
      <c r="K29" s="13">
        <f t="shared" si="21"/>
        <v>294</v>
      </c>
      <c r="L29" s="13">
        <f t="shared" si="21"/>
        <v>294</v>
      </c>
      <c r="M29" s="13">
        <f t="shared" si="21"/>
        <v>280</v>
      </c>
      <c r="N29" s="13">
        <f t="shared" si="21"/>
        <v>308</v>
      </c>
      <c r="O29" s="7">
        <f t="shared" si="21"/>
        <v>378</v>
      </c>
      <c r="P29" s="13">
        <f t="shared" si="21"/>
        <v>490</v>
      </c>
      <c r="Q29" s="13">
        <f t="shared" si="21"/>
        <v>350</v>
      </c>
      <c r="R29" s="13">
        <f t="shared" si="21"/>
        <v>0</v>
      </c>
      <c r="S29" s="13">
        <f t="shared" ref="S29" si="23">S25+S27</f>
        <v>84</v>
      </c>
      <c r="T29" s="13">
        <f t="shared" si="21"/>
        <v>224</v>
      </c>
      <c r="U29" s="13">
        <f t="shared" si="21"/>
        <v>434</v>
      </c>
      <c r="V29" s="7">
        <f t="shared" si="21"/>
        <v>476</v>
      </c>
      <c r="W29" s="13">
        <f t="shared" si="21"/>
        <v>476</v>
      </c>
      <c r="X29" s="13">
        <f t="shared" si="21"/>
        <v>322</v>
      </c>
      <c r="Y29" s="13">
        <f t="shared" si="21"/>
        <v>336</v>
      </c>
      <c r="Z29" s="13">
        <f t="shared" si="21"/>
        <v>364</v>
      </c>
      <c r="AA29" s="13">
        <f t="shared" si="21"/>
        <v>308</v>
      </c>
      <c r="AB29" s="13">
        <f t="shared" si="21"/>
        <v>238</v>
      </c>
      <c r="AC29" s="7">
        <f t="shared" si="21"/>
        <v>14</v>
      </c>
      <c r="AD29" s="13">
        <f t="shared" si="21"/>
        <v>0</v>
      </c>
      <c r="AE29" s="13">
        <f t="shared" si="21"/>
        <v>350</v>
      </c>
      <c r="AF29" s="13">
        <f t="shared" si="21"/>
        <v>465</v>
      </c>
      <c r="AG29" s="13">
        <f t="shared" si="21"/>
        <v>350</v>
      </c>
      <c r="AH29" s="13">
        <f t="shared" si="21"/>
        <v>350</v>
      </c>
      <c r="AI29" s="13">
        <f t="shared" si="21"/>
        <v>364</v>
      </c>
    </row>
    <row r="30" spans="1:35" ht="13">
      <c r="A30" s="111"/>
      <c r="B30" s="114" t="s">
        <v>20</v>
      </c>
      <c r="C30" s="115"/>
      <c r="D30" s="25">
        <f t="shared" si="12"/>
        <v>2700</v>
      </c>
      <c r="E30" s="26"/>
      <c r="F30" s="26">
        <v>180</v>
      </c>
      <c r="G30" s="26">
        <v>210</v>
      </c>
      <c r="H30" s="26"/>
      <c r="I30" s="26">
        <v>60</v>
      </c>
      <c r="J30" s="26"/>
      <c r="K30" s="26"/>
      <c r="L30" s="26">
        <v>240</v>
      </c>
      <c r="M30" s="26"/>
      <c r="N30" s="26">
        <v>180</v>
      </c>
      <c r="O30" s="26">
        <v>180</v>
      </c>
      <c r="P30" s="26"/>
      <c r="Q30" s="26">
        <v>180</v>
      </c>
      <c r="R30" s="26"/>
      <c r="S30" s="26"/>
      <c r="T30" s="26"/>
      <c r="U30" s="26">
        <v>180</v>
      </c>
      <c r="V30" s="26"/>
      <c r="W30" s="26"/>
      <c r="X30" s="26">
        <v>240</v>
      </c>
      <c r="Y30" s="26">
        <v>180</v>
      </c>
      <c r="Z30" s="26">
        <v>180</v>
      </c>
      <c r="AA30" s="26">
        <v>180</v>
      </c>
      <c r="AB30" s="26"/>
      <c r="AC30" s="26"/>
      <c r="AD30" s="26"/>
      <c r="AE30" s="26"/>
      <c r="AF30" s="26"/>
      <c r="AG30" s="26">
        <v>210</v>
      </c>
      <c r="AH30" s="26">
        <v>150</v>
      </c>
      <c r="AI30" s="26">
        <v>150</v>
      </c>
    </row>
    <row r="31" spans="1:35" s="21" customFormat="1" ht="42" customHeight="1">
      <c r="A31" s="111"/>
      <c r="B31" s="14"/>
      <c r="C31" s="14" t="s">
        <v>13</v>
      </c>
      <c r="D31" s="14"/>
      <c r="E31" s="30"/>
      <c r="F31" s="30" t="s">
        <v>157</v>
      </c>
      <c r="G31" s="30" t="s">
        <v>157</v>
      </c>
      <c r="H31" s="44"/>
      <c r="I31" s="30" t="s">
        <v>162</v>
      </c>
      <c r="J31" s="30"/>
      <c r="K31" s="30" t="s">
        <v>170</v>
      </c>
      <c r="L31" s="30" t="s">
        <v>171</v>
      </c>
      <c r="M31" s="30"/>
      <c r="N31" s="30" t="s">
        <v>177</v>
      </c>
      <c r="O31" s="44" t="s">
        <v>178</v>
      </c>
      <c r="P31" s="30"/>
      <c r="Q31" s="30" t="s">
        <v>173</v>
      </c>
      <c r="R31" s="30" t="s">
        <v>181</v>
      </c>
      <c r="S31" s="30" t="s">
        <v>181</v>
      </c>
      <c r="T31" s="30"/>
      <c r="U31" s="30" t="s">
        <v>178</v>
      </c>
      <c r="V31" s="44" t="s">
        <v>178</v>
      </c>
      <c r="W31" s="41"/>
      <c r="X31" s="41" t="s">
        <v>194</v>
      </c>
      <c r="Y31" s="41" t="s">
        <v>194</v>
      </c>
      <c r="Z31" s="62" t="s">
        <v>184</v>
      </c>
      <c r="AA31" s="41" t="s">
        <v>194</v>
      </c>
      <c r="AB31" s="30"/>
      <c r="AC31" s="44"/>
      <c r="AD31" s="30"/>
      <c r="AE31" s="41" t="s">
        <v>134</v>
      </c>
      <c r="AF31" s="30"/>
      <c r="AG31" s="30" t="s">
        <v>191</v>
      </c>
      <c r="AH31" s="30" t="s">
        <v>187</v>
      </c>
      <c r="AI31" s="30" t="s">
        <v>173</v>
      </c>
    </row>
    <row r="32" spans="1:35">
      <c r="A32" s="36"/>
    </row>
    <row r="33" spans="1:35" ht="14">
      <c r="A33" s="37"/>
      <c r="B33" s="38"/>
      <c r="C33" s="38"/>
      <c r="D33" s="39"/>
      <c r="E33" s="39"/>
      <c r="F33" s="39"/>
      <c r="G33" s="39"/>
      <c r="H33" s="39"/>
      <c r="I33" s="39"/>
      <c r="J33" s="39"/>
      <c r="K33" s="39"/>
      <c r="L33" s="42"/>
      <c r="M33" s="42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42"/>
      <c r="AC33" s="39"/>
      <c r="AD33" s="39"/>
      <c r="AE33" s="39"/>
      <c r="AF33" s="39"/>
      <c r="AG33" s="39"/>
      <c r="AH33" s="39"/>
      <c r="AI33" s="39"/>
    </row>
    <row r="34" spans="1:35" ht="13">
      <c r="C34" s="5"/>
      <c r="D34" s="24" t="s">
        <v>18</v>
      </c>
      <c r="E34" s="8">
        <v>46023</v>
      </c>
      <c r="F34" s="8">
        <f>E34+1</f>
        <v>46024</v>
      </c>
      <c r="G34" s="8">
        <f>F34+1</f>
        <v>46025</v>
      </c>
      <c r="H34" s="31">
        <f t="shared" ref="H34:AI34" si="24">G34+1</f>
        <v>46026</v>
      </c>
      <c r="I34" s="8">
        <f t="shared" si="24"/>
        <v>46027</v>
      </c>
      <c r="J34" s="8">
        <f t="shared" si="24"/>
        <v>46028</v>
      </c>
      <c r="K34" s="8">
        <f t="shared" si="24"/>
        <v>46029</v>
      </c>
      <c r="L34" s="8">
        <f t="shared" si="24"/>
        <v>46030</v>
      </c>
      <c r="M34" s="8">
        <f t="shared" si="24"/>
        <v>46031</v>
      </c>
      <c r="N34" s="8">
        <f t="shared" si="24"/>
        <v>46032</v>
      </c>
      <c r="O34" s="31">
        <f t="shared" si="24"/>
        <v>46033</v>
      </c>
      <c r="P34" s="8">
        <f t="shared" si="24"/>
        <v>46034</v>
      </c>
      <c r="Q34" s="8">
        <f t="shared" si="24"/>
        <v>46035</v>
      </c>
      <c r="R34" s="8">
        <f t="shared" si="24"/>
        <v>46036</v>
      </c>
      <c r="S34" s="8">
        <f t="shared" si="24"/>
        <v>46037</v>
      </c>
      <c r="T34" s="8">
        <f t="shared" si="24"/>
        <v>46038</v>
      </c>
      <c r="U34" s="8">
        <f t="shared" si="24"/>
        <v>46039</v>
      </c>
      <c r="V34" s="31">
        <f t="shared" si="24"/>
        <v>46040</v>
      </c>
      <c r="W34" s="8">
        <f t="shared" si="24"/>
        <v>46041</v>
      </c>
      <c r="X34" s="8">
        <f t="shared" si="24"/>
        <v>46042</v>
      </c>
      <c r="Y34" s="8">
        <f t="shared" si="24"/>
        <v>46043</v>
      </c>
      <c r="Z34" s="8">
        <f t="shared" si="24"/>
        <v>46044</v>
      </c>
      <c r="AA34" s="8">
        <f t="shared" si="24"/>
        <v>46045</v>
      </c>
      <c r="AB34" s="8">
        <f t="shared" si="24"/>
        <v>46046</v>
      </c>
      <c r="AC34" s="31">
        <f t="shared" si="24"/>
        <v>46047</v>
      </c>
      <c r="AD34" s="8">
        <f t="shared" si="24"/>
        <v>46048</v>
      </c>
      <c r="AE34" s="8">
        <f t="shared" si="24"/>
        <v>46049</v>
      </c>
      <c r="AF34" s="8">
        <f t="shared" si="24"/>
        <v>46050</v>
      </c>
      <c r="AG34" s="8">
        <f t="shared" si="24"/>
        <v>46051</v>
      </c>
      <c r="AH34" s="8">
        <f t="shared" si="24"/>
        <v>46052</v>
      </c>
      <c r="AI34" s="8">
        <f t="shared" si="24"/>
        <v>46053</v>
      </c>
    </row>
    <row r="35" spans="1:35" ht="13">
      <c r="C35" s="3" t="s">
        <v>24</v>
      </c>
      <c r="D35" s="16">
        <f>SUM(E35:AI35)</f>
        <v>0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ht="13">
      <c r="C36" s="3" t="s">
        <v>25</v>
      </c>
      <c r="D36" s="16">
        <f t="shared" ref="D36:D41" si="25">SUM(E36:AI36)</f>
        <v>0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spans="1:35" s="21" customFormat="1" ht="13">
      <c r="B37" s="21">
        <v>7</v>
      </c>
      <c r="C37" s="30" t="s">
        <v>192</v>
      </c>
      <c r="D37" s="62">
        <f t="shared" si="25"/>
        <v>4390</v>
      </c>
      <c r="E37" s="63">
        <f>E14</f>
        <v>0</v>
      </c>
      <c r="F37" s="63">
        <f t="shared" ref="F37:AI37" si="26">F14</f>
        <v>180</v>
      </c>
      <c r="G37" s="63">
        <f t="shared" si="26"/>
        <v>210</v>
      </c>
      <c r="H37" s="63">
        <f t="shared" si="26"/>
        <v>0</v>
      </c>
      <c r="I37" s="63">
        <f t="shared" si="26"/>
        <v>180</v>
      </c>
      <c r="J37" s="63">
        <f t="shared" si="26"/>
        <v>90</v>
      </c>
      <c r="K37" s="63">
        <f t="shared" si="26"/>
        <v>90</v>
      </c>
      <c r="L37" s="63">
        <f t="shared" si="26"/>
        <v>90</v>
      </c>
      <c r="M37" s="63">
        <f t="shared" si="26"/>
        <v>120</v>
      </c>
      <c r="N37" s="63">
        <f t="shared" si="26"/>
        <v>180</v>
      </c>
      <c r="O37" s="63">
        <f t="shared" si="26"/>
        <v>240</v>
      </c>
      <c r="P37" s="63">
        <f t="shared" si="26"/>
        <v>360</v>
      </c>
      <c r="Q37" s="63">
        <f t="shared" si="26"/>
        <v>210</v>
      </c>
      <c r="R37" s="63">
        <f t="shared" si="26"/>
        <v>0</v>
      </c>
      <c r="S37" s="63">
        <f t="shared" si="26"/>
        <v>0</v>
      </c>
      <c r="T37" s="63">
        <f t="shared" si="26"/>
        <v>300</v>
      </c>
      <c r="U37" s="63">
        <f t="shared" si="26"/>
        <v>400</v>
      </c>
      <c r="V37" s="63">
        <f t="shared" si="26"/>
        <v>0</v>
      </c>
      <c r="W37" s="63">
        <f t="shared" si="26"/>
        <v>180</v>
      </c>
      <c r="X37" s="63">
        <f t="shared" si="26"/>
        <v>90</v>
      </c>
      <c r="Y37" s="63">
        <f t="shared" si="26"/>
        <v>150</v>
      </c>
      <c r="Z37" s="63">
        <f t="shared" si="26"/>
        <v>120</v>
      </c>
      <c r="AA37" s="63">
        <f t="shared" si="26"/>
        <v>120</v>
      </c>
      <c r="AB37" s="63">
        <f t="shared" si="26"/>
        <v>90</v>
      </c>
      <c r="AC37" s="63">
        <f t="shared" si="26"/>
        <v>210</v>
      </c>
      <c r="AD37" s="63">
        <f t="shared" si="26"/>
        <v>0</v>
      </c>
      <c r="AE37" s="63">
        <f t="shared" si="26"/>
        <v>180</v>
      </c>
      <c r="AF37" s="63">
        <f t="shared" si="26"/>
        <v>150</v>
      </c>
      <c r="AG37" s="63">
        <f t="shared" si="26"/>
        <v>150</v>
      </c>
      <c r="AH37" s="63">
        <f t="shared" si="26"/>
        <v>210</v>
      </c>
      <c r="AI37" s="63">
        <f t="shared" si="26"/>
        <v>90</v>
      </c>
    </row>
    <row r="38" spans="1:35" s="21" customFormat="1" ht="62.5">
      <c r="C38" s="30" t="s">
        <v>13</v>
      </c>
      <c r="D38" s="62"/>
      <c r="E38" s="63">
        <f>E15</f>
        <v>0</v>
      </c>
      <c r="F38" s="63" t="str">
        <f t="shared" ref="F38:AI38" si="27">F15</f>
        <v>Sensor problem and non availability of empty trolley</v>
      </c>
      <c r="G38" s="63" t="str">
        <f t="shared" si="27"/>
        <v>Sensor problem and non availability of empty trolley</v>
      </c>
      <c r="H38" s="63">
        <f t="shared" si="27"/>
        <v>0</v>
      </c>
      <c r="I38" s="63" t="str">
        <f t="shared" si="27"/>
        <v>Glue flow Issue</v>
      </c>
      <c r="J38" s="63" t="str">
        <f t="shared" si="27"/>
        <v>Glue flow Issue and new manpower</v>
      </c>
      <c r="K38" s="63" t="str">
        <f t="shared" si="27"/>
        <v>Glue flow Issue , sensor issue and new manpower</v>
      </c>
      <c r="L38" s="63" t="str">
        <f t="shared" si="27"/>
        <v>Glue flow Issue , sensor issue and new manpower</v>
      </c>
      <c r="M38" s="63" t="str">
        <f t="shared" si="27"/>
        <v>Machine Breakdown</v>
      </c>
      <c r="N38" s="63" t="str">
        <f t="shared" si="27"/>
        <v>Machine Breakdown</v>
      </c>
      <c r="O38" s="63" t="str">
        <f t="shared" si="27"/>
        <v>Machine Breakdown</v>
      </c>
      <c r="P38" s="63" t="str">
        <f t="shared" si="27"/>
        <v>Machine Breakdown</v>
      </c>
      <c r="Q38" s="63" t="str">
        <f t="shared" si="27"/>
        <v>Machine Breakdown/Sensor Issue</v>
      </c>
      <c r="R38" s="63">
        <f t="shared" si="27"/>
        <v>0</v>
      </c>
      <c r="S38" s="63" t="str">
        <f t="shared" si="27"/>
        <v>Machine under repairing</v>
      </c>
      <c r="T38" s="63" t="str">
        <f t="shared" si="27"/>
        <v>Glue gun breakdown</v>
      </c>
      <c r="U38" s="63" t="str">
        <f t="shared" si="27"/>
        <v>Glue gun breakdown</v>
      </c>
      <c r="V38" s="63" t="str">
        <f t="shared" si="27"/>
        <v>Glue gun Issue</v>
      </c>
      <c r="W38" s="63" t="str">
        <f t="shared" si="27"/>
        <v>Glue gun Issue</v>
      </c>
      <c r="X38" s="63" t="str">
        <f t="shared" si="27"/>
        <v>Glue gun Issue</v>
      </c>
      <c r="Y38" s="63" t="str">
        <f t="shared" si="27"/>
        <v>Glue gun Issue</v>
      </c>
      <c r="Z38" s="63" t="str">
        <f t="shared" si="27"/>
        <v>Glue gun Issue</v>
      </c>
      <c r="AA38" s="63" t="str">
        <f t="shared" si="27"/>
        <v>A+4 
( Glue gun Issue)</v>
      </c>
      <c r="AB38" s="63" t="str">
        <f t="shared" si="27"/>
        <v>Glue gun Issue</v>
      </c>
      <c r="AC38" s="63" t="str">
        <f t="shared" si="27"/>
        <v>Glue gun Issue</v>
      </c>
      <c r="AD38" s="63">
        <f t="shared" si="27"/>
        <v>0</v>
      </c>
      <c r="AE38" s="63" t="str">
        <f t="shared" si="27"/>
        <v>(A+4) Glue gun Issue</v>
      </c>
      <c r="AF38" s="63" t="str">
        <f t="shared" si="27"/>
        <v>Glue floww issue</v>
      </c>
      <c r="AG38" s="63">
        <f t="shared" si="27"/>
        <v>0</v>
      </c>
      <c r="AH38" s="63" t="str">
        <f t="shared" si="27"/>
        <v>Machine breakdown</v>
      </c>
      <c r="AI38" s="63" t="str">
        <f t="shared" si="27"/>
        <v>Glue floww issue</v>
      </c>
    </row>
    <row r="39" spans="1:35" s="21" customFormat="1" ht="13">
      <c r="B39" s="21">
        <v>6</v>
      </c>
      <c r="C39" s="30" t="s">
        <v>193</v>
      </c>
      <c r="D39" s="62">
        <f t="shared" si="25"/>
        <v>4220</v>
      </c>
      <c r="E39" s="14">
        <f>E22</f>
        <v>0</v>
      </c>
      <c r="F39" s="14">
        <f t="shared" ref="F39:AI39" si="28">F22</f>
        <v>120</v>
      </c>
      <c r="G39" s="14">
        <f t="shared" si="28"/>
        <v>150</v>
      </c>
      <c r="H39" s="14">
        <f t="shared" si="28"/>
        <v>0</v>
      </c>
      <c r="I39" s="14">
        <f t="shared" si="28"/>
        <v>0</v>
      </c>
      <c r="J39" s="14">
        <f t="shared" si="28"/>
        <v>400</v>
      </c>
      <c r="K39" s="14">
        <f t="shared" si="28"/>
        <v>400</v>
      </c>
      <c r="L39" s="14">
        <f t="shared" si="28"/>
        <v>90</v>
      </c>
      <c r="M39" s="14">
        <f t="shared" si="28"/>
        <v>90</v>
      </c>
      <c r="N39" s="14">
        <f t="shared" si="28"/>
        <v>0</v>
      </c>
      <c r="O39" s="14">
        <f t="shared" si="28"/>
        <v>90</v>
      </c>
      <c r="P39" s="14">
        <f t="shared" si="28"/>
        <v>60</v>
      </c>
      <c r="Q39" s="14">
        <f t="shared" si="28"/>
        <v>120</v>
      </c>
      <c r="R39" s="14">
        <f t="shared" si="28"/>
        <v>0</v>
      </c>
      <c r="S39" s="14">
        <f t="shared" si="28"/>
        <v>0</v>
      </c>
      <c r="T39" s="14">
        <f t="shared" si="28"/>
        <v>210</v>
      </c>
      <c r="U39" s="14">
        <f t="shared" si="28"/>
        <v>120</v>
      </c>
      <c r="V39" s="14">
        <f t="shared" si="28"/>
        <v>0</v>
      </c>
      <c r="W39" s="14">
        <f t="shared" si="28"/>
        <v>120</v>
      </c>
      <c r="X39" s="14">
        <f t="shared" si="28"/>
        <v>450</v>
      </c>
      <c r="Y39" s="14">
        <f t="shared" si="28"/>
        <v>180</v>
      </c>
      <c r="Z39" s="14">
        <f t="shared" si="28"/>
        <v>150</v>
      </c>
      <c r="AA39" s="14">
        <f t="shared" si="28"/>
        <v>210</v>
      </c>
      <c r="AB39" s="14">
        <f t="shared" si="28"/>
        <v>60</v>
      </c>
      <c r="AC39" s="14">
        <f t="shared" si="28"/>
        <v>0</v>
      </c>
      <c r="AD39" s="14">
        <f t="shared" si="28"/>
        <v>0</v>
      </c>
      <c r="AE39" s="14">
        <f t="shared" si="28"/>
        <v>180</v>
      </c>
      <c r="AF39" s="14">
        <f t="shared" si="28"/>
        <v>450</v>
      </c>
      <c r="AG39" s="14">
        <f t="shared" si="28"/>
        <v>240</v>
      </c>
      <c r="AH39" s="14">
        <f t="shared" si="28"/>
        <v>120</v>
      </c>
      <c r="AI39" s="14">
        <f t="shared" si="28"/>
        <v>210</v>
      </c>
    </row>
    <row r="40" spans="1:35" s="21" customFormat="1" ht="37.5">
      <c r="C40" s="30" t="s">
        <v>13</v>
      </c>
      <c r="D40" s="62"/>
      <c r="E40" s="14">
        <f>E23</f>
        <v>0</v>
      </c>
      <c r="F40" s="14" t="str">
        <f t="shared" ref="F40:AI40" si="29">F23</f>
        <v>Non availability of empty trolley</v>
      </c>
      <c r="G40" s="14" t="str">
        <f t="shared" si="29"/>
        <v>Sensor Issue</v>
      </c>
      <c r="H40" s="14">
        <f t="shared" si="29"/>
        <v>0</v>
      </c>
      <c r="I40" s="14">
        <f t="shared" si="29"/>
        <v>0</v>
      </c>
      <c r="J40" s="14" t="str">
        <f t="shared" si="29"/>
        <v>machine breakdown</v>
      </c>
      <c r="K40" s="14" t="str">
        <f t="shared" si="29"/>
        <v>machine breakdown ( Sensorr issue</v>
      </c>
      <c r="L40" s="14">
        <f t="shared" si="29"/>
        <v>0</v>
      </c>
      <c r="M40" s="14" t="str">
        <f t="shared" si="29"/>
        <v>B-shift New Manpower</v>
      </c>
      <c r="N40" s="14" t="str">
        <f t="shared" si="29"/>
        <v>B-shift New Manpower</v>
      </c>
      <c r="O40" s="14" t="str">
        <f t="shared" si="29"/>
        <v>Sensor issue</v>
      </c>
      <c r="P40" s="14" t="str">
        <f t="shared" si="29"/>
        <v>Sensor issue</v>
      </c>
      <c r="Q40" s="14" t="str">
        <f t="shared" si="29"/>
        <v>Machine Breakdown/Sensor Issue</v>
      </c>
      <c r="R40" s="14">
        <f t="shared" si="29"/>
        <v>0</v>
      </c>
      <c r="S40" s="14" t="str">
        <f t="shared" si="29"/>
        <v>Machine under repairing</v>
      </c>
      <c r="T40" s="14" t="str">
        <f t="shared" si="29"/>
        <v>Glue gun breakdown</v>
      </c>
      <c r="U40" s="14">
        <f t="shared" si="29"/>
        <v>0</v>
      </c>
      <c r="V40" s="14" t="str">
        <f t="shared" si="29"/>
        <v>Glue gun Issue</v>
      </c>
      <c r="W40" s="14" t="str">
        <f t="shared" si="29"/>
        <v>Glue gun Issue</v>
      </c>
      <c r="X40" s="14" t="str">
        <f t="shared" si="29"/>
        <v>Glue gun Issue</v>
      </c>
      <c r="Y40" s="14" t="str">
        <f t="shared" si="29"/>
        <v>Glue gun Issue</v>
      </c>
      <c r="Z40" s="14" t="str">
        <f t="shared" si="29"/>
        <v>Glue gun Issue</v>
      </c>
      <c r="AA40" s="14" t="str">
        <f t="shared" si="29"/>
        <v>A+4 
( Glue gun Issue)</v>
      </c>
      <c r="AB40" s="14" t="str">
        <f t="shared" si="29"/>
        <v>A+4 
( Glue gun Issue)</v>
      </c>
      <c r="AC40" s="14">
        <f t="shared" si="29"/>
        <v>0</v>
      </c>
      <c r="AD40" s="14">
        <f t="shared" si="29"/>
        <v>0</v>
      </c>
      <c r="AE40" s="14" t="str">
        <f t="shared" si="29"/>
        <v>Glue gun breakdown</v>
      </c>
      <c r="AF40" s="14" t="str">
        <f t="shared" si="29"/>
        <v>Machine breakdown</v>
      </c>
      <c r="AG40" s="14">
        <f t="shared" si="29"/>
        <v>0</v>
      </c>
      <c r="AH40" s="14" t="str">
        <f t="shared" si="29"/>
        <v>Glue flow issue</v>
      </c>
      <c r="AI40" s="14" t="str">
        <f t="shared" si="29"/>
        <v>glue gun breakdown</v>
      </c>
    </row>
    <row r="41" spans="1:35" s="21" customFormat="1" ht="13">
      <c r="B41" s="21">
        <v>1</v>
      </c>
      <c r="C41" s="14" t="s">
        <v>68</v>
      </c>
      <c r="D41" s="62">
        <f t="shared" si="25"/>
        <v>2700</v>
      </c>
      <c r="E41" s="14">
        <f>E30</f>
        <v>0</v>
      </c>
      <c r="F41" s="14">
        <f t="shared" ref="F41:AI41" si="30">F30</f>
        <v>180</v>
      </c>
      <c r="G41" s="14">
        <f t="shared" si="30"/>
        <v>210</v>
      </c>
      <c r="H41" s="14">
        <f t="shared" si="30"/>
        <v>0</v>
      </c>
      <c r="I41" s="14">
        <f t="shared" si="30"/>
        <v>60</v>
      </c>
      <c r="J41" s="14">
        <f t="shared" si="30"/>
        <v>0</v>
      </c>
      <c r="K41" s="14">
        <f t="shared" si="30"/>
        <v>0</v>
      </c>
      <c r="L41" s="14">
        <f t="shared" si="30"/>
        <v>240</v>
      </c>
      <c r="M41" s="14">
        <f t="shared" si="30"/>
        <v>0</v>
      </c>
      <c r="N41" s="14">
        <f t="shared" si="30"/>
        <v>180</v>
      </c>
      <c r="O41" s="14">
        <f t="shared" si="30"/>
        <v>180</v>
      </c>
      <c r="P41" s="14">
        <f t="shared" si="30"/>
        <v>0</v>
      </c>
      <c r="Q41" s="14">
        <f t="shared" si="30"/>
        <v>180</v>
      </c>
      <c r="R41" s="14">
        <f t="shared" si="30"/>
        <v>0</v>
      </c>
      <c r="S41" s="14">
        <f t="shared" si="30"/>
        <v>0</v>
      </c>
      <c r="T41" s="14">
        <f t="shared" si="30"/>
        <v>0</v>
      </c>
      <c r="U41" s="14">
        <f t="shared" si="30"/>
        <v>180</v>
      </c>
      <c r="V41" s="14">
        <f t="shared" si="30"/>
        <v>0</v>
      </c>
      <c r="W41" s="14">
        <f t="shared" si="30"/>
        <v>0</v>
      </c>
      <c r="X41" s="14">
        <f t="shared" si="30"/>
        <v>240</v>
      </c>
      <c r="Y41" s="14">
        <f t="shared" si="30"/>
        <v>180</v>
      </c>
      <c r="Z41" s="14">
        <f t="shared" si="30"/>
        <v>180</v>
      </c>
      <c r="AA41" s="14">
        <f t="shared" si="30"/>
        <v>180</v>
      </c>
      <c r="AB41" s="14">
        <f t="shared" si="30"/>
        <v>0</v>
      </c>
      <c r="AC41" s="14">
        <f t="shared" si="30"/>
        <v>0</v>
      </c>
      <c r="AD41" s="14">
        <f t="shared" si="30"/>
        <v>0</v>
      </c>
      <c r="AE41" s="14">
        <f t="shared" si="30"/>
        <v>0</v>
      </c>
      <c r="AF41" s="14">
        <f t="shared" si="30"/>
        <v>0</v>
      </c>
      <c r="AG41" s="14">
        <f t="shared" si="30"/>
        <v>210</v>
      </c>
      <c r="AH41" s="14">
        <f t="shared" si="30"/>
        <v>150</v>
      </c>
      <c r="AI41" s="14">
        <f t="shared" si="30"/>
        <v>150</v>
      </c>
    </row>
    <row r="42" spans="1:35" s="21" customFormat="1" ht="62.5">
      <c r="C42" s="14" t="s">
        <v>13</v>
      </c>
      <c r="D42" s="62"/>
      <c r="E42" s="14">
        <f>E31</f>
        <v>0</v>
      </c>
      <c r="F42" s="14" t="str">
        <f t="shared" ref="F42:AI42" si="31">F31</f>
        <v>Non availability of empty trolley</v>
      </c>
      <c r="G42" s="14" t="str">
        <f t="shared" si="31"/>
        <v>Non availability of empty trolley</v>
      </c>
      <c r="H42" s="14">
        <f t="shared" si="31"/>
        <v>0</v>
      </c>
      <c r="I42" s="14" t="str">
        <f t="shared" si="31"/>
        <v>1 Hour stop due to assly facture modify</v>
      </c>
      <c r="J42" s="14">
        <f t="shared" si="31"/>
        <v>0</v>
      </c>
      <c r="K42" s="14" t="str">
        <f t="shared" si="31"/>
        <v>New manpower and non-availability of empty trolley</v>
      </c>
      <c r="L42" s="14" t="str">
        <f t="shared" si="31"/>
        <v xml:space="preserve">New manpower </v>
      </c>
      <c r="M42" s="14">
        <f t="shared" si="31"/>
        <v>0</v>
      </c>
      <c r="N42" s="14" t="str">
        <f t="shared" si="31"/>
        <v>Glue gun breakdown 3 Hours</v>
      </c>
      <c r="O42" s="14" t="str">
        <f t="shared" si="31"/>
        <v>B-Shift new manpower</v>
      </c>
      <c r="P42" s="14">
        <f t="shared" si="31"/>
        <v>0</v>
      </c>
      <c r="Q42" s="14" t="str">
        <f t="shared" si="31"/>
        <v>New manpower</v>
      </c>
      <c r="R42" s="14" t="str">
        <f t="shared" si="31"/>
        <v>2 Manpower only</v>
      </c>
      <c r="S42" s="14" t="str">
        <f t="shared" si="31"/>
        <v>2 Manpower only</v>
      </c>
      <c r="T42" s="14">
        <f t="shared" si="31"/>
        <v>0</v>
      </c>
      <c r="U42" s="14" t="str">
        <f t="shared" si="31"/>
        <v>B-Shift new manpower</v>
      </c>
      <c r="V42" s="14" t="str">
        <f t="shared" si="31"/>
        <v>B-Shift new manpower</v>
      </c>
      <c r="W42" s="14">
        <f t="shared" si="31"/>
        <v>0</v>
      </c>
      <c r="X42" s="14" t="str">
        <f t="shared" si="31"/>
        <v>Manpower Issue</v>
      </c>
      <c r="Y42" s="14" t="str">
        <f t="shared" si="31"/>
        <v>Manpower Issue</v>
      </c>
      <c r="Z42" s="14" t="str">
        <f t="shared" si="31"/>
        <v>A+B ( B-shift new manpower)</v>
      </c>
      <c r="AA42" s="14" t="str">
        <f t="shared" si="31"/>
        <v>Manpower Issue</v>
      </c>
      <c r="AB42" s="14">
        <f t="shared" si="31"/>
        <v>0</v>
      </c>
      <c r="AC42" s="14">
        <f t="shared" si="31"/>
        <v>0</v>
      </c>
      <c r="AD42" s="14">
        <f t="shared" si="31"/>
        <v>0</v>
      </c>
      <c r="AE42" s="14" t="str">
        <f t="shared" si="31"/>
        <v>A+4</v>
      </c>
      <c r="AF42" s="14">
        <f t="shared" si="31"/>
        <v>0</v>
      </c>
      <c r="AG42" s="14" t="str">
        <f t="shared" si="31"/>
        <v>B-shift New manpower</v>
      </c>
      <c r="AH42" s="14" t="str">
        <f t="shared" si="31"/>
        <v>B-shift only two manpower on X0</v>
      </c>
      <c r="AI42" s="14" t="str">
        <f t="shared" si="31"/>
        <v>New manpower</v>
      </c>
    </row>
    <row r="43" spans="1:35" ht="13">
      <c r="C43" s="20" t="s">
        <v>27</v>
      </c>
      <c r="D43" s="6">
        <f t="shared" ref="D43:AI43" si="32">SUM(D35:D41)</f>
        <v>11310</v>
      </c>
      <c r="E43" s="6">
        <f t="shared" si="32"/>
        <v>0</v>
      </c>
      <c r="F43" s="6">
        <f t="shared" si="32"/>
        <v>480</v>
      </c>
      <c r="G43" s="6">
        <f t="shared" si="32"/>
        <v>570</v>
      </c>
      <c r="H43" s="33">
        <f t="shared" si="32"/>
        <v>0</v>
      </c>
      <c r="I43" s="6">
        <f t="shared" si="32"/>
        <v>240</v>
      </c>
      <c r="J43" s="6">
        <f t="shared" si="32"/>
        <v>490</v>
      </c>
      <c r="K43" s="6">
        <f t="shared" si="32"/>
        <v>490</v>
      </c>
      <c r="L43" s="6">
        <f t="shared" si="32"/>
        <v>420</v>
      </c>
      <c r="M43" s="6">
        <f t="shared" si="32"/>
        <v>210</v>
      </c>
      <c r="N43" s="6">
        <f t="shared" si="32"/>
        <v>360</v>
      </c>
      <c r="O43" s="33">
        <f t="shared" si="32"/>
        <v>510</v>
      </c>
      <c r="P43" s="6">
        <f t="shared" si="32"/>
        <v>420</v>
      </c>
      <c r="Q43" s="6">
        <f t="shared" si="32"/>
        <v>510</v>
      </c>
      <c r="R43" s="6">
        <f t="shared" si="32"/>
        <v>0</v>
      </c>
      <c r="S43" s="6">
        <f t="shared" si="32"/>
        <v>0</v>
      </c>
      <c r="T43" s="6">
        <f t="shared" si="32"/>
        <v>510</v>
      </c>
      <c r="U43" s="6">
        <f t="shared" si="32"/>
        <v>700</v>
      </c>
      <c r="V43" s="33">
        <f t="shared" si="32"/>
        <v>0</v>
      </c>
      <c r="W43" s="6">
        <f t="shared" si="32"/>
        <v>300</v>
      </c>
      <c r="X43" s="6">
        <f t="shared" si="32"/>
        <v>780</v>
      </c>
      <c r="Y43" s="6">
        <f t="shared" si="32"/>
        <v>510</v>
      </c>
      <c r="Z43" s="6">
        <f t="shared" si="32"/>
        <v>450</v>
      </c>
      <c r="AA43" s="6">
        <f t="shared" si="32"/>
        <v>510</v>
      </c>
      <c r="AB43" s="6">
        <f t="shared" si="32"/>
        <v>150</v>
      </c>
      <c r="AC43" s="33">
        <f t="shared" si="32"/>
        <v>210</v>
      </c>
      <c r="AD43" s="6">
        <f t="shared" si="32"/>
        <v>0</v>
      </c>
      <c r="AE43" s="6">
        <f t="shared" si="32"/>
        <v>360</v>
      </c>
      <c r="AF43" s="6">
        <f t="shared" si="32"/>
        <v>600</v>
      </c>
      <c r="AG43" s="6">
        <f t="shared" si="32"/>
        <v>600</v>
      </c>
      <c r="AH43" s="6">
        <f t="shared" si="32"/>
        <v>480</v>
      </c>
      <c r="AI43" s="6">
        <f t="shared" si="32"/>
        <v>450</v>
      </c>
    </row>
    <row r="45" spans="1:35">
      <c r="G45" s="68"/>
    </row>
    <row r="46" spans="1:35">
      <c r="C46" s="18">
        <f>12*25</f>
        <v>300</v>
      </c>
      <c r="D46" s="65">
        <f>C46*85/100</f>
        <v>255</v>
      </c>
      <c r="E46" s="2">
        <f>D13</f>
        <v>3082</v>
      </c>
      <c r="F46" s="65">
        <f>E46/D46</f>
        <v>12.086274509803921</v>
      </c>
      <c r="G46" s="65">
        <f>D37/60</f>
        <v>73.166666666666671</v>
      </c>
      <c r="H46" s="65">
        <f>G46*100/C46</f>
        <v>24.388888888888889</v>
      </c>
      <c r="I46" s="65">
        <f>C46-G46</f>
        <v>226.83333333333331</v>
      </c>
      <c r="J46" s="65">
        <f>E46/I46</f>
        <v>13.587068332108744</v>
      </c>
      <c r="K46" s="66">
        <f>G46/I46</f>
        <v>0.32255694342395302</v>
      </c>
    </row>
    <row r="47" spans="1:35">
      <c r="C47" s="18">
        <f>12*25</f>
        <v>300</v>
      </c>
      <c r="D47" s="65">
        <f>C47*85/100</f>
        <v>255</v>
      </c>
      <c r="E47" s="2">
        <f>D21</f>
        <v>2310</v>
      </c>
      <c r="F47" s="65">
        <f>E47/D47</f>
        <v>9.0588235294117645</v>
      </c>
      <c r="G47" s="65">
        <f>D39/60</f>
        <v>70.333333333333329</v>
      </c>
      <c r="H47" s="65">
        <f>G47*100/C47</f>
        <v>23.444444444444443</v>
      </c>
      <c r="I47" s="65">
        <f>C47-G47</f>
        <v>229.66666666666669</v>
      </c>
      <c r="J47" s="65">
        <f>E47/I47</f>
        <v>10.058055152394774</v>
      </c>
      <c r="K47" s="66">
        <f>G47/I47</f>
        <v>0.30624092888243826</v>
      </c>
    </row>
    <row r="48" spans="1:35">
      <c r="C48" s="18">
        <v>375</v>
      </c>
      <c r="D48" s="65">
        <f>C48*85/100</f>
        <v>318.75</v>
      </c>
      <c r="E48" s="2">
        <f>D29</f>
        <v>8375</v>
      </c>
      <c r="F48" s="65">
        <f>E48/D48</f>
        <v>26.274509803921568</v>
      </c>
      <c r="G48" s="2">
        <f>D41/60</f>
        <v>45</v>
      </c>
      <c r="H48" s="65">
        <f>G48*100/C48</f>
        <v>12</v>
      </c>
      <c r="I48" s="65">
        <f>C48-G48</f>
        <v>330</v>
      </c>
      <c r="J48" s="65">
        <f>E48/I48</f>
        <v>25.378787878787879</v>
      </c>
      <c r="K48" s="66">
        <f>G48/I48</f>
        <v>0.13636363636363635</v>
      </c>
    </row>
    <row r="49" spans="2:11">
      <c r="C49" s="2">
        <f>SUM(C46:C48)</f>
        <v>975</v>
      </c>
      <c r="D49" s="67">
        <f>SUM(D46:D48)</f>
        <v>828.75</v>
      </c>
      <c r="E49" s="2">
        <v>14013</v>
      </c>
      <c r="F49" s="65">
        <f>SUM(F46:F48)</f>
        <v>47.419607843137257</v>
      </c>
      <c r="G49" s="65">
        <f>SUM(G46:G48)</f>
        <v>188.5</v>
      </c>
      <c r="H49" s="65">
        <f>G49*100/C49</f>
        <v>19.333333333333332</v>
      </c>
      <c r="I49" s="65">
        <f>C49-G49</f>
        <v>786.5</v>
      </c>
      <c r="J49" s="65">
        <f>E49/I49</f>
        <v>17.816910362364908</v>
      </c>
      <c r="K49" s="66">
        <f>G49/I49</f>
        <v>0.23966942148760331</v>
      </c>
    </row>
    <row r="50" spans="2:11">
      <c r="B50" s="2">
        <v>14</v>
      </c>
      <c r="C50" s="65">
        <f>C49/14</f>
        <v>69.642857142857139</v>
      </c>
      <c r="G50" s="64">
        <f>G49/14</f>
        <v>13.464285714285714</v>
      </c>
      <c r="I50" s="65">
        <v>787</v>
      </c>
      <c r="K50" s="70">
        <f>1/C50</f>
        <v>1.4358974358974359E-2</v>
      </c>
    </row>
    <row r="51" spans="2:11">
      <c r="C51" s="66">
        <f>C50/I50</f>
        <v>8.8491559266654557E-2</v>
      </c>
    </row>
    <row r="53" spans="2:11">
      <c r="C53" s="2">
        <f>1680/60</f>
        <v>28</v>
      </c>
    </row>
    <row r="54" spans="2:11">
      <c r="C54" s="2">
        <f>C53*28</f>
        <v>784</v>
      </c>
      <c r="D54" s="18">
        <v>22</v>
      </c>
      <c r="E54" s="69">
        <v>7.84</v>
      </c>
    </row>
    <row r="55" spans="2:11">
      <c r="C55" s="2">
        <f>C54/14</f>
        <v>56</v>
      </c>
      <c r="D55" s="18">
        <f>12+12+14</f>
        <v>38</v>
      </c>
      <c r="E55" s="2">
        <f>11*D55</f>
        <v>418</v>
      </c>
      <c r="F55" s="2">
        <f>E55*25</f>
        <v>10450</v>
      </c>
      <c r="G55" s="65">
        <v>189</v>
      </c>
      <c r="H55" s="2">
        <f>11*G55</f>
        <v>2079</v>
      </c>
    </row>
    <row r="56" spans="2:11">
      <c r="C56" s="65">
        <f>C54/22</f>
        <v>35.636363636363633</v>
      </c>
      <c r="D56" s="71">
        <f>D54/D55</f>
        <v>0.57894736842105265</v>
      </c>
      <c r="F56" s="72"/>
    </row>
    <row r="57" spans="2:11">
      <c r="C57" s="64">
        <f>7/3</f>
        <v>2.3333333333333335</v>
      </c>
    </row>
    <row r="58" spans="2:11">
      <c r="C58" s="64">
        <f>C57</f>
        <v>2.3333333333333335</v>
      </c>
    </row>
  </sheetData>
  <mergeCells count="15">
    <mergeCell ref="A16:A23"/>
    <mergeCell ref="B16:B17"/>
    <mergeCell ref="B18:B19"/>
    <mergeCell ref="B20:B21"/>
    <mergeCell ref="B22:C22"/>
    <mergeCell ref="A8:A15"/>
    <mergeCell ref="B8:B9"/>
    <mergeCell ref="B10:B11"/>
    <mergeCell ref="B12:B13"/>
    <mergeCell ref="B14:C14"/>
    <mergeCell ref="A24:A31"/>
    <mergeCell ref="B24:B25"/>
    <mergeCell ref="B26:B27"/>
    <mergeCell ref="B28:B29"/>
    <mergeCell ref="B30:C30"/>
  </mergeCells>
  <hyperlinks>
    <hyperlink ref="A1" location="Summary!A1" display="Index" xr:uid="{C641F463-306C-48C7-A2BE-20365AA259C2}"/>
  </hyperlinks>
  <pageMargins left="0.7" right="0.7" top="0.75" bottom="0.75" header="0.3" footer="0.3"/>
  <pageSetup paperSize="9" orientation="portrait" r:id="rId1"/>
  <headerFooter>
    <oddFooter>&amp;L_x000D_&amp;1#&amp;"Calibri Light"&amp;8&amp;K000000 Classified as Public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34CA-92FB-47D0-85F6-CC4C74EF65CF}">
  <dimension ref="A1:AI72"/>
  <sheetViews>
    <sheetView topLeftCell="A11" zoomScale="60" zoomScaleNormal="60" workbookViewId="0">
      <pane xSplit="4" topLeftCell="E1" activePane="topRight" state="frozen"/>
      <selection pane="topRight" activeCell="H27" sqref="H27"/>
    </sheetView>
  </sheetViews>
  <sheetFormatPr defaultRowHeight="12.5"/>
  <cols>
    <col min="1" max="1" width="31.7265625" style="2" bestFit="1" customWidth="1"/>
    <col min="2" max="2" width="18.90625" style="2" customWidth="1"/>
    <col min="3" max="3" width="26" style="2" customWidth="1"/>
    <col min="4" max="4" width="12.6328125" style="18" bestFit="1" customWidth="1"/>
    <col min="5" max="20" width="12.81640625" style="2" customWidth="1"/>
    <col min="21" max="22" width="16.453125" style="2" bestFit="1" customWidth="1"/>
    <col min="23" max="23" width="12.81640625" style="2" customWidth="1"/>
    <col min="24" max="25" width="15" style="2" customWidth="1"/>
    <col min="26" max="31" width="12.81640625" style="2" customWidth="1"/>
    <col min="32" max="32" width="18.453125" style="2" bestFit="1" customWidth="1"/>
    <col min="33" max="35" width="12.81640625" style="2" customWidth="1"/>
    <col min="36" max="16384" width="8.7265625" style="2"/>
  </cols>
  <sheetData>
    <row r="1" spans="1:35">
      <c r="A1" s="1" t="s">
        <v>0</v>
      </c>
    </row>
    <row r="2" spans="1:35" ht="27" customHeight="1">
      <c r="A2" s="29" t="s">
        <v>21</v>
      </c>
      <c r="B2" s="29" t="s">
        <v>22</v>
      </c>
      <c r="C2" s="5"/>
      <c r="D2" s="24" t="s">
        <v>18</v>
      </c>
      <c r="E2" s="9">
        <v>46054</v>
      </c>
      <c r="F2" s="8">
        <f>E2+1</f>
        <v>46055</v>
      </c>
      <c r="G2" s="8">
        <f>F2+1</f>
        <v>46056</v>
      </c>
      <c r="H2" s="8">
        <f>G2+1</f>
        <v>46057</v>
      </c>
      <c r="I2" s="8">
        <f>H2+1</f>
        <v>46058</v>
      </c>
      <c r="J2" s="8">
        <f>I2+1</f>
        <v>46059</v>
      </c>
      <c r="K2" s="8">
        <f t="shared" ref="K2:M2" si="0">J2+1</f>
        <v>46060</v>
      </c>
      <c r="L2" s="9">
        <f t="shared" si="0"/>
        <v>46061</v>
      </c>
      <c r="M2" s="8">
        <f t="shared" si="0"/>
        <v>46062</v>
      </c>
      <c r="N2" s="8">
        <f>M2+1</f>
        <v>46063</v>
      </c>
      <c r="O2" s="8">
        <f>N2+1</f>
        <v>46064</v>
      </c>
      <c r="P2" s="8">
        <f t="shared" ref="P2:T2" si="1">O2+1</f>
        <v>46065</v>
      </c>
      <c r="Q2" s="8">
        <f t="shared" si="1"/>
        <v>46066</v>
      </c>
      <c r="R2" s="8">
        <f t="shared" si="1"/>
        <v>46067</v>
      </c>
      <c r="S2" s="9">
        <f t="shared" si="1"/>
        <v>46068</v>
      </c>
      <c r="T2" s="8">
        <f t="shared" si="1"/>
        <v>46069</v>
      </c>
      <c r="U2" s="8">
        <f>T2+1</f>
        <v>46070</v>
      </c>
      <c r="V2" s="8">
        <f>U2+1</f>
        <v>46071</v>
      </c>
      <c r="W2" s="8">
        <f t="shared" ref="W2:AA2" si="2">V2+1</f>
        <v>46072</v>
      </c>
      <c r="X2" s="8">
        <f t="shared" si="2"/>
        <v>46073</v>
      </c>
      <c r="Y2" s="8">
        <f t="shared" si="2"/>
        <v>46074</v>
      </c>
      <c r="Z2" s="9">
        <f t="shared" si="2"/>
        <v>46075</v>
      </c>
      <c r="AA2" s="8">
        <f t="shared" si="2"/>
        <v>46076</v>
      </c>
      <c r="AB2" s="8">
        <f>AA2+1</f>
        <v>46077</v>
      </c>
      <c r="AC2" s="8">
        <f>AB2+1</f>
        <v>46078</v>
      </c>
      <c r="AD2" s="8">
        <f t="shared" ref="AD2:AH2" si="3">AC2+1</f>
        <v>46079</v>
      </c>
      <c r="AE2" s="8">
        <f t="shared" si="3"/>
        <v>46080</v>
      </c>
      <c r="AF2" s="8">
        <f t="shared" si="3"/>
        <v>46081</v>
      </c>
      <c r="AG2" s="8">
        <f t="shared" si="3"/>
        <v>46082</v>
      </c>
      <c r="AH2" s="8">
        <f t="shared" si="3"/>
        <v>46083</v>
      </c>
      <c r="AI2" s="8">
        <f>AH2+1</f>
        <v>46084</v>
      </c>
    </row>
    <row r="3" spans="1:35" ht="20">
      <c r="A3" s="27">
        <f ca="1">TODAY()-1</f>
        <v>46156</v>
      </c>
      <c r="B3" s="28" t="e">
        <f ca="1">HLOOKUP(A3,E2:AI3,2,0)</f>
        <v>#N/A</v>
      </c>
      <c r="C3" s="5"/>
      <c r="D3" s="19" t="str">
        <f>CONCATENATE(D5,"/",D4)</f>
        <v>12328/18411</v>
      </c>
      <c r="E3" s="34" t="str">
        <f>CONCATENATE(E5,"/",E4)</f>
        <v>222/328</v>
      </c>
      <c r="F3" s="19" t="str">
        <f t="shared" ref="F3:AI3" si="4">CONCATENATE(F5,"/",F4)</f>
        <v>495/837</v>
      </c>
      <c r="G3" s="19" t="str">
        <f t="shared" si="4"/>
        <v>572/728</v>
      </c>
      <c r="H3" s="19" t="str">
        <f t="shared" si="4"/>
        <v>604/736</v>
      </c>
      <c r="I3" s="19" t="str">
        <f t="shared" si="4"/>
        <v>407/666</v>
      </c>
      <c r="J3" s="19" t="str">
        <f t="shared" si="4"/>
        <v>454/632</v>
      </c>
      <c r="K3" s="19" t="str">
        <f t="shared" si="4"/>
        <v>484/686</v>
      </c>
      <c r="L3" s="34" t="str">
        <f t="shared" si="4"/>
        <v>70/252</v>
      </c>
      <c r="M3" s="19" t="str">
        <f t="shared" si="4"/>
        <v>484/1026</v>
      </c>
      <c r="N3" s="19" t="str">
        <f t="shared" si="4"/>
        <v>442/696</v>
      </c>
      <c r="O3" s="19" t="str">
        <f t="shared" si="4"/>
        <v>624/848</v>
      </c>
      <c r="P3" s="19" t="str">
        <f t="shared" si="4"/>
        <v>540/676</v>
      </c>
      <c r="Q3" s="19" t="str">
        <f t="shared" si="4"/>
        <v>454/608</v>
      </c>
      <c r="R3" s="19" t="str">
        <f t="shared" si="4"/>
        <v>182/347</v>
      </c>
      <c r="S3" s="34" t="str">
        <f t="shared" si="4"/>
        <v>46/152</v>
      </c>
      <c r="T3" s="19" t="str">
        <f t="shared" si="4"/>
        <v>576/834</v>
      </c>
      <c r="U3" s="19" t="str">
        <f t="shared" si="4"/>
        <v>448/700</v>
      </c>
      <c r="V3" s="19" t="str">
        <f t="shared" si="4"/>
        <v>657/910</v>
      </c>
      <c r="W3" s="19" t="str">
        <f t="shared" si="4"/>
        <v>601/857</v>
      </c>
      <c r="X3" s="19" t="str">
        <f t="shared" si="4"/>
        <v>604/852</v>
      </c>
      <c r="Y3" s="19" t="str">
        <f t="shared" si="4"/>
        <v>507/765</v>
      </c>
      <c r="Z3" s="34" t="str">
        <f t="shared" si="4"/>
        <v>0/0</v>
      </c>
      <c r="AA3" s="19" t="str">
        <f t="shared" si="4"/>
        <v>372/468</v>
      </c>
      <c r="AB3" s="19" t="str">
        <f t="shared" si="4"/>
        <v>459/790</v>
      </c>
      <c r="AC3" s="19" t="str">
        <f t="shared" si="4"/>
        <v>614/799</v>
      </c>
      <c r="AD3" s="19" t="str">
        <f t="shared" si="4"/>
        <v>584/895</v>
      </c>
      <c r="AE3" s="19" t="str">
        <f t="shared" si="4"/>
        <v>476/729</v>
      </c>
      <c r="AF3" s="19" t="str">
        <f t="shared" si="4"/>
        <v>350/594</v>
      </c>
      <c r="AG3" s="19" t="str">
        <f t="shared" si="4"/>
        <v>0/0</v>
      </c>
      <c r="AH3" s="19" t="str">
        <f t="shared" si="4"/>
        <v>0/0</v>
      </c>
      <c r="AI3" s="19" t="str">
        <f t="shared" si="4"/>
        <v>0/0</v>
      </c>
    </row>
    <row r="4" spans="1:35" ht="20">
      <c r="A4" s="28" t="s">
        <v>28</v>
      </c>
      <c r="B4" s="28" t="str">
        <f>D3</f>
        <v>12328/18411</v>
      </c>
      <c r="C4" s="23" t="s">
        <v>1</v>
      </c>
      <c r="D4" s="19">
        <f t="shared" ref="D4:AI5" si="5">D12+D22+D32</f>
        <v>18411</v>
      </c>
      <c r="E4" s="34">
        <f t="shared" si="5"/>
        <v>328</v>
      </c>
      <c r="F4" s="19">
        <f t="shared" si="5"/>
        <v>837</v>
      </c>
      <c r="G4" s="19">
        <f t="shared" si="5"/>
        <v>728</v>
      </c>
      <c r="H4" s="19">
        <f t="shared" si="5"/>
        <v>736</v>
      </c>
      <c r="I4" s="19">
        <f t="shared" si="5"/>
        <v>666</v>
      </c>
      <c r="J4" s="19">
        <f t="shared" si="5"/>
        <v>632</v>
      </c>
      <c r="K4" s="19">
        <f t="shared" si="5"/>
        <v>686</v>
      </c>
      <c r="L4" s="34">
        <f t="shared" si="5"/>
        <v>252</v>
      </c>
      <c r="M4" s="19">
        <f t="shared" si="5"/>
        <v>1026</v>
      </c>
      <c r="N4" s="19">
        <f t="shared" si="5"/>
        <v>696</v>
      </c>
      <c r="O4" s="19">
        <f t="shared" si="5"/>
        <v>848</v>
      </c>
      <c r="P4" s="19">
        <f t="shared" si="5"/>
        <v>676</v>
      </c>
      <c r="Q4" s="19">
        <f t="shared" si="5"/>
        <v>608</v>
      </c>
      <c r="R4" s="19">
        <f t="shared" si="5"/>
        <v>347</v>
      </c>
      <c r="S4" s="34">
        <f t="shared" si="5"/>
        <v>152</v>
      </c>
      <c r="T4" s="19">
        <f t="shared" si="5"/>
        <v>834</v>
      </c>
      <c r="U4" s="19">
        <f t="shared" si="5"/>
        <v>700</v>
      </c>
      <c r="V4" s="19">
        <f t="shared" si="5"/>
        <v>910</v>
      </c>
      <c r="W4" s="19">
        <f t="shared" si="5"/>
        <v>857</v>
      </c>
      <c r="X4" s="19">
        <f t="shared" si="5"/>
        <v>852</v>
      </c>
      <c r="Y4" s="19">
        <f t="shared" si="5"/>
        <v>765</v>
      </c>
      <c r="Z4" s="34">
        <f t="shared" si="5"/>
        <v>0</v>
      </c>
      <c r="AA4" s="19">
        <f t="shared" si="5"/>
        <v>468</v>
      </c>
      <c r="AB4" s="19">
        <f t="shared" si="5"/>
        <v>790</v>
      </c>
      <c r="AC4" s="19">
        <f t="shared" si="5"/>
        <v>799</v>
      </c>
      <c r="AD4" s="19">
        <f t="shared" si="5"/>
        <v>895</v>
      </c>
      <c r="AE4" s="19">
        <f t="shared" si="5"/>
        <v>729</v>
      </c>
      <c r="AF4" s="19">
        <f t="shared" si="5"/>
        <v>594</v>
      </c>
      <c r="AG4" s="19">
        <f t="shared" si="5"/>
        <v>0</v>
      </c>
      <c r="AH4" s="19">
        <f t="shared" si="5"/>
        <v>0</v>
      </c>
      <c r="AI4" s="19">
        <f t="shared" si="5"/>
        <v>0</v>
      </c>
    </row>
    <row r="5" spans="1:35" ht="20">
      <c r="A5" s="28" t="s">
        <v>19</v>
      </c>
      <c r="B5" s="98">
        <f>D5/D4</f>
        <v>0.66959969583401224</v>
      </c>
      <c r="C5" s="23" t="s">
        <v>2</v>
      </c>
      <c r="D5" s="19">
        <f t="shared" si="5"/>
        <v>12328</v>
      </c>
      <c r="E5" s="34">
        <f t="shared" si="5"/>
        <v>222</v>
      </c>
      <c r="F5" s="19">
        <f t="shared" si="5"/>
        <v>495</v>
      </c>
      <c r="G5" s="19">
        <f t="shared" si="5"/>
        <v>572</v>
      </c>
      <c r="H5" s="19">
        <f t="shared" si="5"/>
        <v>604</v>
      </c>
      <c r="I5" s="19">
        <f t="shared" si="5"/>
        <v>407</v>
      </c>
      <c r="J5" s="19">
        <f t="shared" si="5"/>
        <v>454</v>
      </c>
      <c r="K5" s="19">
        <f t="shared" si="5"/>
        <v>484</v>
      </c>
      <c r="L5" s="34">
        <f t="shared" si="5"/>
        <v>70</v>
      </c>
      <c r="M5" s="19">
        <f t="shared" si="5"/>
        <v>484</v>
      </c>
      <c r="N5" s="19">
        <f t="shared" si="5"/>
        <v>442</v>
      </c>
      <c r="O5" s="19">
        <f t="shared" si="5"/>
        <v>624</v>
      </c>
      <c r="P5" s="19">
        <f t="shared" si="5"/>
        <v>540</v>
      </c>
      <c r="Q5" s="19">
        <f t="shared" si="5"/>
        <v>454</v>
      </c>
      <c r="R5" s="19">
        <f t="shared" si="5"/>
        <v>182</v>
      </c>
      <c r="S5" s="34">
        <f t="shared" si="5"/>
        <v>46</v>
      </c>
      <c r="T5" s="19">
        <f t="shared" si="5"/>
        <v>576</v>
      </c>
      <c r="U5" s="19">
        <f t="shared" si="5"/>
        <v>448</v>
      </c>
      <c r="V5" s="19">
        <f t="shared" si="5"/>
        <v>657</v>
      </c>
      <c r="W5" s="19">
        <f t="shared" si="5"/>
        <v>601</v>
      </c>
      <c r="X5" s="19">
        <f t="shared" si="5"/>
        <v>604</v>
      </c>
      <c r="Y5" s="19">
        <f t="shared" si="5"/>
        <v>507</v>
      </c>
      <c r="Z5" s="34">
        <f t="shared" si="5"/>
        <v>0</v>
      </c>
      <c r="AA5" s="19">
        <f t="shared" si="5"/>
        <v>372</v>
      </c>
      <c r="AB5" s="19">
        <f t="shared" si="5"/>
        <v>459</v>
      </c>
      <c r="AC5" s="19">
        <f t="shared" si="5"/>
        <v>614</v>
      </c>
      <c r="AD5" s="19">
        <f t="shared" si="5"/>
        <v>584</v>
      </c>
      <c r="AE5" s="19">
        <f t="shared" si="5"/>
        <v>476</v>
      </c>
      <c r="AF5" s="19">
        <f t="shared" si="5"/>
        <v>350</v>
      </c>
      <c r="AG5" s="19">
        <f t="shared" si="5"/>
        <v>0</v>
      </c>
      <c r="AH5" s="19">
        <f t="shared" si="5"/>
        <v>0</v>
      </c>
      <c r="AI5" s="19">
        <f t="shared" si="5"/>
        <v>0</v>
      </c>
    </row>
    <row r="6" spans="1:35" s="17" customFormat="1" ht="13">
      <c r="C6" s="6" t="s">
        <v>3</v>
      </c>
      <c r="D6" s="6"/>
      <c r="E6" s="34" t="str">
        <f t="shared" ref="E6:AI6" si="6">TEXT(E7,"ddd")</f>
        <v>Sun</v>
      </c>
      <c r="F6" s="6" t="str">
        <f>TEXT(F7,"ddd")</f>
        <v>Mon</v>
      </c>
      <c r="G6" s="6" t="str">
        <f t="shared" si="6"/>
        <v>Tue</v>
      </c>
      <c r="H6" s="6" t="str">
        <f t="shared" si="6"/>
        <v>Wed</v>
      </c>
      <c r="I6" s="6" t="str">
        <f t="shared" si="6"/>
        <v>Thu</v>
      </c>
      <c r="J6" s="6" t="str">
        <f t="shared" si="6"/>
        <v>Fri</v>
      </c>
      <c r="K6" s="6" t="str">
        <f t="shared" si="6"/>
        <v>Sat</v>
      </c>
      <c r="L6" s="34" t="str">
        <f t="shared" si="6"/>
        <v>Sun</v>
      </c>
      <c r="M6" s="6" t="str">
        <f t="shared" si="6"/>
        <v>Mon</v>
      </c>
      <c r="N6" s="6" t="str">
        <f t="shared" si="6"/>
        <v>Tue</v>
      </c>
      <c r="O6" s="6" t="str">
        <f t="shared" si="6"/>
        <v>Wed</v>
      </c>
      <c r="P6" s="6" t="str">
        <f t="shared" si="6"/>
        <v>Thu</v>
      </c>
      <c r="Q6" s="6" t="str">
        <f t="shared" si="6"/>
        <v>Fri</v>
      </c>
      <c r="R6" s="6" t="str">
        <f t="shared" si="6"/>
        <v>Sat</v>
      </c>
      <c r="S6" s="34" t="str">
        <f t="shared" si="6"/>
        <v>Sun</v>
      </c>
      <c r="T6" s="6" t="str">
        <f t="shared" si="6"/>
        <v>Mon</v>
      </c>
      <c r="U6" s="6" t="str">
        <f t="shared" si="6"/>
        <v>Tue</v>
      </c>
      <c r="V6" s="6" t="str">
        <f t="shared" si="6"/>
        <v>Wed</v>
      </c>
      <c r="W6" s="6" t="str">
        <f t="shared" si="6"/>
        <v>Thu</v>
      </c>
      <c r="X6" s="6" t="str">
        <f t="shared" si="6"/>
        <v>Fri</v>
      </c>
      <c r="Y6" s="6" t="str">
        <f t="shared" si="6"/>
        <v>Sat</v>
      </c>
      <c r="Z6" s="34" t="str">
        <f t="shared" si="6"/>
        <v>Sun</v>
      </c>
      <c r="AA6" s="6" t="str">
        <f t="shared" si="6"/>
        <v>Mon</v>
      </c>
      <c r="AB6" s="6" t="str">
        <f t="shared" si="6"/>
        <v>Tue</v>
      </c>
      <c r="AC6" s="6" t="str">
        <f t="shared" si="6"/>
        <v>Wed</v>
      </c>
      <c r="AD6" s="6" t="str">
        <f t="shared" si="6"/>
        <v>Thu</v>
      </c>
      <c r="AE6" s="6" t="str">
        <f t="shared" si="6"/>
        <v>Fri</v>
      </c>
      <c r="AF6" s="6" t="str">
        <f t="shared" si="6"/>
        <v>Sat</v>
      </c>
      <c r="AG6" s="6" t="str">
        <f t="shared" si="6"/>
        <v>Sun</v>
      </c>
      <c r="AH6" s="6" t="str">
        <f t="shared" si="6"/>
        <v>Mon</v>
      </c>
      <c r="AI6" s="6" t="str">
        <f t="shared" si="6"/>
        <v>Tue</v>
      </c>
    </row>
    <row r="7" spans="1:35" s="17" customFormat="1" ht="13">
      <c r="A7" s="6" t="s">
        <v>4</v>
      </c>
      <c r="B7" s="6" t="s">
        <v>5</v>
      </c>
      <c r="C7" s="6" t="s">
        <v>6</v>
      </c>
      <c r="D7" s="6"/>
      <c r="E7" s="9">
        <v>46054</v>
      </c>
      <c r="F7" s="8">
        <f>E7+1</f>
        <v>46055</v>
      </c>
      <c r="G7" s="8">
        <f>F7+1</f>
        <v>46056</v>
      </c>
      <c r="H7" s="8">
        <f>G7+1</f>
        <v>46057</v>
      </c>
      <c r="I7" s="8">
        <f t="shared" ref="I7:M7" si="7">H7+1</f>
        <v>46058</v>
      </c>
      <c r="J7" s="8">
        <f t="shared" si="7"/>
        <v>46059</v>
      </c>
      <c r="K7" s="8">
        <f t="shared" si="7"/>
        <v>46060</v>
      </c>
      <c r="L7" s="9">
        <f t="shared" si="7"/>
        <v>46061</v>
      </c>
      <c r="M7" s="8">
        <f t="shared" si="7"/>
        <v>46062</v>
      </c>
      <c r="N7" s="8">
        <f>M7+1</f>
        <v>46063</v>
      </c>
      <c r="O7" s="8">
        <f>N7+1</f>
        <v>46064</v>
      </c>
      <c r="P7" s="8">
        <f t="shared" ref="P7:T7" si="8">O7+1</f>
        <v>46065</v>
      </c>
      <c r="Q7" s="8">
        <f t="shared" si="8"/>
        <v>46066</v>
      </c>
      <c r="R7" s="8">
        <f t="shared" si="8"/>
        <v>46067</v>
      </c>
      <c r="S7" s="9">
        <f t="shared" si="8"/>
        <v>46068</v>
      </c>
      <c r="T7" s="8">
        <f t="shared" si="8"/>
        <v>46069</v>
      </c>
      <c r="U7" s="8">
        <f>T7+1</f>
        <v>46070</v>
      </c>
      <c r="V7" s="8">
        <f>U7+1</f>
        <v>46071</v>
      </c>
      <c r="W7" s="8">
        <f t="shared" ref="W7:AA7" si="9">V7+1</f>
        <v>46072</v>
      </c>
      <c r="X7" s="8">
        <f t="shared" si="9"/>
        <v>46073</v>
      </c>
      <c r="Y7" s="8">
        <f t="shared" si="9"/>
        <v>46074</v>
      </c>
      <c r="Z7" s="9">
        <f t="shared" si="9"/>
        <v>46075</v>
      </c>
      <c r="AA7" s="8">
        <f t="shared" si="9"/>
        <v>46076</v>
      </c>
      <c r="AB7" s="8">
        <f>AA7+1</f>
        <v>46077</v>
      </c>
      <c r="AC7" s="8">
        <f>AB7+1</f>
        <v>46078</v>
      </c>
      <c r="AD7" s="8">
        <f t="shared" ref="AD7:AH7" si="10">AC7+1</f>
        <v>46079</v>
      </c>
      <c r="AE7" s="8">
        <f t="shared" si="10"/>
        <v>46080</v>
      </c>
      <c r="AF7" s="8">
        <f t="shared" si="10"/>
        <v>46081</v>
      </c>
      <c r="AG7" s="8">
        <f t="shared" si="10"/>
        <v>46082</v>
      </c>
      <c r="AH7" s="8">
        <f t="shared" si="10"/>
        <v>46083</v>
      </c>
      <c r="AI7" s="8">
        <f>AH7+1</f>
        <v>46084</v>
      </c>
    </row>
    <row r="8" spans="1:35" ht="13">
      <c r="A8" s="111" t="s">
        <v>7</v>
      </c>
      <c r="B8" s="112" t="s">
        <v>8</v>
      </c>
      <c r="C8" s="4" t="s">
        <v>9</v>
      </c>
      <c r="D8" s="22">
        <f t="shared" ref="D8:D11" si="11">SUM(E8:AI8)</f>
        <v>3139</v>
      </c>
      <c r="E8" s="11">
        <v>160</v>
      </c>
      <c r="F8" s="10">
        <v>160</v>
      </c>
      <c r="G8" s="10">
        <v>160</v>
      </c>
      <c r="H8" s="10">
        <v>160</v>
      </c>
      <c r="I8" s="10">
        <v>160</v>
      </c>
      <c r="J8" s="10"/>
      <c r="K8" s="10">
        <v>54</v>
      </c>
      <c r="L8" s="11"/>
      <c r="M8" s="10">
        <f>19*4</f>
        <v>76</v>
      </c>
      <c r="N8" s="10">
        <v>90</v>
      </c>
      <c r="O8" s="10">
        <v>144</v>
      </c>
      <c r="P8" s="10">
        <v>104</v>
      </c>
      <c r="Q8" s="10">
        <f>19*8</f>
        <v>152</v>
      </c>
      <c r="R8" s="10">
        <f>19*8</f>
        <v>152</v>
      </c>
      <c r="S8" s="11">
        <v>152</v>
      </c>
      <c r="T8" s="10">
        <f>19*8</f>
        <v>152</v>
      </c>
      <c r="U8" s="10">
        <f>19*8</f>
        <v>152</v>
      </c>
      <c r="V8" s="10">
        <f>19*8</f>
        <v>152</v>
      </c>
      <c r="W8" s="10">
        <f>19*8</f>
        <v>152</v>
      </c>
      <c r="X8" s="10">
        <f>19*8</f>
        <v>152</v>
      </c>
      <c r="Y8" s="10">
        <f>28</f>
        <v>28</v>
      </c>
      <c r="Z8" s="11"/>
      <c r="AA8" s="13">
        <v>152</v>
      </c>
      <c r="AB8" s="13">
        <f>19*3</f>
        <v>57</v>
      </c>
      <c r="AC8" s="13">
        <f>19*5</f>
        <v>95</v>
      </c>
      <c r="AD8" s="13">
        <v>76</v>
      </c>
      <c r="AE8" s="13">
        <f>19*7</f>
        <v>133</v>
      </c>
      <c r="AF8" s="13">
        <f>19*6</f>
        <v>114</v>
      </c>
      <c r="AG8" s="13"/>
      <c r="AH8" s="13"/>
      <c r="AI8" s="13"/>
    </row>
    <row r="9" spans="1:35" ht="13">
      <c r="A9" s="111"/>
      <c r="B9" s="112"/>
      <c r="C9" s="4" t="s">
        <v>10</v>
      </c>
      <c r="D9" s="22">
        <f t="shared" si="11"/>
        <v>1923</v>
      </c>
      <c r="E9" s="11">
        <v>82</v>
      </c>
      <c r="F9" s="10">
        <v>84</v>
      </c>
      <c r="G9" s="10">
        <v>112</v>
      </c>
      <c r="H9" s="10">
        <v>120</v>
      </c>
      <c r="I9" s="10">
        <v>80</v>
      </c>
      <c r="J9" s="10"/>
      <c r="K9" s="10">
        <v>40</v>
      </c>
      <c r="L9" s="11"/>
      <c r="M9" s="10">
        <v>42</v>
      </c>
      <c r="N9" s="95">
        <v>76</v>
      </c>
      <c r="O9" s="10">
        <v>76</v>
      </c>
      <c r="P9" s="10">
        <v>92</v>
      </c>
      <c r="Q9" s="10">
        <v>92</v>
      </c>
      <c r="R9" s="10">
        <v>91</v>
      </c>
      <c r="S9" s="11">
        <v>46</v>
      </c>
      <c r="T9" s="13">
        <v>70</v>
      </c>
      <c r="U9" s="13">
        <v>70</v>
      </c>
      <c r="V9" s="13">
        <v>81</v>
      </c>
      <c r="W9" s="10">
        <v>80</v>
      </c>
      <c r="X9" s="13">
        <v>100</v>
      </c>
      <c r="Y9" s="13">
        <v>23</v>
      </c>
      <c r="Z9" s="11"/>
      <c r="AA9" s="13">
        <v>122</v>
      </c>
      <c r="AB9" s="13">
        <v>44</v>
      </c>
      <c r="AC9" s="13">
        <v>72</v>
      </c>
      <c r="AD9" s="13">
        <v>56</v>
      </c>
      <c r="AE9" s="13">
        <v>98</v>
      </c>
      <c r="AF9" s="13">
        <v>74</v>
      </c>
      <c r="AG9" s="13"/>
      <c r="AH9" s="13"/>
      <c r="AI9" s="10"/>
    </row>
    <row r="10" spans="1:35">
      <c r="A10" s="111"/>
      <c r="B10" s="113" t="s">
        <v>11</v>
      </c>
      <c r="C10" s="5" t="s">
        <v>9</v>
      </c>
      <c r="D10" s="19">
        <f t="shared" si="11"/>
        <v>1281</v>
      </c>
      <c r="E10" s="11"/>
      <c r="F10" s="12">
        <v>56</v>
      </c>
      <c r="G10" s="12"/>
      <c r="H10" s="12"/>
      <c r="I10" s="12"/>
      <c r="J10" s="12"/>
      <c r="K10" s="12"/>
      <c r="L10" s="11"/>
      <c r="M10" s="12">
        <f>8*19</f>
        <v>152</v>
      </c>
      <c r="N10" s="12">
        <v>54</v>
      </c>
      <c r="O10" s="12">
        <f>72</f>
        <v>72</v>
      </c>
      <c r="P10" s="12">
        <f>19*6+38</f>
        <v>152</v>
      </c>
      <c r="Q10" s="12">
        <f>19*4</f>
        <v>76</v>
      </c>
      <c r="R10" s="12">
        <v>35</v>
      </c>
      <c r="S10" s="11"/>
      <c r="T10" s="12">
        <v>38</v>
      </c>
      <c r="U10" s="12"/>
      <c r="V10" s="12">
        <v>38</v>
      </c>
      <c r="W10" s="12">
        <v>95</v>
      </c>
      <c r="X10" s="12">
        <v>152</v>
      </c>
      <c r="Y10" s="12">
        <v>57</v>
      </c>
      <c r="Z10" s="11"/>
      <c r="AA10" s="12"/>
      <c r="AB10" s="12">
        <f>19*7</f>
        <v>133</v>
      </c>
      <c r="AC10" s="12">
        <v>152</v>
      </c>
      <c r="AD10" s="12">
        <v>19</v>
      </c>
      <c r="AE10" s="12"/>
      <c r="AF10" s="12"/>
      <c r="AG10" s="12"/>
      <c r="AH10" s="12"/>
      <c r="AI10" s="12"/>
    </row>
    <row r="11" spans="1:35">
      <c r="A11" s="111"/>
      <c r="B11" s="113"/>
      <c r="C11" s="5" t="s">
        <v>10</v>
      </c>
      <c r="D11" s="19">
        <f t="shared" si="11"/>
        <v>749</v>
      </c>
      <c r="E11" s="11"/>
      <c r="F11" s="12">
        <v>16</v>
      </c>
      <c r="G11" s="12">
        <v>28</v>
      </c>
      <c r="H11" s="12"/>
      <c r="I11" s="12"/>
      <c r="J11" s="12">
        <v>44</v>
      </c>
      <c r="K11" s="12"/>
      <c r="L11" s="11"/>
      <c r="M11" s="12">
        <v>82</v>
      </c>
      <c r="N11" s="12">
        <v>16</v>
      </c>
      <c r="O11" s="12">
        <v>32</v>
      </c>
      <c r="P11" s="12">
        <v>104</v>
      </c>
      <c r="Q11" s="12">
        <v>32</v>
      </c>
      <c r="R11" s="12">
        <v>22</v>
      </c>
      <c r="S11" s="11"/>
      <c r="T11" s="12">
        <v>22</v>
      </c>
      <c r="U11" s="12"/>
      <c r="V11" s="12">
        <v>32</v>
      </c>
      <c r="W11" s="12">
        <v>77</v>
      </c>
      <c r="X11" s="12">
        <v>84</v>
      </c>
      <c r="Y11" s="12">
        <v>44</v>
      </c>
      <c r="Z11" s="11"/>
      <c r="AA11" s="12"/>
      <c r="AB11" s="12">
        <v>42</v>
      </c>
      <c r="AC11" s="12">
        <v>54</v>
      </c>
      <c r="AD11" s="12">
        <v>18</v>
      </c>
      <c r="AE11" s="12"/>
      <c r="AF11" s="12"/>
      <c r="AG11" s="12"/>
      <c r="AH11" s="12"/>
      <c r="AI11" s="12"/>
    </row>
    <row r="12" spans="1:35" ht="13">
      <c r="A12" s="111"/>
      <c r="B12" s="112" t="s">
        <v>12</v>
      </c>
      <c r="C12" s="4" t="s">
        <v>9</v>
      </c>
      <c r="D12" s="22">
        <f t="shared" ref="D12:D36" si="12">SUM(E12:AI12)</f>
        <v>4420</v>
      </c>
      <c r="E12" s="7">
        <f>E8+E10</f>
        <v>160</v>
      </c>
      <c r="F12" s="13">
        <f t="shared" ref="F12:AI13" si="13">F8+F10</f>
        <v>216</v>
      </c>
      <c r="G12" s="13">
        <f>G8+G10</f>
        <v>160</v>
      </c>
      <c r="H12" s="13">
        <f t="shared" si="13"/>
        <v>160</v>
      </c>
      <c r="I12" s="13">
        <f t="shared" si="13"/>
        <v>160</v>
      </c>
      <c r="J12" s="13">
        <f t="shared" si="13"/>
        <v>0</v>
      </c>
      <c r="K12" s="13">
        <f t="shared" si="13"/>
        <v>54</v>
      </c>
      <c r="L12" s="11">
        <f t="shared" si="13"/>
        <v>0</v>
      </c>
      <c r="M12" s="13">
        <f t="shared" si="13"/>
        <v>228</v>
      </c>
      <c r="N12" s="13">
        <f t="shared" si="13"/>
        <v>144</v>
      </c>
      <c r="O12" s="13">
        <f t="shared" si="13"/>
        <v>216</v>
      </c>
      <c r="P12" s="13">
        <f t="shared" si="13"/>
        <v>256</v>
      </c>
      <c r="Q12" s="13">
        <f t="shared" si="13"/>
        <v>228</v>
      </c>
      <c r="R12" s="13">
        <f t="shared" si="13"/>
        <v>187</v>
      </c>
      <c r="S12" s="11">
        <f t="shared" si="13"/>
        <v>152</v>
      </c>
      <c r="T12" s="13">
        <f t="shared" si="13"/>
        <v>190</v>
      </c>
      <c r="U12" s="13">
        <f t="shared" si="13"/>
        <v>152</v>
      </c>
      <c r="V12" s="13">
        <f t="shared" si="13"/>
        <v>190</v>
      </c>
      <c r="W12" s="13">
        <f t="shared" si="13"/>
        <v>247</v>
      </c>
      <c r="X12" s="13">
        <f t="shared" si="13"/>
        <v>304</v>
      </c>
      <c r="Y12" s="13">
        <f t="shared" si="13"/>
        <v>85</v>
      </c>
      <c r="Z12" s="11">
        <f t="shared" si="13"/>
        <v>0</v>
      </c>
      <c r="AA12" s="13">
        <f t="shared" si="13"/>
        <v>152</v>
      </c>
      <c r="AB12" s="13">
        <f t="shared" si="13"/>
        <v>190</v>
      </c>
      <c r="AC12" s="13">
        <f t="shared" si="13"/>
        <v>247</v>
      </c>
      <c r="AD12" s="13">
        <f t="shared" si="13"/>
        <v>95</v>
      </c>
      <c r="AE12" s="13">
        <f t="shared" si="13"/>
        <v>133</v>
      </c>
      <c r="AF12" s="13">
        <f t="shared" si="13"/>
        <v>114</v>
      </c>
      <c r="AG12" s="13">
        <f t="shared" si="13"/>
        <v>0</v>
      </c>
      <c r="AH12" s="13">
        <f t="shared" si="13"/>
        <v>0</v>
      </c>
      <c r="AI12" s="13">
        <f t="shared" si="13"/>
        <v>0</v>
      </c>
    </row>
    <row r="13" spans="1:35" ht="13">
      <c r="A13" s="111"/>
      <c r="B13" s="112"/>
      <c r="C13" s="4" t="s">
        <v>10</v>
      </c>
      <c r="D13" s="22">
        <f t="shared" si="12"/>
        <v>2672</v>
      </c>
      <c r="E13" s="7">
        <f>E9+E11</f>
        <v>82</v>
      </c>
      <c r="F13" s="13">
        <f t="shared" si="13"/>
        <v>100</v>
      </c>
      <c r="G13" s="13">
        <f>G9+G11</f>
        <v>140</v>
      </c>
      <c r="H13" s="13">
        <f t="shared" si="13"/>
        <v>120</v>
      </c>
      <c r="I13" s="13">
        <f t="shared" si="13"/>
        <v>80</v>
      </c>
      <c r="J13" s="13">
        <f t="shared" si="13"/>
        <v>44</v>
      </c>
      <c r="K13" s="13">
        <f t="shared" si="13"/>
        <v>40</v>
      </c>
      <c r="L13" s="11">
        <f t="shared" si="13"/>
        <v>0</v>
      </c>
      <c r="M13" s="13">
        <f t="shared" si="13"/>
        <v>124</v>
      </c>
      <c r="N13" s="13">
        <f t="shared" si="13"/>
        <v>92</v>
      </c>
      <c r="O13" s="13">
        <f t="shared" si="13"/>
        <v>108</v>
      </c>
      <c r="P13" s="13">
        <f t="shared" si="13"/>
        <v>196</v>
      </c>
      <c r="Q13" s="13">
        <f t="shared" si="13"/>
        <v>124</v>
      </c>
      <c r="R13" s="13">
        <f t="shared" si="13"/>
        <v>113</v>
      </c>
      <c r="S13" s="11">
        <f t="shared" si="13"/>
        <v>46</v>
      </c>
      <c r="T13" s="13">
        <f t="shared" si="13"/>
        <v>92</v>
      </c>
      <c r="U13" s="13">
        <f t="shared" si="13"/>
        <v>70</v>
      </c>
      <c r="V13" s="13">
        <f t="shared" si="13"/>
        <v>113</v>
      </c>
      <c r="W13" s="13">
        <f t="shared" si="13"/>
        <v>157</v>
      </c>
      <c r="X13" s="13">
        <f t="shared" si="13"/>
        <v>184</v>
      </c>
      <c r="Y13" s="13">
        <f t="shared" si="13"/>
        <v>67</v>
      </c>
      <c r="Z13" s="11">
        <f t="shared" si="13"/>
        <v>0</v>
      </c>
      <c r="AA13" s="13">
        <f t="shared" si="13"/>
        <v>122</v>
      </c>
      <c r="AB13" s="13">
        <f t="shared" si="13"/>
        <v>86</v>
      </c>
      <c r="AC13" s="13">
        <f t="shared" si="13"/>
        <v>126</v>
      </c>
      <c r="AD13" s="13">
        <f t="shared" si="13"/>
        <v>74</v>
      </c>
      <c r="AE13" s="13">
        <f t="shared" si="13"/>
        <v>98</v>
      </c>
      <c r="AF13" s="13">
        <f t="shared" si="13"/>
        <v>74</v>
      </c>
      <c r="AG13" s="13">
        <f t="shared" si="13"/>
        <v>0</v>
      </c>
      <c r="AH13" s="13">
        <f t="shared" si="13"/>
        <v>0</v>
      </c>
      <c r="AI13" s="13">
        <f t="shared" si="13"/>
        <v>0</v>
      </c>
    </row>
    <row r="14" spans="1:35" ht="13">
      <c r="A14" s="111"/>
      <c r="B14" s="114" t="s">
        <v>209</v>
      </c>
      <c r="C14" s="115"/>
      <c r="D14" s="25">
        <f t="shared" si="12"/>
        <v>3276</v>
      </c>
      <c r="E14" s="35"/>
      <c r="F14" s="35">
        <v>150</v>
      </c>
      <c r="G14" s="35">
        <v>120</v>
      </c>
      <c r="H14" s="35">
        <v>30</v>
      </c>
      <c r="I14" s="35">
        <v>210</v>
      </c>
      <c r="J14" s="35">
        <f>7*60</f>
        <v>420</v>
      </c>
      <c r="K14" s="35">
        <v>240</v>
      </c>
      <c r="L14" s="11"/>
      <c r="M14" s="35">
        <v>210</v>
      </c>
      <c r="N14" s="35">
        <v>60</v>
      </c>
      <c r="O14" s="35">
        <v>120</v>
      </c>
      <c r="P14" s="35">
        <v>60</v>
      </c>
      <c r="Q14" s="35">
        <v>180</v>
      </c>
      <c r="R14" s="35">
        <v>180</v>
      </c>
      <c r="S14" s="11">
        <v>120</v>
      </c>
      <c r="T14" s="35">
        <v>150</v>
      </c>
      <c r="U14" s="35">
        <v>240</v>
      </c>
      <c r="V14" s="35">
        <v>240</v>
      </c>
      <c r="W14" s="35">
        <v>240</v>
      </c>
      <c r="X14" s="35"/>
      <c r="Y14" s="35"/>
      <c r="Z14" s="11"/>
      <c r="AA14" s="35"/>
      <c r="AB14" s="35"/>
      <c r="AC14" s="35">
        <v>60</v>
      </c>
      <c r="AD14" s="35">
        <v>60</v>
      </c>
      <c r="AE14" s="35">
        <v>60</v>
      </c>
      <c r="AF14" s="35">
        <v>126</v>
      </c>
      <c r="AG14" s="35"/>
      <c r="AH14" s="35"/>
      <c r="AI14" s="35"/>
    </row>
    <row r="15" spans="1:35" ht="13">
      <c r="A15" s="111"/>
      <c r="B15" s="114" t="s">
        <v>210</v>
      </c>
      <c r="C15" s="115"/>
      <c r="D15" s="25">
        <f t="shared" si="12"/>
        <v>1000</v>
      </c>
      <c r="E15" s="35"/>
      <c r="F15" s="35">
        <v>90</v>
      </c>
      <c r="G15" s="35">
        <v>90</v>
      </c>
      <c r="H15" s="35">
        <v>0</v>
      </c>
      <c r="I15" s="35">
        <v>0</v>
      </c>
      <c r="J15" s="35">
        <v>0</v>
      </c>
      <c r="K15" s="35">
        <v>0</v>
      </c>
      <c r="L15" s="11"/>
      <c r="M15" s="35">
        <v>210</v>
      </c>
      <c r="N15" s="35">
        <v>60</v>
      </c>
      <c r="O15" s="35">
        <v>120</v>
      </c>
      <c r="P15" s="35">
        <v>90</v>
      </c>
      <c r="Q15" s="35">
        <v>120</v>
      </c>
      <c r="R15" s="35">
        <v>40</v>
      </c>
      <c r="S15" s="11"/>
      <c r="T15" s="35"/>
      <c r="U15" s="35"/>
      <c r="V15" s="35">
        <v>30</v>
      </c>
      <c r="W15" s="35">
        <v>60</v>
      </c>
      <c r="X15" s="35"/>
      <c r="Y15" s="35"/>
      <c r="Z15" s="11"/>
      <c r="AA15" s="35"/>
      <c r="AB15" s="35"/>
      <c r="AC15" s="35">
        <f>90</f>
        <v>90</v>
      </c>
      <c r="AD15" s="35"/>
      <c r="AE15" s="35"/>
      <c r="AF15" s="35"/>
      <c r="AG15" s="35"/>
      <c r="AH15" s="35"/>
      <c r="AI15" s="35"/>
    </row>
    <row r="16" spans="1:35" ht="13">
      <c r="A16" s="111"/>
      <c r="B16" s="114" t="s">
        <v>213</v>
      </c>
      <c r="C16" s="115"/>
      <c r="D16" s="25">
        <f t="shared" si="12"/>
        <v>1956</v>
      </c>
      <c r="E16" s="35">
        <v>246</v>
      </c>
      <c r="F16" s="35"/>
      <c r="G16" s="35">
        <v>0</v>
      </c>
      <c r="H16" s="35"/>
      <c r="I16" s="35"/>
      <c r="J16" s="35"/>
      <c r="K16" s="35"/>
      <c r="L16" s="11"/>
      <c r="M16" s="35"/>
      <c r="N16" s="35">
        <v>150</v>
      </c>
      <c r="O16" s="35"/>
      <c r="P16" s="35">
        <v>60</v>
      </c>
      <c r="Q16" s="35"/>
      <c r="R16" s="35"/>
      <c r="S16" s="11">
        <v>300</v>
      </c>
      <c r="T16" s="35">
        <v>150</v>
      </c>
      <c r="U16" s="35"/>
      <c r="V16" s="35"/>
      <c r="W16" s="35"/>
      <c r="X16" s="35">
        <v>240</v>
      </c>
      <c r="Y16" s="35">
        <v>60</v>
      </c>
      <c r="Z16" s="11"/>
      <c r="AA16" s="35">
        <v>90</v>
      </c>
      <c r="AB16" s="35">
        <f>60*5</f>
        <v>300</v>
      </c>
      <c r="AC16" s="35">
        <v>300</v>
      </c>
      <c r="AD16" s="35"/>
      <c r="AE16" s="35">
        <v>60</v>
      </c>
      <c r="AF16" s="35"/>
      <c r="AG16" s="35"/>
      <c r="AH16" s="35"/>
      <c r="AI16" s="35"/>
    </row>
    <row r="17" spans="1:35" s="21" customFormat="1" ht="42" customHeight="1">
      <c r="A17" s="111"/>
      <c r="B17" s="14"/>
      <c r="C17" s="14" t="s">
        <v>13</v>
      </c>
      <c r="D17" s="14"/>
      <c r="E17" s="44"/>
      <c r="F17" s="62" t="s">
        <v>227</v>
      </c>
      <c r="G17" s="30" t="s">
        <v>134</v>
      </c>
      <c r="H17" s="30" t="s">
        <v>228</v>
      </c>
      <c r="I17" s="30" t="s">
        <v>229</v>
      </c>
      <c r="J17" s="30" t="s">
        <v>230</v>
      </c>
      <c r="K17" s="30" t="s">
        <v>230</v>
      </c>
      <c r="L17" s="15"/>
      <c r="M17" s="30" t="s">
        <v>231</v>
      </c>
      <c r="N17" s="30" t="s">
        <v>231</v>
      </c>
      <c r="O17" s="30"/>
      <c r="P17" s="30" t="s">
        <v>231</v>
      </c>
      <c r="Q17" s="30" t="s">
        <v>231</v>
      </c>
      <c r="R17" s="30" t="s">
        <v>231</v>
      </c>
      <c r="S17" s="15" t="s">
        <v>232</v>
      </c>
      <c r="T17" s="30" t="s">
        <v>233</v>
      </c>
      <c r="U17" s="30" t="s">
        <v>234</v>
      </c>
      <c r="V17" s="30" t="s">
        <v>234</v>
      </c>
      <c r="W17" s="30" t="s">
        <v>234</v>
      </c>
      <c r="X17" s="30" t="s">
        <v>201</v>
      </c>
      <c r="Y17" s="30" t="s">
        <v>234</v>
      </c>
      <c r="Z17" s="11"/>
      <c r="AA17" s="30" t="s">
        <v>234</v>
      </c>
      <c r="AB17" s="30" t="s">
        <v>235</v>
      </c>
      <c r="AC17" s="30" t="s">
        <v>235</v>
      </c>
      <c r="AD17" s="41"/>
      <c r="AE17" s="41" t="s">
        <v>236</v>
      </c>
      <c r="AF17" s="30"/>
      <c r="AG17" s="41"/>
      <c r="AH17" s="41"/>
      <c r="AI17" s="30"/>
    </row>
    <row r="18" spans="1:35" ht="13">
      <c r="A18" s="111" t="s">
        <v>16</v>
      </c>
      <c r="B18" s="112" t="s">
        <v>8</v>
      </c>
      <c r="C18" s="4" t="s">
        <v>9</v>
      </c>
      <c r="D18" s="22">
        <f t="shared" ref="D18:D21" si="14">SUM(E18:AI18)</f>
        <v>1728</v>
      </c>
      <c r="E18" s="11"/>
      <c r="F18" s="10">
        <v>128</v>
      </c>
      <c r="G18" s="10">
        <v>120</v>
      </c>
      <c r="H18" s="10">
        <v>128</v>
      </c>
      <c r="I18" s="10">
        <v>128</v>
      </c>
      <c r="J18" s="10">
        <v>128</v>
      </c>
      <c r="K18" s="10">
        <v>80</v>
      </c>
      <c r="L18" s="11"/>
      <c r="M18" s="10">
        <f>16*5</f>
        <v>80</v>
      </c>
      <c r="N18" s="10">
        <v>48</v>
      </c>
      <c r="O18" s="10">
        <v>128</v>
      </c>
      <c r="P18" s="10">
        <f>16*2.5</f>
        <v>40</v>
      </c>
      <c r="Q18" s="10">
        <f>16*8</f>
        <v>128</v>
      </c>
      <c r="R18" s="10">
        <f>16*8</f>
        <v>128</v>
      </c>
      <c r="S18" s="11"/>
      <c r="T18" s="13">
        <v>128</v>
      </c>
      <c r="U18" s="13"/>
      <c r="V18" s="10"/>
      <c r="W18" s="10"/>
      <c r="X18" s="10"/>
      <c r="Y18" s="10">
        <v>96</v>
      </c>
      <c r="Z18" s="15"/>
      <c r="AA18" s="10"/>
      <c r="AB18" s="10">
        <v>80</v>
      </c>
      <c r="AC18" s="10">
        <v>48</v>
      </c>
      <c r="AD18" s="10">
        <v>64</v>
      </c>
      <c r="AE18" s="10">
        <v>16</v>
      </c>
      <c r="AF18" s="10">
        <v>32</v>
      </c>
      <c r="AG18" s="10"/>
      <c r="AH18" s="10"/>
      <c r="AI18" s="10"/>
    </row>
    <row r="19" spans="1:35" ht="13">
      <c r="A19" s="111"/>
      <c r="B19" s="112"/>
      <c r="C19" s="4" t="s">
        <v>10</v>
      </c>
      <c r="D19" s="22">
        <f t="shared" si="14"/>
        <v>1038</v>
      </c>
      <c r="E19" s="11"/>
      <c r="F19" s="22">
        <v>75</v>
      </c>
      <c r="G19" s="22">
        <v>69</v>
      </c>
      <c r="H19" s="22">
        <v>88</v>
      </c>
      <c r="I19" s="10">
        <v>61</v>
      </c>
      <c r="J19" s="10">
        <v>88</v>
      </c>
      <c r="K19" s="10">
        <f>108-32</f>
        <v>76</v>
      </c>
      <c r="L19" s="11"/>
      <c r="M19" s="10">
        <v>36</v>
      </c>
      <c r="N19" s="10">
        <v>44</v>
      </c>
      <c r="O19" s="10">
        <v>44</v>
      </c>
      <c r="P19" s="10">
        <v>32</v>
      </c>
      <c r="Q19" s="10">
        <v>68</v>
      </c>
      <c r="R19" s="10">
        <v>51</v>
      </c>
      <c r="S19" s="11"/>
      <c r="T19" s="13">
        <v>16</v>
      </c>
      <c r="U19" s="10"/>
      <c r="V19" s="10"/>
      <c r="W19" s="10"/>
      <c r="X19" s="10"/>
      <c r="Y19" s="10">
        <v>84</v>
      </c>
      <c r="Z19" s="11"/>
      <c r="AA19" s="10"/>
      <c r="AB19" s="10">
        <v>68</v>
      </c>
      <c r="AC19" s="10">
        <v>40</v>
      </c>
      <c r="AD19" s="10">
        <v>62</v>
      </c>
      <c r="AE19" s="10">
        <v>12</v>
      </c>
      <c r="AF19" s="10">
        <v>24</v>
      </c>
      <c r="AG19" s="10"/>
      <c r="AH19" s="10"/>
      <c r="AI19" s="10"/>
    </row>
    <row r="20" spans="1:35">
      <c r="A20" s="111"/>
      <c r="B20" s="113" t="s">
        <v>11</v>
      </c>
      <c r="C20" s="5" t="s">
        <v>9</v>
      </c>
      <c r="D20" s="19">
        <f t="shared" si="14"/>
        <v>1273</v>
      </c>
      <c r="E20" s="11"/>
      <c r="F20" s="12">
        <v>45</v>
      </c>
      <c r="G20" s="12"/>
      <c r="H20" s="12"/>
      <c r="I20" s="12"/>
      <c r="J20" s="12"/>
      <c r="K20" s="12">
        <v>48</v>
      </c>
      <c r="L20" s="11"/>
      <c r="M20" s="12">
        <v>48</v>
      </c>
      <c r="N20" s="12">
        <v>128</v>
      </c>
      <c r="O20" s="12"/>
      <c r="P20" s="12">
        <f>96+32</f>
        <v>128</v>
      </c>
      <c r="Q20" s="12"/>
      <c r="R20" s="12">
        <v>32</v>
      </c>
      <c r="S20" s="11"/>
      <c r="T20" s="12">
        <v>96</v>
      </c>
      <c r="U20" s="12">
        <v>128</v>
      </c>
      <c r="V20" s="12">
        <v>96</v>
      </c>
      <c r="W20" s="12">
        <v>48</v>
      </c>
      <c r="X20" s="12">
        <v>128</v>
      </c>
      <c r="Y20" s="12">
        <v>80</v>
      </c>
      <c r="Z20" s="11"/>
      <c r="AA20" s="12">
        <v>64</v>
      </c>
      <c r="AB20" s="12">
        <v>16</v>
      </c>
      <c r="AC20" s="12"/>
      <c r="AD20" s="12">
        <v>112</v>
      </c>
      <c r="AE20" s="12">
        <f>19*4</f>
        <v>76</v>
      </c>
      <c r="AF20" s="12"/>
      <c r="AG20" s="12"/>
      <c r="AH20" s="12"/>
      <c r="AI20" s="12"/>
    </row>
    <row r="21" spans="1:35">
      <c r="A21" s="111"/>
      <c r="B21" s="113"/>
      <c r="C21" s="5" t="s">
        <v>10</v>
      </c>
      <c r="D21" s="19">
        <f t="shared" si="14"/>
        <v>774</v>
      </c>
      <c r="E21" s="11"/>
      <c r="F21" s="12">
        <v>12</v>
      </c>
      <c r="G21" s="12">
        <v>27</v>
      </c>
      <c r="H21" s="12">
        <v>32</v>
      </c>
      <c r="I21" s="12"/>
      <c r="J21" s="12"/>
      <c r="K21" s="12">
        <v>32</v>
      </c>
      <c r="L21" s="11"/>
      <c r="M21" s="12">
        <v>16</v>
      </c>
      <c r="N21" s="12">
        <v>68</v>
      </c>
      <c r="O21" s="12">
        <v>32</v>
      </c>
      <c r="P21" s="12">
        <f>44+16</f>
        <v>60</v>
      </c>
      <c r="Q21" s="12"/>
      <c r="R21" s="12">
        <v>18</v>
      </c>
      <c r="S21" s="11"/>
      <c r="T21" s="12">
        <v>76</v>
      </c>
      <c r="U21" s="12">
        <v>70</v>
      </c>
      <c r="V21" s="12">
        <v>68</v>
      </c>
      <c r="W21" s="12">
        <v>38</v>
      </c>
      <c r="X21" s="12">
        <v>56</v>
      </c>
      <c r="Y21" s="12">
        <v>48</v>
      </c>
      <c r="Z21" s="11"/>
      <c r="AA21" s="12">
        <v>40</v>
      </c>
      <c r="AB21" s="12">
        <v>11</v>
      </c>
      <c r="AC21" s="12"/>
      <c r="AD21" s="12">
        <v>46</v>
      </c>
      <c r="AE21" s="12">
        <v>24</v>
      </c>
      <c r="AF21" s="12"/>
      <c r="AG21" s="12"/>
      <c r="AH21" s="12"/>
      <c r="AI21" s="12"/>
    </row>
    <row r="22" spans="1:35" ht="13">
      <c r="A22" s="111"/>
      <c r="B22" s="112" t="s">
        <v>12</v>
      </c>
      <c r="C22" s="4" t="s">
        <v>9</v>
      </c>
      <c r="D22" s="22">
        <f t="shared" si="12"/>
        <v>3001</v>
      </c>
      <c r="E22" s="7">
        <f>E18+E20</f>
        <v>0</v>
      </c>
      <c r="F22" s="13">
        <f t="shared" ref="F22:AI23" si="15">F18+F20</f>
        <v>173</v>
      </c>
      <c r="G22" s="13">
        <f t="shared" si="15"/>
        <v>120</v>
      </c>
      <c r="H22" s="13">
        <f t="shared" si="15"/>
        <v>128</v>
      </c>
      <c r="I22" s="13">
        <f t="shared" si="15"/>
        <v>128</v>
      </c>
      <c r="J22" s="13">
        <f t="shared" si="15"/>
        <v>128</v>
      </c>
      <c r="K22" s="13">
        <f t="shared" si="15"/>
        <v>128</v>
      </c>
      <c r="L22" s="7">
        <f t="shared" si="15"/>
        <v>0</v>
      </c>
      <c r="M22" s="13">
        <f t="shared" si="15"/>
        <v>128</v>
      </c>
      <c r="N22" s="13">
        <f t="shared" si="15"/>
        <v>176</v>
      </c>
      <c r="O22" s="13">
        <f t="shared" si="15"/>
        <v>128</v>
      </c>
      <c r="P22" s="13">
        <f t="shared" si="15"/>
        <v>168</v>
      </c>
      <c r="Q22" s="13">
        <f t="shared" si="15"/>
        <v>128</v>
      </c>
      <c r="R22" s="13">
        <f t="shared" si="15"/>
        <v>160</v>
      </c>
      <c r="S22" s="7">
        <f t="shared" si="15"/>
        <v>0</v>
      </c>
      <c r="T22" s="13">
        <f t="shared" si="15"/>
        <v>224</v>
      </c>
      <c r="U22" s="13">
        <f t="shared" si="15"/>
        <v>128</v>
      </c>
      <c r="V22" s="13">
        <f t="shared" si="15"/>
        <v>96</v>
      </c>
      <c r="W22" s="13">
        <f t="shared" si="15"/>
        <v>48</v>
      </c>
      <c r="X22" s="13">
        <f t="shared" si="15"/>
        <v>128</v>
      </c>
      <c r="Y22" s="13">
        <f t="shared" si="15"/>
        <v>176</v>
      </c>
      <c r="Z22" s="7">
        <f t="shared" si="15"/>
        <v>0</v>
      </c>
      <c r="AA22" s="13">
        <f t="shared" si="15"/>
        <v>64</v>
      </c>
      <c r="AB22" s="13">
        <f t="shared" si="15"/>
        <v>96</v>
      </c>
      <c r="AC22" s="13">
        <f t="shared" si="15"/>
        <v>48</v>
      </c>
      <c r="AD22" s="13">
        <f t="shared" si="15"/>
        <v>176</v>
      </c>
      <c r="AE22" s="13">
        <f t="shared" si="15"/>
        <v>92</v>
      </c>
      <c r="AF22" s="13">
        <f t="shared" si="15"/>
        <v>32</v>
      </c>
      <c r="AG22" s="13">
        <f t="shared" si="15"/>
        <v>0</v>
      </c>
      <c r="AH22" s="13">
        <f t="shared" si="15"/>
        <v>0</v>
      </c>
      <c r="AI22" s="13">
        <f t="shared" si="15"/>
        <v>0</v>
      </c>
    </row>
    <row r="23" spans="1:35" ht="13">
      <c r="A23" s="111"/>
      <c r="B23" s="112"/>
      <c r="C23" s="4" t="s">
        <v>10</v>
      </c>
      <c r="D23" s="22">
        <f t="shared" si="12"/>
        <v>1812</v>
      </c>
      <c r="E23" s="7">
        <f>E19+E21</f>
        <v>0</v>
      </c>
      <c r="F23" s="13">
        <f t="shared" si="15"/>
        <v>87</v>
      </c>
      <c r="G23" s="13">
        <f t="shared" si="15"/>
        <v>96</v>
      </c>
      <c r="H23" s="13">
        <f t="shared" si="15"/>
        <v>120</v>
      </c>
      <c r="I23" s="13">
        <f t="shared" si="15"/>
        <v>61</v>
      </c>
      <c r="J23" s="13">
        <f t="shared" si="15"/>
        <v>88</v>
      </c>
      <c r="K23" s="13">
        <f t="shared" si="15"/>
        <v>108</v>
      </c>
      <c r="L23" s="7">
        <f t="shared" si="15"/>
        <v>0</v>
      </c>
      <c r="M23" s="13">
        <f t="shared" si="15"/>
        <v>52</v>
      </c>
      <c r="N23" s="13">
        <f t="shared" si="15"/>
        <v>112</v>
      </c>
      <c r="O23" s="13">
        <f t="shared" si="15"/>
        <v>76</v>
      </c>
      <c r="P23" s="13">
        <f t="shared" si="15"/>
        <v>92</v>
      </c>
      <c r="Q23" s="13">
        <f t="shared" si="15"/>
        <v>68</v>
      </c>
      <c r="R23" s="13">
        <f t="shared" si="15"/>
        <v>69</v>
      </c>
      <c r="S23" s="7">
        <f t="shared" si="15"/>
        <v>0</v>
      </c>
      <c r="T23" s="13">
        <f t="shared" si="15"/>
        <v>92</v>
      </c>
      <c r="U23" s="13">
        <f t="shared" si="15"/>
        <v>70</v>
      </c>
      <c r="V23" s="13">
        <f t="shared" si="15"/>
        <v>68</v>
      </c>
      <c r="W23" s="13">
        <f t="shared" si="15"/>
        <v>38</v>
      </c>
      <c r="X23" s="13">
        <f t="shared" si="15"/>
        <v>56</v>
      </c>
      <c r="Y23" s="13">
        <f t="shared" si="15"/>
        <v>132</v>
      </c>
      <c r="Z23" s="7">
        <f t="shared" si="15"/>
        <v>0</v>
      </c>
      <c r="AA23" s="13">
        <f t="shared" si="15"/>
        <v>40</v>
      </c>
      <c r="AB23" s="13">
        <f t="shared" si="15"/>
        <v>79</v>
      </c>
      <c r="AC23" s="13">
        <f t="shared" si="15"/>
        <v>40</v>
      </c>
      <c r="AD23" s="13">
        <f t="shared" si="15"/>
        <v>108</v>
      </c>
      <c r="AE23" s="13">
        <f t="shared" si="15"/>
        <v>36</v>
      </c>
      <c r="AF23" s="13">
        <f t="shared" si="15"/>
        <v>24</v>
      </c>
      <c r="AG23" s="13">
        <f t="shared" si="15"/>
        <v>0</v>
      </c>
      <c r="AH23" s="13">
        <f t="shared" si="15"/>
        <v>0</v>
      </c>
      <c r="AI23" s="13">
        <f t="shared" si="15"/>
        <v>0</v>
      </c>
    </row>
    <row r="24" spans="1:35" ht="13">
      <c r="A24" s="111"/>
      <c r="B24" s="114" t="s">
        <v>209</v>
      </c>
      <c r="C24" s="115"/>
      <c r="D24" s="25">
        <f t="shared" si="12"/>
        <v>2075.3000000000002</v>
      </c>
      <c r="E24" s="26"/>
      <c r="F24" s="26">
        <v>120</v>
      </c>
      <c r="G24" s="26"/>
      <c r="H24" s="26">
        <v>35</v>
      </c>
      <c r="I24" s="26">
        <v>210</v>
      </c>
      <c r="J24" s="26"/>
      <c r="K24" s="26">
        <v>210</v>
      </c>
      <c r="L24" s="26"/>
      <c r="M24" s="26">
        <v>210</v>
      </c>
      <c r="N24" s="26"/>
      <c r="O24" s="26">
        <v>180</v>
      </c>
      <c r="P24" s="26">
        <v>0.3</v>
      </c>
      <c r="Q24" s="26">
        <v>240</v>
      </c>
      <c r="R24" s="26">
        <v>240</v>
      </c>
      <c r="S24" s="26"/>
      <c r="T24" s="26">
        <v>360</v>
      </c>
      <c r="U24" s="26">
        <v>210</v>
      </c>
      <c r="V24" s="26"/>
      <c r="W24" s="26"/>
      <c r="X24" s="26"/>
      <c r="Y24" s="26"/>
      <c r="Z24" s="26"/>
      <c r="AA24" s="26"/>
      <c r="AB24" s="26"/>
      <c r="AC24" s="26">
        <v>30</v>
      </c>
      <c r="AD24" s="26"/>
      <c r="AE24" s="26"/>
      <c r="AF24" s="26">
        <v>30</v>
      </c>
      <c r="AG24" s="26"/>
      <c r="AH24" s="26"/>
      <c r="AI24" s="26"/>
    </row>
    <row r="25" spans="1:35" ht="13">
      <c r="A25" s="111"/>
      <c r="B25" s="114" t="s">
        <v>210</v>
      </c>
      <c r="C25" s="115"/>
      <c r="D25" s="25">
        <f t="shared" si="12"/>
        <v>1030</v>
      </c>
      <c r="E25" s="26"/>
      <c r="F25" s="26">
        <v>120</v>
      </c>
      <c r="G25" s="26"/>
      <c r="H25" s="26">
        <v>0</v>
      </c>
      <c r="I25" s="26">
        <v>0</v>
      </c>
      <c r="J25" s="26">
        <v>0</v>
      </c>
      <c r="K25" s="26">
        <v>0</v>
      </c>
      <c r="L25" s="26"/>
      <c r="M25" s="26">
        <v>150</v>
      </c>
      <c r="N25" s="26">
        <v>300</v>
      </c>
      <c r="O25" s="26"/>
      <c r="P25" s="26">
        <v>240</v>
      </c>
      <c r="Q25" s="26"/>
      <c r="R25" s="26"/>
      <c r="S25" s="26"/>
      <c r="T25" s="26"/>
      <c r="U25" s="26"/>
      <c r="V25" s="26">
        <v>100</v>
      </c>
      <c r="W25" s="26">
        <v>60</v>
      </c>
      <c r="X25" s="26"/>
      <c r="Y25" s="26"/>
      <c r="Z25" s="26"/>
      <c r="AA25" s="26"/>
      <c r="AB25" s="26"/>
      <c r="AC25" s="26"/>
      <c r="AD25" s="26"/>
      <c r="AE25" s="26">
        <v>60</v>
      </c>
      <c r="AF25" s="26"/>
      <c r="AG25" s="26"/>
      <c r="AH25" s="26"/>
      <c r="AI25" s="26"/>
    </row>
    <row r="26" spans="1:35" ht="13">
      <c r="A26" s="111"/>
      <c r="B26" s="114" t="s">
        <v>213</v>
      </c>
      <c r="C26" s="115"/>
      <c r="D26" s="25">
        <f t="shared" si="12"/>
        <v>952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>
        <v>60</v>
      </c>
      <c r="Q26" s="26"/>
      <c r="R26" s="26"/>
      <c r="S26" s="26"/>
      <c r="T26" s="26"/>
      <c r="U26" s="26"/>
      <c r="V26" s="26"/>
      <c r="W26" s="26"/>
      <c r="X26" s="26">
        <v>240</v>
      </c>
      <c r="Y26" s="26">
        <v>160</v>
      </c>
      <c r="Z26" s="26"/>
      <c r="AA26" s="26">
        <v>80</v>
      </c>
      <c r="AB26" s="26">
        <v>60</v>
      </c>
      <c r="AC26" s="26"/>
      <c r="AD26" s="26">
        <v>248</v>
      </c>
      <c r="AE26" s="26">
        <v>104</v>
      </c>
      <c r="AF26" s="26"/>
      <c r="AG26" s="26"/>
      <c r="AH26" s="26"/>
      <c r="AI26" s="26"/>
    </row>
    <row r="27" spans="1:35" s="21" customFormat="1" ht="62.5">
      <c r="A27" s="111"/>
      <c r="B27" s="14"/>
      <c r="C27" s="14" t="s">
        <v>13</v>
      </c>
      <c r="D27" s="14"/>
      <c r="E27" s="44"/>
      <c r="F27" s="62" t="s">
        <v>227</v>
      </c>
      <c r="G27" s="30" t="s">
        <v>134</v>
      </c>
      <c r="H27" s="30" t="s">
        <v>237</v>
      </c>
      <c r="I27" s="30" t="s">
        <v>229</v>
      </c>
      <c r="J27" s="30"/>
      <c r="K27" s="30" t="s">
        <v>230</v>
      </c>
      <c r="L27" s="44"/>
      <c r="M27" s="30" t="s">
        <v>231</v>
      </c>
      <c r="N27" s="30" t="s">
        <v>231</v>
      </c>
      <c r="O27" s="30"/>
      <c r="P27" s="30" t="s">
        <v>231</v>
      </c>
      <c r="Q27" s="30" t="s">
        <v>231</v>
      </c>
      <c r="R27" s="30" t="s">
        <v>231</v>
      </c>
      <c r="S27" s="44"/>
      <c r="T27" s="30" t="s">
        <v>233</v>
      </c>
      <c r="U27" s="30" t="s">
        <v>231</v>
      </c>
      <c r="V27" s="30" t="s">
        <v>231</v>
      </c>
      <c r="W27" s="30" t="s">
        <v>234</v>
      </c>
      <c r="X27" s="30" t="s">
        <v>201</v>
      </c>
      <c r="Y27" s="30" t="s">
        <v>234</v>
      </c>
      <c r="Z27" s="44"/>
      <c r="AA27" s="30" t="s">
        <v>234</v>
      </c>
      <c r="AB27" s="30" t="s">
        <v>234</v>
      </c>
      <c r="AC27" s="30" t="s">
        <v>234</v>
      </c>
      <c r="AD27" s="41"/>
      <c r="AE27" s="41" t="s">
        <v>238</v>
      </c>
      <c r="AF27" s="41"/>
      <c r="AG27" s="41"/>
      <c r="AH27" s="41"/>
      <c r="AI27" s="30"/>
    </row>
    <row r="28" spans="1:35" ht="13">
      <c r="A28" s="111" t="s">
        <v>17</v>
      </c>
      <c r="B28" s="112" t="s">
        <v>8</v>
      </c>
      <c r="C28" s="4" t="s">
        <v>9</v>
      </c>
      <c r="D28" s="22">
        <f t="shared" ref="D28:D31" si="16">SUM(E28:AI28)</f>
        <v>6286</v>
      </c>
      <c r="E28" s="11">
        <v>168</v>
      </c>
      <c r="F28" s="13">
        <v>252</v>
      </c>
      <c r="G28" s="13">
        <v>252</v>
      </c>
      <c r="H28" s="13">
        <v>252</v>
      </c>
      <c r="I28" s="13">
        <f>252+126</f>
        <v>378</v>
      </c>
      <c r="J28" s="13">
        <v>252</v>
      </c>
      <c r="K28" s="13">
        <v>252</v>
      </c>
      <c r="L28" s="11">
        <v>252</v>
      </c>
      <c r="M28" s="13">
        <v>252</v>
      </c>
      <c r="N28" s="13">
        <v>252</v>
      </c>
      <c r="O28" s="13">
        <v>252</v>
      </c>
      <c r="P28" s="13">
        <v>252</v>
      </c>
      <c r="Q28" s="13">
        <v>252</v>
      </c>
      <c r="R28" s="10">
        <v>0</v>
      </c>
      <c r="S28" s="11">
        <v>0</v>
      </c>
      <c r="T28" s="10">
        <v>252</v>
      </c>
      <c r="U28" s="10">
        <v>252</v>
      </c>
      <c r="V28" s="10">
        <v>252</v>
      </c>
      <c r="W28" s="10">
        <v>252</v>
      </c>
      <c r="X28" s="10">
        <v>252</v>
      </c>
      <c r="Y28" s="10">
        <v>252</v>
      </c>
      <c r="Z28" s="11"/>
      <c r="AA28" s="10">
        <v>252</v>
      </c>
      <c r="AB28" s="10">
        <v>252</v>
      </c>
      <c r="AC28" s="10">
        <v>252</v>
      </c>
      <c r="AD28" s="10">
        <v>252</v>
      </c>
      <c r="AE28" s="10">
        <v>252</v>
      </c>
      <c r="AF28" s="10">
        <f>14*14</f>
        <v>196</v>
      </c>
      <c r="AG28" s="10"/>
      <c r="AH28" s="10"/>
      <c r="AI28" s="10"/>
    </row>
    <row r="29" spans="1:35" ht="13">
      <c r="A29" s="111"/>
      <c r="B29" s="112"/>
      <c r="C29" s="4" t="s">
        <v>10</v>
      </c>
      <c r="D29" s="22">
        <f t="shared" si="16"/>
        <v>5359</v>
      </c>
      <c r="E29" s="11">
        <v>140</v>
      </c>
      <c r="F29" s="13">
        <v>238</v>
      </c>
      <c r="G29" s="13">
        <v>238</v>
      </c>
      <c r="H29" s="13">
        <v>253</v>
      </c>
      <c r="I29" s="10">
        <v>266</v>
      </c>
      <c r="J29" s="10">
        <v>252</v>
      </c>
      <c r="K29" s="10">
        <f>14*15</f>
        <v>210</v>
      </c>
      <c r="L29" s="11">
        <v>70</v>
      </c>
      <c r="M29" s="10">
        <v>112</v>
      </c>
      <c r="N29" s="10">
        <v>182</v>
      </c>
      <c r="O29" s="10">
        <v>252</v>
      </c>
      <c r="P29" s="10">
        <v>252</v>
      </c>
      <c r="Q29" s="10">
        <v>262</v>
      </c>
      <c r="R29" s="10">
        <v>0</v>
      </c>
      <c r="S29" s="11">
        <v>0</v>
      </c>
      <c r="T29" s="10">
        <v>280</v>
      </c>
      <c r="U29" s="10">
        <v>196</v>
      </c>
      <c r="V29" s="10">
        <v>238</v>
      </c>
      <c r="W29" s="10">
        <v>238</v>
      </c>
      <c r="X29" s="10">
        <v>224</v>
      </c>
      <c r="Y29" s="10">
        <v>238</v>
      </c>
      <c r="Z29" s="11"/>
      <c r="AA29" s="10">
        <v>210</v>
      </c>
      <c r="AB29" s="10">
        <v>182</v>
      </c>
      <c r="AC29" s="10">
        <v>252</v>
      </c>
      <c r="AD29" s="10">
        <v>210</v>
      </c>
      <c r="AE29" s="10">
        <v>210</v>
      </c>
      <c r="AF29" s="10">
        <v>154</v>
      </c>
      <c r="AG29" s="10"/>
      <c r="AH29" s="10"/>
      <c r="AI29" s="10"/>
    </row>
    <row r="30" spans="1:35">
      <c r="A30" s="111"/>
      <c r="B30" s="113" t="s">
        <v>11</v>
      </c>
      <c r="C30" s="5" t="s">
        <v>9</v>
      </c>
      <c r="D30" s="19">
        <f t="shared" si="16"/>
        <v>4704</v>
      </c>
      <c r="E30" s="11"/>
      <c r="F30" s="12">
        <f>14*14</f>
        <v>196</v>
      </c>
      <c r="G30" s="12">
        <f>14*14</f>
        <v>196</v>
      </c>
      <c r="H30" s="12">
        <f>14*14</f>
        <v>196</v>
      </c>
      <c r="I30" s="12"/>
      <c r="J30" s="12">
        <v>252</v>
      </c>
      <c r="K30" s="12">
        <v>252</v>
      </c>
      <c r="L30" s="11"/>
      <c r="M30" s="12">
        <v>418</v>
      </c>
      <c r="N30" s="12">
        <v>124</v>
      </c>
      <c r="O30" s="12">
        <v>252</v>
      </c>
      <c r="P30" s="12"/>
      <c r="Q30" s="12"/>
      <c r="R30" s="12"/>
      <c r="S30" s="11"/>
      <c r="T30" s="12">
        <f>14*12</f>
        <v>168</v>
      </c>
      <c r="U30" s="12">
        <v>168</v>
      </c>
      <c r="V30" s="12">
        <f>31*12</f>
        <v>372</v>
      </c>
      <c r="W30" s="12">
        <v>310</v>
      </c>
      <c r="X30" s="12">
        <f>12*14</f>
        <v>168</v>
      </c>
      <c r="Y30" s="12">
        <v>252</v>
      </c>
      <c r="Z30" s="11"/>
      <c r="AA30" s="12"/>
      <c r="AB30" s="12">
        <v>252</v>
      </c>
      <c r="AC30" s="12">
        <v>252</v>
      </c>
      <c r="AD30" s="12">
        <v>372</v>
      </c>
      <c r="AE30" s="12">
        <v>252</v>
      </c>
      <c r="AF30" s="12">
        <v>252</v>
      </c>
      <c r="AG30" s="12"/>
      <c r="AH30" s="12"/>
      <c r="AI30" s="12"/>
    </row>
    <row r="31" spans="1:35">
      <c r="A31" s="111"/>
      <c r="B31" s="113"/>
      <c r="C31" s="5" t="s">
        <v>10</v>
      </c>
      <c r="D31" s="19">
        <f t="shared" si="16"/>
        <v>2485</v>
      </c>
      <c r="E31" s="11"/>
      <c r="F31" s="12">
        <v>70</v>
      </c>
      <c r="G31" s="12">
        <v>98</v>
      </c>
      <c r="H31" s="12">
        <f>64+47</f>
        <v>111</v>
      </c>
      <c r="I31" s="12"/>
      <c r="J31" s="12">
        <v>70</v>
      </c>
      <c r="K31" s="12">
        <v>126</v>
      </c>
      <c r="L31" s="11"/>
      <c r="M31" s="12">
        <v>196</v>
      </c>
      <c r="N31" s="12">
        <v>56</v>
      </c>
      <c r="O31" s="12">
        <v>188</v>
      </c>
      <c r="P31" s="12"/>
      <c r="Q31" s="12"/>
      <c r="R31" s="12"/>
      <c r="S31" s="11"/>
      <c r="T31" s="12">
        <v>112</v>
      </c>
      <c r="U31" s="12">
        <v>112</v>
      </c>
      <c r="V31" s="12">
        <v>238</v>
      </c>
      <c r="W31" s="12">
        <v>168</v>
      </c>
      <c r="X31" s="12">
        <v>140</v>
      </c>
      <c r="Y31" s="12">
        <v>70</v>
      </c>
      <c r="Z31" s="11"/>
      <c r="AA31" s="12"/>
      <c r="AB31" s="12">
        <v>112</v>
      </c>
      <c r="AC31" s="12">
        <v>196</v>
      </c>
      <c r="AD31" s="12">
        <v>192</v>
      </c>
      <c r="AE31" s="12">
        <v>132</v>
      </c>
      <c r="AF31" s="12">
        <v>98</v>
      </c>
      <c r="AG31" s="12"/>
      <c r="AH31" s="12"/>
      <c r="AI31" s="12"/>
    </row>
    <row r="32" spans="1:35" ht="13">
      <c r="A32" s="111"/>
      <c r="B32" s="112" t="s">
        <v>12</v>
      </c>
      <c r="C32" s="4" t="s">
        <v>9</v>
      </c>
      <c r="D32" s="22">
        <f t="shared" si="12"/>
        <v>10990</v>
      </c>
      <c r="E32" s="7">
        <f t="shared" ref="E32:AI33" si="17">E28+E30</f>
        <v>168</v>
      </c>
      <c r="F32" s="13">
        <f t="shared" si="17"/>
        <v>448</v>
      </c>
      <c r="G32" s="13">
        <f t="shared" si="17"/>
        <v>448</v>
      </c>
      <c r="H32" s="13">
        <f t="shared" si="17"/>
        <v>448</v>
      </c>
      <c r="I32" s="13">
        <f t="shared" si="17"/>
        <v>378</v>
      </c>
      <c r="J32" s="13">
        <f t="shared" si="17"/>
        <v>504</v>
      </c>
      <c r="K32" s="13">
        <f t="shared" si="17"/>
        <v>504</v>
      </c>
      <c r="L32" s="7">
        <f t="shared" si="17"/>
        <v>252</v>
      </c>
      <c r="M32" s="13">
        <f t="shared" si="17"/>
        <v>670</v>
      </c>
      <c r="N32" s="13">
        <f t="shared" si="17"/>
        <v>376</v>
      </c>
      <c r="O32" s="13">
        <f t="shared" si="17"/>
        <v>504</v>
      </c>
      <c r="P32" s="13">
        <f t="shared" si="17"/>
        <v>252</v>
      </c>
      <c r="Q32" s="13">
        <f t="shared" si="17"/>
        <v>252</v>
      </c>
      <c r="R32" s="13">
        <f t="shared" si="17"/>
        <v>0</v>
      </c>
      <c r="S32" s="7">
        <f t="shared" si="17"/>
        <v>0</v>
      </c>
      <c r="T32" s="13">
        <f t="shared" si="17"/>
        <v>420</v>
      </c>
      <c r="U32" s="13">
        <f t="shared" si="17"/>
        <v>420</v>
      </c>
      <c r="V32" s="13">
        <f t="shared" si="17"/>
        <v>624</v>
      </c>
      <c r="W32" s="13">
        <f t="shared" si="17"/>
        <v>562</v>
      </c>
      <c r="X32" s="13">
        <f t="shared" si="17"/>
        <v>420</v>
      </c>
      <c r="Y32" s="13">
        <f t="shared" si="17"/>
        <v>504</v>
      </c>
      <c r="Z32" s="7">
        <f t="shared" si="17"/>
        <v>0</v>
      </c>
      <c r="AA32" s="13">
        <f t="shared" si="17"/>
        <v>252</v>
      </c>
      <c r="AB32" s="13">
        <f t="shared" si="17"/>
        <v>504</v>
      </c>
      <c r="AC32" s="13">
        <f t="shared" si="17"/>
        <v>504</v>
      </c>
      <c r="AD32" s="13">
        <f t="shared" si="17"/>
        <v>624</v>
      </c>
      <c r="AE32" s="13">
        <f t="shared" si="17"/>
        <v>504</v>
      </c>
      <c r="AF32" s="13">
        <f t="shared" si="17"/>
        <v>448</v>
      </c>
      <c r="AG32" s="13">
        <f t="shared" si="17"/>
        <v>0</v>
      </c>
      <c r="AH32" s="13">
        <f t="shared" si="17"/>
        <v>0</v>
      </c>
      <c r="AI32" s="13">
        <f t="shared" si="17"/>
        <v>0</v>
      </c>
    </row>
    <row r="33" spans="1:35" ht="13">
      <c r="A33" s="111"/>
      <c r="B33" s="112"/>
      <c r="C33" s="4" t="s">
        <v>10</v>
      </c>
      <c r="D33" s="22">
        <f t="shared" si="12"/>
        <v>7844</v>
      </c>
      <c r="E33" s="7">
        <f t="shared" si="17"/>
        <v>140</v>
      </c>
      <c r="F33" s="13">
        <f t="shared" si="17"/>
        <v>308</v>
      </c>
      <c r="G33" s="13">
        <f t="shared" si="17"/>
        <v>336</v>
      </c>
      <c r="H33" s="13">
        <f t="shared" si="17"/>
        <v>364</v>
      </c>
      <c r="I33" s="13">
        <f t="shared" si="17"/>
        <v>266</v>
      </c>
      <c r="J33" s="13">
        <f t="shared" si="17"/>
        <v>322</v>
      </c>
      <c r="K33" s="13">
        <f t="shared" si="17"/>
        <v>336</v>
      </c>
      <c r="L33" s="7">
        <f t="shared" si="17"/>
        <v>70</v>
      </c>
      <c r="M33" s="13">
        <f t="shared" si="17"/>
        <v>308</v>
      </c>
      <c r="N33" s="13">
        <f t="shared" si="17"/>
        <v>238</v>
      </c>
      <c r="O33" s="13">
        <f t="shared" si="17"/>
        <v>440</v>
      </c>
      <c r="P33" s="13">
        <f t="shared" si="17"/>
        <v>252</v>
      </c>
      <c r="Q33" s="13">
        <f t="shared" si="17"/>
        <v>262</v>
      </c>
      <c r="R33" s="13">
        <f t="shared" si="17"/>
        <v>0</v>
      </c>
      <c r="S33" s="7">
        <f t="shared" si="17"/>
        <v>0</v>
      </c>
      <c r="T33" s="13">
        <f t="shared" si="17"/>
        <v>392</v>
      </c>
      <c r="U33" s="13">
        <f t="shared" si="17"/>
        <v>308</v>
      </c>
      <c r="V33" s="13">
        <f t="shared" si="17"/>
        <v>476</v>
      </c>
      <c r="W33" s="13">
        <f t="shared" si="17"/>
        <v>406</v>
      </c>
      <c r="X33" s="13">
        <f t="shared" si="17"/>
        <v>364</v>
      </c>
      <c r="Y33" s="13">
        <f t="shared" si="17"/>
        <v>308</v>
      </c>
      <c r="Z33" s="7">
        <f t="shared" si="17"/>
        <v>0</v>
      </c>
      <c r="AA33" s="13">
        <f t="shared" si="17"/>
        <v>210</v>
      </c>
      <c r="AB33" s="13">
        <f t="shared" si="17"/>
        <v>294</v>
      </c>
      <c r="AC33" s="13">
        <f t="shared" si="17"/>
        <v>448</v>
      </c>
      <c r="AD33" s="13">
        <f t="shared" si="17"/>
        <v>402</v>
      </c>
      <c r="AE33" s="13">
        <f t="shared" si="17"/>
        <v>342</v>
      </c>
      <c r="AF33" s="13">
        <f t="shared" si="17"/>
        <v>252</v>
      </c>
      <c r="AG33" s="13">
        <f t="shared" si="17"/>
        <v>0</v>
      </c>
      <c r="AH33" s="13">
        <f t="shared" si="17"/>
        <v>0</v>
      </c>
      <c r="AI33" s="13">
        <f t="shared" si="17"/>
        <v>0</v>
      </c>
    </row>
    <row r="34" spans="1:35" ht="13">
      <c r="A34" s="111"/>
      <c r="B34" s="114" t="s">
        <v>209</v>
      </c>
      <c r="C34" s="115"/>
      <c r="D34" s="25">
        <f t="shared" si="12"/>
        <v>1800</v>
      </c>
      <c r="E34" s="26"/>
      <c r="F34" s="26">
        <v>240</v>
      </c>
      <c r="G34" s="26">
        <v>180</v>
      </c>
      <c r="H34" s="26">
        <v>180</v>
      </c>
      <c r="I34" s="26"/>
      <c r="J34" s="26">
        <v>300</v>
      </c>
      <c r="K34" s="26">
        <v>240</v>
      </c>
      <c r="L34" s="26">
        <v>180</v>
      </c>
      <c r="M34" s="26">
        <v>240</v>
      </c>
      <c r="N34" s="26">
        <v>240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</row>
    <row r="35" spans="1:35" ht="13">
      <c r="A35" s="111"/>
      <c r="B35" s="114" t="s">
        <v>210</v>
      </c>
      <c r="C35" s="115"/>
      <c r="D35" s="25">
        <f t="shared" si="12"/>
        <v>360</v>
      </c>
      <c r="E35" s="26"/>
      <c r="F35" s="26"/>
      <c r="G35" s="26"/>
      <c r="H35" s="26"/>
      <c r="I35" s="26"/>
      <c r="J35" s="26"/>
      <c r="K35" s="26">
        <v>90</v>
      </c>
      <c r="L35" s="26"/>
      <c r="M35" s="26">
        <v>150</v>
      </c>
      <c r="N35" s="26">
        <v>120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</row>
    <row r="36" spans="1:35" ht="13">
      <c r="A36" s="111"/>
      <c r="B36" s="114" t="s">
        <v>213</v>
      </c>
      <c r="C36" s="115"/>
      <c r="D36" s="25">
        <f t="shared" si="12"/>
        <v>2603</v>
      </c>
      <c r="E36" s="26"/>
      <c r="F36" s="26"/>
      <c r="G36" s="26"/>
      <c r="H36" s="26"/>
      <c r="I36" s="26"/>
      <c r="J36" s="26"/>
      <c r="K36" s="26"/>
      <c r="L36" s="26">
        <v>90</v>
      </c>
      <c r="M36" s="26">
        <v>240</v>
      </c>
      <c r="N36" s="26"/>
      <c r="O36" s="26">
        <v>120</v>
      </c>
      <c r="P36" s="26"/>
      <c r="Q36" s="26"/>
      <c r="R36" s="26"/>
      <c r="S36" s="26"/>
      <c r="T36" s="26">
        <v>120</v>
      </c>
      <c r="U36" s="26"/>
      <c r="V36" s="26">
        <v>240</v>
      </c>
      <c r="W36" s="26">
        <v>240</v>
      </c>
      <c r="X36" s="26"/>
      <c r="Y36" s="26">
        <v>360</v>
      </c>
      <c r="Z36" s="26"/>
      <c r="AA36" s="26">
        <v>120</v>
      </c>
      <c r="AB36" s="26">
        <v>407</v>
      </c>
      <c r="AC36" s="26">
        <v>108</v>
      </c>
      <c r="AD36" s="26">
        <v>260</v>
      </c>
      <c r="AE36" s="26"/>
      <c r="AF36" s="26">
        <v>298</v>
      </c>
      <c r="AG36" s="26"/>
      <c r="AH36" s="26"/>
      <c r="AI36" s="26"/>
    </row>
    <row r="37" spans="1:35" s="21" customFormat="1" ht="42" customHeight="1">
      <c r="A37" s="111"/>
      <c r="B37" s="14"/>
      <c r="C37" s="14" t="s">
        <v>13</v>
      </c>
      <c r="D37" s="14"/>
      <c r="E37" s="44"/>
      <c r="F37" s="30" t="s">
        <v>175</v>
      </c>
      <c r="G37" s="30" t="s">
        <v>175</v>
      </c>
      <c r="H37" s="30" t="s">
        <v>175</v>
      </c>
      <c r="I37" s="30" t="s">
        <v>229</v>
      </c>
      <c r="J37" s="30" t="s">
        <v>239</v>
      </c>
      <c r="K37" s="30" t="s">
        <v>240</v>
      </c>
      <c r="L37" s="44" t="s">
        <v>201</v>
      </c>
      <c r="M37" s="30" t="s">
        <v>201</v>
      </c>
      <c r="N37" s="30" t="s">
        <v>241</v>
      </c>
      <c r="O37" s="30"/>
      <c r="P37" s="30"/>
      <c r="Q37" s="30"/>
      <c r="R37" s="30"/>
      <c r="S37" s="44"/>
      <c r="T37" s="30" t="s">
        <v>175</v>
      </c>
      <c r="U37" s="30" t="s">
        <v>242</v>
      </c>
      <c r="V37" s="30" t="s">
        <v>191</v>
      </c>
      <c r="W37" s="30" t="s">
        <v>191</v>
      </c>
      <c r="X37" s="30" t="s">
        <v>242</v>
      </c>
      <c r="Y37" s="30" t="s">
        <v>243</v>
      </c>
      <c r="Z37" s="44"/>
      <c r="AA37" s="30" t="s">
        <v>243</v>
      </c>
      <c r="AB37" s="30" t="s">
        <v>243</v>
      </c>
      <c r="AC37" s="30" t="s">
        <v>243</v>
      </c>
      <c r="AD37" s="30" t="s">
        <v>243</v>
      </c>
      <c r="AE37" s="30" t="s">
        <v>243</v>
      </c>
      <c r="AF37" s="30" t="s">
        <v>244</v>
      </c>
      <c r="AG37" s="30"/>
      <c r="AH37" s="30"/>
      <c r="AI37" s="30"/>
    </row>
    <row r="38" spans="1:35">
      <c r="A38" s="36"/>
    </row>
    <row r="39" spans="1:35" ht="14">
      <c r="A39" s="37"/>
      <c r="B39" s="38"/>
      <c r="C39" s="38"/>
      <c r="D39" s="39"/>
      <c r="E39" s="39"/>
      <c r="F39" s="39"/>
      <c r="G39" s="39"/>
      <c r="H39" s="39"/>
      <c r="I39" s="39"/>
      <c r="J39" s="39"/>
      <c r="K39" s="39"/>
      <c r="L39" s="39"/>
      <c r="M39" s="42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2"/>
      <c r="AC39" s="42"/>
      <c r="AD39" s="39"/>
      <c r="AE39" s="39"/>
      <c r="AF39" s="39"/>
      <c r="AG39" s="39"/>
      <c r="AH39" s="39"/>
      <c r="AI39" s="39"/>
    </row>
    <row r="40" spans="1:35" ht="13">
      <c r="C40" s="5"/>
      <c r="D40" s="24" t="s">
        <v>18</v>
      </c>
      <c r="E40" s="31">
        <v>46054</v>
      </c>
      <c r="F40" s="8">
        <f>E40+1</f>
        <v>46055</v>
      </c>
      <c r="G40" s="8">
        <f>F40+1</f>
        <v>46056</v>
      </c>
      <c r="H40" s="8">
        <f t="shared" ref="H40:AI40" si="18">G40+1</f>
        <v>46057</v>
      </c>
      <c r="I40" s="8">
        <f t="shared" si="18"/>
        <v>46058</v>
      </c>
      <c r="J40" s="8">
        <f t="shared" si="18"/>
        <v>46059</v>
      </c>
      <c r="K40" s="8">
        <f t="shared" si="18"/>
        <v>46060</v>
      </c>
      <c r="L40" s="31">
        <f t="shared" si="18"/>
        <v>46061</v>
      </c>
      <c r="M40" s="8">
        <f t="shared" si="18"/>
        <v>46062</v>
      </c>
      <c r="N40" s="8">
        <f t="shared" si="18"/>
        <v>46063</v>
      </c>
      <c r="O40" s="8">
        <f t="shared" si="18"/>
        <v>46064</v>
      </c>
      <c r="P40" s="8">
        <f t="shared" si="18"/>
        <v>46065</v>
      </c>
      <c r="Q40" s="8">
        <f t="shared" si="18"/>
        <v>46066</v>
      </c>
      <c r="R40" s="8">
        <f t="shared" si="18"/>
        <v>46067</v>
      </c>
      <c r="S40" s="31">
        <f t="shared" si="18"/>
        <v>46068</v>
      </c>
      <c r="T40" s="8">
        <f t="shared" si="18"/>
        <v>46069</v>
      </c>
      <c r="U40" s="8">
        <f t="shared" si="18"/>
        <v>46070</v>
      </c>
      <c r="V40" s="8">
        <f t="shared" si="18"/>
        <v>46071</v>
      </c>
      <c r="W40" s="8">
        <f t="shared" si="18"/>
        <v>46072</v>
      </c>
      <c r="X40" s="8">
        <f t="shared" si="18"/>
        <v>46073</v>
      </c>
      <c r="Y40" s="8">
        <f t="shared" si="18"/>
        <v>46074</v>
      </c>
      <c r="Z40" s="31">
        <f t="shared" si="18"/>
        <v>46075</v>
      </c>
      <c r="AA40" s="8">
        <f t="shared" si="18"/>
        <v>46076</v>
      </c>
      <c r="AB40" s="8">
        <f t="shared" si="18"/>
        <v>46077</v>
      </c>
      <c r="AC40" s="8">
        <f t="shared" si="18"/>
        <v>46078</v>
      </c>
      <c r="AD40" s="8">
        <f t="shared" si="18"/>
        <v>46079</v>
      </c>
      <c r="AE40" s="8">
        <f t="shared" si="18"/>
        <v>46080</v>
      </c>
      <c r="AF40" s="8">
        <f t="shared" si="18"/>
        <v>46081</v>
      </c>
      <c r="AG40" s="8">
        <f t="shared" si="18"/>
        <v>46082</v>
      </c>
      <c r="AH40" s="8">
        <f t="shared" si="18"/>
        <v>46083</v>
      </c>
      <c r="AI40" s="8">
        <f t="shared" si="18"/>
        <v>46084</v>
      </c>
    </row>
    <row r="41" spans="1:35">
      <c r="C41" s="83" t="s">
        <v>208</v>
      </c>
      <c r="D41" s="116" t="s">
        <v>206</v>
      </c>
      <c r="E41" s="75">
        <f t="shared" ref="E41:AI41" si="19">E14/60</f>
        <v>0</v>
      </c>
      <c r="F41" s="75">
        <f t="shared" si="19"/>
        <v>2.5</v>
      </c>
      <c r="G41" s="75">
        <f t="shared" si="19"/>
        <v>2</v>
      </c>
      <c r="H41" s="75">
        <f t="shared" si="19"/>
        <v>0.5</v>
      </c>
      <c r="I41" s="75">
        <f t="shared" si="19"/>
        <v>3.5</v>
      </c>
      <c r="J41" s="75">
        <f t="shared" si="19"/>
        <v>7</v>
      </c>
      <c r="K41" s="75">
        <f t="shared" si="19"/>
        <v>4</v>
      </c>
      <c r="L41" s="75">
        <f t="shared" si="19"/>
        <v>0</v>
      </c>
      <c r="M41" s="75">
        <f t="shared" si="19"/>
        <v>3.5</v>
      </c>
      <c r="N41" s="75">
        <f t="shared" si="19"/>
        <v>1</v>
      </c>
      <c r="O41" s="75">
        <f t="shared" si="19"/>
        <v>2</v>
      </c>
      <c r="P41" s="75">
        <f t="shared" si="19"/>
        <v>1</v>
      </c>
      <c r="Q41" s="75">
        <f t="shared" si="19"/>
        <v>3</v>
      </c>
      <c r="R41" s="75">
        <f t="shared" si="19"/>
        <v>3</v>
      </c>
      <c r="S41" s="75">
        <f t="shared" si="19"/>
        <v>2</v>
      </c>
      <c r="T41" s="75">
        <f t="shared" si="19"/>
        <v>2.5</v>
      </c>
      <c r="U41" s="75">
        <f t="shared" si="19"/>
        <v>4</v>
      </c>
      <c r="V41" s="75">
        <f t="shared" si="19"/>
        <v>4</v>
      </c>
      <c r="W41" s="75">
        <f t="shared" si="19"/>
        <v>4</v>
      </c>
      <c r="X41" s="75">
        <f t="shared" si="19"/>
        <v>0</v>
      </c>
      <c r="Y41" s="75">
        <f t="shared" si="19"/>
        <v>0</v>
      </c>
      <c r="Z41" s="75">
        <f t="shared" si="19"/>
        <v>0</v>
      </c>
      <c r="AA41" s="75">
        <f t="shared" si="19"/>
        <v>0</v>
      </c>
      <c r="AB41" s="75">
        <f t="shared" si="19"/>
        <v>0</v>
      </c>
      <c r="AC41" s="75">
        <f t="shared" si="19"/>
        <v>1</v>
      </c>
      <c r="AD41" s="75">
        <f t="shared" si="19"/>
        <v>1</v>
      </c>
      <c r="AE41" s="75">
        <f t="shared" si="19"/>
        <v>1</v>
      </c>
      <c r="AF41" s="75">
        <f t="shared" si="19"/>
        <v>2.1</v>
      </c>
      <c r="AG41" s="75">
        <f t="shared" si="19"/>
        <v>0</v>
      </c>
      <c r="AH41" s="75">
        <f t="shared" si="19"/>
        <v>0</v>
      </c>
      <c r="AI41" s="75">
        <f t="shared" si="19"/>
        <v>0</v>
      </c>
    </row>
    <row r="42" spans="1:35">
      <c r="C42" s="83" t="s">
        <v>196</v>
      </c>
      <c r="D42" s="116"/>
      <c r="E42" s="75">
        <v>0</v>
      </c>
      <c r="F42" s="75">
        <v>3.5</v>
      </c>
      <c r="G42" s="75">
        <v>3.5</v>
      </c>
      <c r="H42" s="75">
        <v>3.5</v>
      </c>
      <c r="I42" s="75">
        <v>3.5</v>
      </c>
      <c r="J42" s="75">
        <v>3.5</v>
      </c>
      <c r="K42" s="75">
        <v>3.5</v>
      </c>
      <c r="L42" s="75">
        <v>0</v>
      </c>
      <c r="M42" s="75">
        <v>3.5</v>
      </c>
      <c r="N42" s="75">
        <v>3.5</v>
      </c>
      <c r="O42" s="75">
        <v>4</v>
      </c>
      <c r="P42" s="75">
        <v>4</v>
      </c>
      <c r="Q42" s="75">
        <v>3.5</v>
      </c>
      <c r="R42" s="75">
        <v>4</v>
      </c>
      <c r="S42" s="75">
        <v>4</v>
      </c>
      <c r="T42" s="75">
        <v>4</v>
      </c>
      <c r="U42" s="75">
        <v>4</v>
      </c>
      <c r="V42" s="75">
        <v>4</v>
      </c>
      <c r="W42" s="75">
        <v>4</v>
      </c>
      <c r="X42" s="75">
        <v>4</v>
      </c>
      <c r="Y42" s="75">
        <v>2</v>
      </c>
      <c r="Z42" s="75"/>
      <c r="AA42" s="75">
        <v>4</v>
      </c>
      <c r="AB42" s="75">
        <v>1.5</v>
      </c>
      <c r="AC42" s="75">
        <v>2.5</v>
      </c>
      <c r="AD42" s="75">
        <v>2</v>
      </c>
      <c r="AE42" s="75">
        <v>4</v>
      </c>
      <c r="AF42" s="75">
        <v>3</v>
      </c>
      <c r="AG42" s="75"/>
      <c r="AH42" s="75"/>
      <c r="AI42" s="75"/>
    </row>
    <row r="43" spans="1:35">
      <c r="C43" s="83" t="s">
        <v>203</v>
      </c>
      <c r="D43" s="116"/>
      <c r="E43" s="75">
        <f>E42*E41</f>
        <v>0</v>
      </c>
      <c r="F43" s="75">
        <f t="shared" ref="F43:AI43" si="20">F42*F41</f>
        <v>8.75</v>
      </c>
      <c r="G43" s="75">
        <f t="shared" si="20"/>
        <v>7</v>
      </c>
      <c r="H43" s="75">
        <f>H42*H41</f>
        <v>1.75</v>
      </c>
      <c r="I43" s="75">
        <f t="shared" si="20"/>
        <v>12.25</v>
      </c>
      <c r="J43" s="75">
        <f t="shared" si="20"/>
        <v>24.5</v>
      </c>
      <c r="K43" s="75">
        <f t="shared" si="20"/>
        <v>14</v>
      </c>
      <c r="L43" s="75">
        <f t="shared" si="20"/>
        <v>0</v>
      </c>
      <c r="M43" s="75">
        <f t="shared" si="20"/>
        <v>12.25</v>
      </c>
      <c r="N43" s="75">
        <f t="shared" si="20"/>
        <v>3.5</v>
      </c>
      <c r="O43" s="75">
        <f t="shared" si="20"/>
        <v>8</v>
      </c>
      <c r="P43" s="75">
        <f t="shared" si="20"/>
        <v>4</v>
      </c>
      <c r="Q43" s="75">
        <f t="shared" si="20"/>
        <v>10.5</v>
      </c>
      <c r="R43" s="75">
        <f t="shared" si="20"/>
        <v>12</v>
      </c>
      <c r="S43" s="75">
        <f t="shared" si="20"/>
        <v>8</v>
      </c>
      <c r="T43" s="75">
        <f t="shared" si="20"/>
        <v>10</v>
      </c>
      <c r="U43" s="75">
        <f t="shared" si="20"/>
        <v>16</v>
      </c>
      <c r="V43" s="75">
        <f t="shared" si="20"/>
        <v>16</v>
      </c>
      <c r="W43" s="75">
        <f t="shared" si="20"/>
        <v>16</v>
      </c>
      <c r="X43" s="75">
        <f t="shared" si="20"/>
        <v>0</v>
      </c>
      <c r="Y43" s="75">
        <f t="shared" si="20"/>
        <v>0</v>
      </c>
      <c r="Z43" s="75">
        <f t="shared" si="20"/>
        <v>0</v>
      </c>
      <c r="AA43" s="75">
        <f t="shared" si="20"/>
        <v>0</v>
      </c>
      <c r="AB43" s="75">
        <f>AB42*AB41</f>
        <v>0</v>
      </c>
      <c r="AC43" s="75">
        <f>AC42*AC41</f>
        <v>2.5</v>
      </c>
      <c r="AD43" s="75">
        <f t="shared" si="20"/>
        <v>2</v>
      </c>
      <c r="AE43" s="75">
        <f t="shared" si="20"/>
        <v>4</v>
      </c>
      <c r="AF43" s="75">
        <f t="shared" si="20"/>
        <v>6.3000000000000007</v>
      </c>
      <c r="AG43" s="75">
        <f t="shared" si="20"/>
        <v>0</v>
      </c>
      <c r="AH43" s="75">
        <f t="shared" si="20"/>
        <v>0</v>
      </c>
      <c r="AI43" s="75">
        <f t="shared" si="20"/>
        <v>0</v>
      </c>
    </row>
    <row r="44" spans="1:35" ht="25">
      <c r="C44" s="83" t="s">
        <v>214</v>
      </c>
      <c r="D44" s="116"/>
      <c r="E44" s="75">
        <f t="shared" ref="E44:AI44" si="21">E16/60*(E42)</f>
        <v>0</v>
      </c>
      <c r="F44" s="75">
        <f t="shared" si="21"/>
        <v>0</v>
      </c>
      <c r="G44" s="75">
        <f t="shared" si="21"/>
        <v>0</v>
      </c>
      <c r="H44" s="75">
        <f t="shared" si="21"/>
        <v>0</v>
      </c>
      <c r="I44" s="75">
        <f t="shared" si="21"/>
        <v>0</v>
      </c>
      <c r="J44" s="75">
        <f t="shared" si="21"/>
        <v>0</v>
      </c>
      <c r="K44" s="75">
        <f t="shared" si="21"/>
        <v>0</v>
      </c>
      <c r="L44" s="75">
        <f t="shared" si="21"/>
        <v>0</v>
      </c>
      <c r="M44" s="75">
        <f t="shared" si="21"/>
        <v>0</v>
      </c>
      <c r="N44" s="75">
        <f t="shared" si="21"/>
        <v>8.75</v>
      </c>
      <c r="O44" s="75">
        <f t="shared" si="21"/>
        <v>0</v>
      </c>
      <c r="P44" s="75">
        <f t="shared" si="21"/>
        <v>4</v>
      </c>
      <c r="Q44" s="75">
        <f t="shared" si="21"/>
        <v>0</v>
      </c>
      <c r="R44" s="75">
        <f t="shared" si="21"/>
        <v>0</v>
      </c>
      <c r="S44" s="75">
        <f t="shared" si="21"/>
        <v>20</v>
      </c>
      <c r="T44" s="75">
        <f t="shared" si="21"/>
        <v>10</v>
      </c>
      <c r="U44" s="75">
        <f t="shared" si="21"/>
        <v>0</v>
      </c>
      <c r="V44" s="75">
        <f t="shared" si="21"/>
        <v>0</v>
      </c>
      <c r="W44" s="75">
        <f t="shared" si="21"/>
        <v>0</v>
      </c>
      <c r="X44" s="75">
        <f t="shared" si="21"/>
        <v>16</v>
      </c>
      <c r="Y44" s="75">
        <f t="shared" si="21"/>
        <v>2</v>
      </c>
      <c r="Z44" s="75">
        <f t="shared" si="21"/>
        <v>0</v>
      </c>
      <c r="AA44" s="75">
        <f t="shared" si="21"/>
        <v>6</v>
      </c>
      <c r="AB44" s="75">
        <f>AB16/60*(AB42)</f>
        <v>7.5</v>
      </c>
      <c r="AC44" s="75">
        <f>AC16/60*(AC42)</f>
        <v>12.5</v>
      </c>
      <c r="AD44" s="75">
        <f t="shared" si="21"/>
        <v>0</v>
      </c>
      <c r="AE44" s="75">
        <f t="shared" si="21"/>
        <v>4</v>
      </c>
      <c r="AF44" s="75">
        <f t="shared" si="21"/>
        <v>0</v>
      </c>
      <c r="AG44" s="75">
        <f t="shared" si="21"/>
        <v>0</v>
      </c>
      <c r="AH44" s="75">
        <f t="shared" si="21"/>
        <v>0</v>
      </c>
      <c r="AI44" s="75">
        <f t="shared" si="21"/>
        <v>0</v>
      </c>
    </row>
    <row r="45" spans="1:35">
      <c r="C45" s="84" t="s">
        <v>208</v>
      </c>
      <c r="D45" s="116"/>
      <c r="E45" s="76">
        <f t="shared" ref="E45:AA45" si="22">E24/60</f>
        <v>0</v>
      </c>
      <c r="F45" s="76">
        <f t="shared" si="22"/>
        <v>2</v>
      </c>
      <c r="G45" s="76">
        <f t="shared" si="22"/>
        <v>0</v>
      </c>
      <c r="H45" s="76">
        <f t="shared" si="22"/>
        <v>0.58333333333333337</v>
      </c>
      <c r="I45" s="76">
        <f t="shared" si="22"/>
        <v>3.5</v>
      </c>
      <c r="J45" s="76">
        <f t="shared" si="22"/>
        <v>0</v>
      </c>
      <c r="K45" s="76">
        <f t="shared" si="22"/>
        <v>3.5</v>
      </c>
      <c r="L45" s="76">
        <f t="shared" si="22"/>
        <v>0</v>
      </c>
      <c r="M45" s="76">
        <f t="shared" si="22"/>
        <v>3.5</v>
      </c>
      <c r="N45" s="76">
        <f t="shared" si="22"/>
        <v>0</v>
      </c>
      <c r="O45" s="76">
        <f t="shared" si="22"/>
        <v>3</v>
      </c>
      <c r="P45" s="76">
        <f t="shared" si="22"/>
        <v>5.0000000000000001E-3</v>
      </c>
      <c r="Q45" s="76">
        <f t="shared" si="22"/>
        <v>4</v>
      </c>
      <c r="R45" s="76">
        <f t="shared" si="22"/>
        <v>4</v>
      </c>
      <c r="S45" s="76">
        <f t="shared" si="22"/>
        <v>0</v>
      </c>
      <c r="T45" s="76">
        <f t="shared" si="22"/>
        <v>6</v>
      </c>
      <c r="U45" s="76">
        <f t="shared" si="22"/>
        <v>3.5</v>
      </c>
      <c r="V45" s="76">
        <f t="shared" si="22"/>
        <v>0</v>
      </c>
      <c r="W45" s="76">
        <f t="shared" si="22"/>
        <v>0</v>
      </c>
      <c r="X45" s="76">
        <f t="shared" si="22"/>
        <v>0</v>
      </c>
      <c r="Y45" s="76">
        <f t="shared" si="22"/>
        <v>0</v>
      </c>
      <c r="Z45" s="76">
        <f t="shared" si="22"/>
        <v>0</v>
      </c>
      <c r="AA45" s="76">
        <f t="shared" si="22"/>
        <v>0</v>
      </c>
      <c r="AB45" s="76">
        <f>AB24/60</f>
        <v>0</v>
      </c>
      <c r="AC45" s="76">
        <f>AC24/60</f>
        <v>0.5</v>
      </c>
      <c r="AD45" s="76">
        <f t="shared" ref="AD45:AI45" si="23">AD24/60</f>
        <v>0</v>
      </c>
      <c r="AE45" s="76">
        <f t="shared" si="23"/>
        <v>0</v>
      </c>
      <c r="AF45" s="76">
        <f t="shared" si="23"/>
        <v>0.5</v>
      </c>
      <c r="AG45" s="76">
        <f t="shared" si="23"/>
        <v>0</v>
      </c>
      <c r="AH45" s="76">
        <f t="shared" si="23"/>
        <v>0</v>
      </c>
      <c r="AI45" s="76">
        <f t="shared" si="23"/>
        <v>0</v>
      </c>
    </row>
    <row r="46" spans="1:35">
      <c r="C46" s="84" t="s">
        <v>196</v>
      </c>
      <c r="D46" s="116"/>
      <c r="E46" s="76">
        <v>0</v>
      </c>
      <c r="F46" s="76">
        <v>3.5</v>
      </c>
      <c r="G46" s="76">
        <v>3.5</v>
      </c>
      <c r="H46" s="76">
        <v>3.5</v>
      </c>
      <c r="I46" s="76">
        <v>3.5</v>
      </c>
      <c r="J46" s="76">
        <v>3.5</v>
      </c>
      <c r="K46" s="76">
        <v>3.5</v>
      </c>
      <c r="L46" s="76">
        <v>0</v>
      </c>
      <c r="M46" s="76">
        <v>3.5</v>
      </c>
      <c r="N46" s="76">
        <v>3.5</v>
      </c>
      <c r="O46" s="76">
        <v>0</v>
      </c>
      <c r="P46" s="76">
        <v>4</v>
      </c>
      <c r="Q46" s="76">
        <v>3.5</v>
      </c>
      <c r="R46" s="76">
        <v>4</v>
      </c>
      <c r="S46" s="76"/>
      <c r="T46" s="76">
        <v>4</v>
      </c>
      <c r="U46" s="76">
        <v>4</v>
      </c>
      <c r="V46" s="76"/>
      <c r="W46" s="76"/>
      <c r="X46" s="76"/>
      <c r="Y46" s="76">
        <v>2</v>
      </c>
      <c r="Z46" s="76"/>
      <c r="AA46" s="76">
        <v>2</v>
      </c>
      <c r="AB46" s="76">
        <v>2.5</v>
      </c>
      <c r="AC46" s="76">
        <v>1.5</v>
      </c>
      <c r="AD46" s="76">
        <v>2</v>
      </c>
      <c r="AE46" s="76">
        <v>0</v>
      </c>
      <c r="AF46" s="76">
        <v>1</v>
      </c>
      <c r="AG46" s="76"/>
      <c r="AH46" s="76"/>
      <c r="AI46" s="76"/>
    </row>
    <row r="47" spans="1:35">
      <c r="C47" s="84" t="s">
        <v>204</v>
      </c>
      <c r="D47" s="116"/>
      <c r="E47" s="76">
        <f t="shared" ref="E47:AA47" si="24">E46*E45</f>
        <v>0</v>
      </c>
      <c r="F47" s="76">
        <f t="shared" si="24"/>
        <v>7</v>
      </c>
      <c r="G47" s="76">
        <f t="shared" si="24"/>
        <v>0</v>
      </c>
      <c r="H47" s="76">
        <f t="shared" si="24"/>
        <v>2.041666666666667</v>
      </c>
      <c r="I47" s="76">
        <f t="shared" si="24"/>
        <v>12.25</v>
      </c>
      <c r="J47" s="76">
        <f t="shared" si="24"/>
        <v>0</v>
      </c>
      <c r="K47" s="76">
        <f t="shared" si="24"/>
        <v>12.25</v>
      </c>
      <c r="L47" s="76">
        <f t="shared" si="24"/>
        <v>0</v>
      </c>
      <c r="M47" s="76">
        <f t="shared" si="24"/>
        <v>12.25</v>
      </c>
      <c r="N47" s="76">
        <f t="shared" si="24"/>
        <v>0</v>
      </c>
      <c r="O47" s="76">
        <f t="shared" si="24"/>
        <v>0</v>
      </c>
      <c r="P47" s="76">
        <f t="shared" si="24"/>
        <v>0.02</v>
      </c>
      <c r="Q47" s="76">
        <f t="shared" si="24"/>
        <v>14</v>
      </c>
      <c r="R47" s="76">
        <f t="shared" si="24"/>
        <v>16</v>
      </c>
      <c r="S47" s="76">
        <f t="shared" si="24"/>
        <v>0</v>
      </c>
      <c r="T47" s="76">
        <f t="shared" si="24"/>
        <v>24</v>
      </c>
      <c r="U47" s="76">
        <f t="shared" si="24"/>
        <v>14</v>
      </c>
      <c r="V47" s="76">
        <f t="shared" si="24"/>
        <v>0</v>
      </c>
      <c r="W47" s="76">
        <f t="shared" si="24"/>
        <v>0</v>
      </c>
      <c r="X47" s="76">
        <f t="shared" si="24"/>
        <v>0</v>
      </c>
      <c r="Y47" s="76">
        <f t="shared" si="24"/>
        <v>0</v>
      </c>
      <c r="Z47" s="76">
        <f t="shared" si="24"/>
        <v>0</v>
      </c>
      <c r="AA47" s="76">
        <f t="shared" si="24"/>
        <v>0</v>
      </c>
      <c r="AB47" s="76">
        <f>AB46*AB45</f>
        <v>0</v>
      </c>
      <c r="AC47" s="76">
        <f>AC46*AC45</f>
        <v>0.75</v>
      </c>
      <c r="AD47" s="76">
        <f t="shared" ref="AD47:AI47" si="25">AD46*AD45</f>
        <v>0</v>
      </c>
      <c r="AE47" s="76">
        <f t="shared" si="25"/>
        <v>0</v>
      </c>
      <c r="AF47" s="76">
        <f t="shared" si="25"/>
        <v>0.5</v>
      </c>
      <c r="AG47" s="76">
        <f t="shared" si="25"/>
        <v>0</v>
      </c>
      <c r="AH47" s="76">
        <f t="shared" si="25"/>
        <v>0</v>
      </c>
      <c r="AI47" s="76">
        <f t="shared" si="25"/>
        <v>0</v>
      </c>
    </row>
    <row r="48" spans="1:35" ht="25">
      <c r="C48" s="84" t="s">
        <v>215</v>
      </c>
      <c r="D48" s="116"/>
      <c r="E48" s="76">
        <f t="shared" ref="E48:AA48" si="26">E26/60*(E46)</f>
        <v>0</v>
      </c>
      <c r="F48" s="76">
        <f t="shared" si="26"/>
        <v>0</v>
      </c>
      <c r="G48" s="76">
        <f t="shared" si="26"/>
        <v>0</v>
      </c>
      <c r="H48" s="76">
        <f t="shared" si="26"/>
        <v>0</v>
      </c>
      <c r="I48" s="76">
        <f t="shared" si="26"/>
        <v>0</v>
      </c>
      <c r="J48" s="76">
        <f t="shared" si="26"/>
        <v>0</v>
      </c>
      <c r="K48" s="76">
        <f t="shared" si="26"/>
        <v>0</v>
      </c>
      <c r="L48" s="76">
        <f t="shared" si="26"/>
        <v>0</v>
      </c>
      <c r="M48" s="76">
        <f t="shared" si="26"/>
        <v>0</v>
      </c>
      <c r="N48" s="76">
        <f t="shared" si="26"/>
        <v>0</v>
      </c>
      <c r="O48" s="76">
        <f t="shared" si="26"/>
        <v>0</v>
      </c>
      <c r="P48" s="76">
        <f t="shared" si="26"/>
        <v>4</v>
      </c>
      <c r="Q48" s="76">
        <f t="shared" si="26"/>
        <v>0</v>
      </c>
      <c r="R48" s="76">
        <f t="shared" si="26"/>
        <v>0</v>
      </c>
      <c r="S48" s="76">
        <f t="shared" si="26"/>
        <v>0</v>
      </c>
      <c r="T48" s="76">
        <f t="shared" si="26"/>
        <v>0</v>
      </c>
      <c r="U48" s="76">
        <f t="shared" si="26"/>
        <v>0</v>
      </c>
      <c r="V48" s="76">
        <f t="shared" si="26"/>
        <v>0</v>
      </c>
      <c r="W48" s="76">
        <f t="shared" si="26"/>
        <v>0</v>
      </c>
      <c r="X48" s="76">
        <f t="shared" si="26"/>
        <v>0</v>
      </c>
      <c r="Y48" s="76">
        <f t="shared" si="26"/>
        <v>5.333333333333333</v>
      </c>
      <c r="Z48" s="76">
        <f t="shared" si="26"/>
        <v>0</v>
      </c>
      <c r="AA48" s="76">
        <f t="shared" si="26"/>
        <v>2.6666666666666665</v>
      </c>
      <c r="AB48" s="76">
        <f>AB26/60*(AB46)</f>
        <v>2.5</v>
      </c>
      <c r="AC48" s="76">
        <f>AC26/60*(AC46)</f>
        <v>0</v>
      </c>
      <c r="AD48" s="76">
        <f t="shared" ref="AD48:AI48" si="27">AD26/60*(AD46)</f>
        <v>8.2666666666666675</v>
      </c>
      <c r="AE48" s="76">
        <f t="shared" si="27"/>
        <v>0</v>
      </c>
      <c r="AF48" s="76">
        <f t="shared" si="27"/>
        <v>0</v>
      </c>
      <c r="AG48" s="76">
        <f t="shared" si="27"/>
        <v>0</v>
      </c>
      <c r="AH48" s="76">
        <f t="shared" si="27"/>
        <v>0</v>
      </c>
      <c r="AI48" s="76">
        <f t="shared" si="27"/>
        <v>0</v>
      </c>
    </row>
    <row r="49" spans="2:35">
      <c r="B49" s="68" t="s">
        <v>211</v>
      </c>
      <c r="C49" s="85" t="s">
        <v>208</v>
      </c>
      <c r="D49" s="116"/>
      <c r="E49" s="77">
        <f t="shared" ref="E49:AA49" si="28">E34/60</f>
        <v>0</v>
      </c>
      <c r="F49" s="77">
        <f t="shared" si="28"/>
        <v>4</v>
      </c>
      <c r="G49" s="77">
        <f t="shared" si="28"/>
        <v>3</v>
      </c>
      <c r="H49" s="77">
        <f t="shared" si="28"/>
        <v>3</v>
      </c>
      <c r="I49" s="77">
        <f t="shared" si="28"/>
        <v>0</v>
      </c>
      <c r="J49" s="77">
        <f t="shared" si="28"/>
        <v>5</v>
      </c>
      <c r="K49" s="77">
        <f t="shared" si="28"/>
        <v>4</v>
      </c>
      <c r="L49" s="77">
        <f t="shared" si="28"/>
        <v>3</v>
      </c>
      <c r="M49" s="77">
        <f t="shared" si="28"/>
        <v>4</v>
      </c>
      <c r="N49" s="77">
        <f t="shared" si="28"/>
        <v>4</v>
      </c>
      <c r="O49" s="77">
        <f t="shared" si="28"/>
        <v>0</v>
      </c>
      <c r="P49" s="77">
        <f t="shared" si="28"/>
        <v>0</v>
      </c>
      <c r="Q49" s="77">
        <f t="shared" si="28"/>
        <v>0</v>
      </c>
      <c r="R49" s="77">
        <f t="shared" si="28"/>
        <v>0</v>
      </c>
      <c r="S49" s="77">
        <f t="shared" si="28"/>
        <v>0</v>
      </c>
      <c r="T49" s="77">
        <f t="shared" si="28"/>
        <v>0</v>
      </c>
      <c r="U49" s="77">
        <f t="shared" si="28"/>
        <v>0</v>
      </c>
      <c r="V49" s="77">
        <f t="shared" si="28"/>
        <v>0</v>
      </c>
      <c r="W49" s="77">
        <f t="shared" si="28"/>
        <v>0</v>
      </c>
      <c r="X49" s="77">
        <f t="shared" si="28"/>
        <v>0</v>
      </c>
      <c r="Y49" s="77">
        <f t="shared" si="28"/>
        <v>0</v>
      </c>
      <c r="Z49" s="77">
        <f t="shared" si="28"/>
        <v>0</v>
      </c>
      <c r="AA49" s="77">
        <f t="shared" si="28"/>
        <v>0</v>
      </c>
      <c r="AB49" s="77">
        <f>AB34/60</f>
        <v>0</v>
      </c>
      <c r="AC49" s="77">
        <f>AC34/60</f>
        <v>0</v>
      </c>
      <c r="AD49" s="77">
        <f t="shared" ref="AD49:AI49" si="29">AD34/60</f>
        <v>0</v>
      </c>
      <c r="AE49" s="77">
        <f t="shared" si="29"/>
        <v>0</v>
      </c>
      <c r="AF49" s="77">
        <f t="shared" si="29"/>
        <v>0</v>
      </c>
      <c r="AG49" s="77">
        <f t="shared" si="29"/>
        <v>0</v>
      </c>
      <c r="AH49" s="77">
        <f t="shared" si="29"/>
        <v>0</v>
      </c>
      <c r="AI49" s="77">
        <f t="shared" si="29"/>
        <v>0</v>
      </c>
    </row>
    <row r="50" spans="2:35">
      <c r="C50" s="85" t="s">
        <v>196</v>
      </c>
      <c r="D50" s="116"/>
      <c r="E50" s="77">
        <v>0</v>
      </c>
      <c r="F50" s="77">
        <v>4</v>
      </c>
      <c r="G50" s="77">
        <v>4</v>
      </c>
      <c r="H50" s="77">
        <v>4</v>
      </c>
      <c r="I50" s="77">
        <v>4</v>
      </c>
      <c r="J50" s="77">
        <v>4</v>
      </c>
      <c r="K50" s="77">
        <v>4</v>
      </c>
      <c r="L50" s="77">
        <v>5</v>
      </c>
      <c r="M50" s="77">
        <v>4</v>
      </c>
      <c r="N50" s="77">
        <v>5</v>
      </c>
      <c r="O50" s="77">
        <v>5</v>
      </c>
      <c r="P50" s="77">
        <v>5</v>
      </c>
      <c r="Q50" s="77">
        <v>4</v>
      </c>
      <c r="R50" s="77">
        <v>0</v>
      </c>
      <c r="S50" s="77"/>
      <c r="T50" s="77">
        <v>4</v>
      </c>
      <c r="U50" s="77">
        <v>4</v>
      </c>
      <c r="V50" s="77">
        <v>4</v>
      </c>
      <c r="W50" s="77">
        <v>5</v>
      </c>
      <c r="X50" s="77">
        <v>5</v>
      </c>
      <c r="Y50" s="77">
        <v>5</v>
      </c>
      <c r="Z50" s="77"/>
      <c r="AA50" s="77">
        <v>4</v>
      </c>
      <c r="AB50" s="77">
        <v>4</v>
      </c>
      <c r="AC50" s="77">
        <v>4</v>
      </c>
      <c r="AD50" s="77">
        <v>4</v>
      </c>
      <c r="AE50" s="77">
        <v>4</v>
      </c>
      <c r="AF50" s="77">
        <v>3</v>
      </c>
      <c r="AG50" s="77"/>
      <c r="AH50" s="77"/>
      <c r="AI50" s="77"/>
    </row>
    <row r="51" spans="2:35">
      <c r="C51" s="85" t="s">
        <v>205</v>
      </c>
      <c r="D51" s="116"/>
      <c r="E51" s="77">
        <f>E50*E49</f>
        <v>0</v>
      </c>
      <c r="F51" s="77">
        <f t="shared" ref="F51:AA51" si="30">F50*F49</f>
        <v>16</v>
      </c>
      <c r="G51" s="77">
        <f t="shared" si="30"/>
        <v>12</v>
      </c>
      <c r="H51" s="77">
        <f t="shared" si="30"/>
        <v>12</v>
      </c>
      <c r="I51" s="77">
        <f t="shared" si="30"/>
        <v>0</v>
      </c>
      <c r="J51" s="77">
        <f t="shared" si="30"/>
        <v>20</v>
      </c>
      <c r="K51" s="77">
        <f t="shared" si="30"/>
        <v>16</v>
      </c>
      <c r="L51" s="77">
        <f t="shared" si="30"/>
        <v>15</v>
      </c>
      <c r="M51" s="77">
        <f t="shared" si="30"/>
        <v>16</v>
      </c>
      <c r="N51" s="77">
        <f t="shared" si="30"/>
        <v>20</v>
      </c>
      <c r="O51" s="77">
        <f t="shared" si="30"/>
        <v>0</v>
      </c>
      <c r="P51" s="77">
        <f t="shared" si="30"/>
        <v>0</v>
      </c>
      <c r="Q51" s="77">
        <f t="shared" si="30"/>
        <v>0</v>
      </c>
      <c r="R51" s="77">
        <f t="shared" si="30"/>
        <v>0</v>
      </c>
      <c r="S51" s="77">
        <f t="shared" si="30"/>
        <v>0</v>
      </c>
      <c r="T51" s="77">
        <f t="shared" si="30"/>
        <v>0</v>
      </c>
      <c r="U51" s="77">
        <f t="shared" si="30"/>
        <v>0</v>
      </c>
      <c r="V51" s="77">
        <f t="shared" si="30"/>
        <v>0</v>
      </c>
      <c r="W51" s="77">
        <f t="shared" si="30"/>
        <v>0</v>
      </c>
      <c r="X51" s="77">
        <f t="shared" si="30"/>
        <v>0</v>
      </c>
      <c r="Y51" s="77">
        <f t="shared" si="30"/>
        <v>0</v>
      </c>
      <c r="Z51" s="77">
        <f t="shared" si="30"/>
        <v>0</v>
      </c>
      <c r="AA51" s="77">
        <f t="shared" si="30"/>
        <v>0</v>
      </c>
      <c r="AB51" s="77">
        <f>AB50*AB49</f>
        <v>0</v>
      </c>
      <c r="AC51" s="77">
        <f>AC50*AC49</f>
        <v>0</v>
      </c>
      <c r="AD51" s="77">
        <f t="shared" ref="AD51:AI51" si="31">AD50*AD49</f>
        <v>0</v>
      </c>
      <c r="AE51" s="77">
        <f t="shared" si="31"/>
        <v>0</v>
      </c>
      <c r="AF51" s="77">
        <f t="shared" si="31"/>
        <v>0</v>
      </c>
      <c r="AG51" s="77">
        <f t="shared" si="31"/>
        <v>0</v>
      </c>
      <c r="AH51" s="77">
        <f t="shared" si="31"/>
        <v>0</v>
      </c>
      <c r="AI51" s="77">
        <f t="shared" si="31"/>
        <v>0</v>
      </c>
    </row>
    <row r="52" spans="2:35" ht="25">
      <c r="C52" s="85" t="s">
        <v>216</v>
      </c>
      <c r="D52" s="116"/>
      <c r="E52" s="77">
        <f t="shared" ref="E52:AA52" si="32">E36/60*(E50)</f>
        <v>0</v>
      </c>
      <c r="F52" s="77">
        <f t="shared" si="32"/>
        <v>0</v>
      </c>
      <c r="G52" s="77">
        <f t="shared" si="32"/>
        <v>0</v>
      </c>
      <c r="H52" s="77">
        <f t="shared" si="32"/>
        <v>0</v>
      </c>
      <c r="I52" s="77">
        <f t="shared" si="32"/>
        <v>0</v>
      </c>
      <c r="J52" s="77">
        <f t="shared" si="32"/>
        <v>0</v>
      </c>
      <c r="K52" s="77">
        <f t="shared" si="32"/>
        <v>0</v>
      </c>
      <c r="L52" s="77">
        <f t="shared" si="32"/>
        <v>7.5</v>
      </c>
      <c r="M52" s="77">
        <f t="shared" si="32"/>
        <v>16</v>
      </c>
      <c r="N52" s="77">
        <f t="shared" si="32"/>
        <v>0</v>
      </c>
      <c r="O52" s="77">
        <f t="shared" si="32"/>
        <v>10</v>
      </c>
      <c r="P52" s="77">
        <f t="shared" si="32"/>
        <v>0</v>
      </c>
      <c r="Q52" s="77">
        <f t="shared" si="32"/>
        <v>0</v>
      </c>
      <c r="R52" s="77">
        <f t="shared" si="32"/>
        <v>0</v>
      </c>
      <c r="S52" s="77">
        <f t="shared" si="32"/>
        <v>0</v>
      </c>
      <c r="T52" s="77">
        <f t="shared" si="32"/>
        <v>8</v>
      </c>
      <c r="U52" s="77">
        <f t="shared" si="32"/>
        <v>0</v>
      </c>
      <c r="V52" s="77">
        <f t="shared" si="32"/>
        <v>16</v>
      </c>
      <c r="W52" s="77">
        <f t="shared" si="32"/>
        <v>20</v>
      </c>
      <c r="X52" s="77">
        <f t="shared" si="32"/>
        <v>0</v>
      </c>
      <c r="Y52" s="77">
        <f t="shared" si="32"/>
        <v>30</v>
      </c>
      <c r="Z52" s="77">
        <f t="shared" si="32"/>
        <v>0</v>
      </c>
      <c r="AA52" s="77">
        <f t="shared" si="32"/>
        <v>8</v>
      </c>
      <c r="AB52" s="77">
        <f>AB36/60*(AB50)</f>
        <v>27.133333333333333</v>
      </c>
      <c r="AC52" s="77">
        <f>AC36/60*(AC50)</f>
        <v>7.2</v>
      </c>
      <c r="AD52" s="77">
        <f t="shared" ref="AD52:AI52" si="33">AD36/60*(AD50)</f>
        <v>17.333333333333332</v>
      </c>
      <c r="AE52" s="77">
        <f t="shared" si="33"/>
        <v>0</v>
      </c>
      <c r="AF52" s="77">
        <f t="shared" si="33"/>
        <v>14.9</v>
      </c>
      <c r="AG52" s="77">
        <f t="shared" si="33"/>
        <v>0</v>
      </c>
      <c r="AH52" s="77">
        <f t="shared" si="33"/>
        <v>0</v>
      </c>
      <c r="AI52" s="77">
        <f t="shared" si="33"/>
        <v>0</v>
      </c>
    </row>
    <row r="53" spans="2:35">
      <c r="C53" s="83" t="s">
        <v>208</v>
      </c>
      <c r="D53" s="117" t="s">
        <v>207</v>
      </c>
      <c r="E53" s="75">
        <f t="shared" ref="E53:AA53" si="34">E16/60</f>
        <v>4.0999999999999996</v>
      </c>
      <c r="F53" s="75">
        <f t="shared" si="34"/>
        <v>0</v>
      </c>
      <c r="G53" s="75">
        <f t="shared" si="34"/>
        <v>0</v>
      </c>
      <c r="H53" s="75">
        <f t="shared" si="34"/>
        <v>0</v>
      </c>
      <c r="I53" s="75">
        <f t="shared" si="34"/>
        <v>0</v>
      </c>
      <c r="J53" s="75">
        <f t="shared" si="34"/>
        <v>0</v>
      </c>
      <c r="K53" s="75">
        <f t="shared" si="34"/>
        <v>0</v>
      </c>
      <c r="L53" s="75">
        <f t="shared" si="34"/>
        <v>0</v>
      </c>
      <c r="M53" s="75">
        <f t="shared" si="34"/>
        <v>0</v>
      </c>
      <c r="N53" s="75">
        <f t="shared" si="34"/>
        <v>2.5</v>
      </c>
      <c r="O53" s="75">
        <f t="shared" si="34"/>
        <v>0</v>
      </c>
      <c r="P53" s="75">
        <f t="shared" si="34"/>
        <v>1</v>
      </c>
      <c r="Q53" s="75">
        <f t="shared" si="34"/>
        <v>0</v>
      </c>
      <c r="R53" s="75">
        <f t="shared" si="34"/>
        <v>0</v>
      </c>
      <c r="S53" s="75">
        <f t="shared" si="34"/>
        <v>5</v>
      </c>
      <c r="T53" s="75">
        <f t="shared" si="34"/>
        <v>2.5</v>
      </c>
      <c r="U53" s="75">
        <f t="shared" si="34"/>
        <v>0</v>
      </c>
      <c r="V53" s="75">
        <f t="shared" si="34"/>
        <v>0</v>
      </c>
      <c r="W53" s="75">
        <f t="shared" si="34"/>
        <v>0</v>
      </c>
      <c r="X53" s="75">
        <f t="shared" si="34"/>
        <v>4</v>
      </c>
      <c r="Y53" s="75">
        <f t="shared" si="34"/>
        <v>1</v>
      </c>
      <c r="Z53" s="75">
        <f t="shared" si="34"/>
        <v>0</v>
      </c>
      <c r="AA53" s="75">
        <f t="shared" si="34"/>
        <v>1.5</v>
      </c>
      <c r="AB53" s="75">
        <f>AB15/60</f>
        <v>0</v>
      </c>
      <c r="AC53" s="75">
        <f>AC15/60</f>
        <v>1.5</v>
      </c>
      <c r="AD53" s="75">
        <f t="shared" ref="AD53:AI53" si="35">AD15/60</f>
        <v>0</v>
      </c>
      <c r="AE53" s="75">
        <f t="shared" si="35"/>
        <v>0</v>
      </c>
      <c r="AF53" s="75">
        <f t="shared" si="35"/>
        <v>0</v>
      </c>
      <c r="AG53" s="75">
        <f t="shared" si="35"/>
        <v>0</v>
      </c>
      <c r="AH53" s="75">
        <f t="shared" si="35"/>
        <v>0</v>
      </c>
      <c r="AI53" s="75">
        <f t="shared" si="35"/>
        <v>0</v>
      </c>
    </row>
    <row r="54" spans="2:35">
      <c r="C54" s="83" t="s">
        <v>196</v>
      </c>
      <c r="D54" s="117"/>
      <c r="E54" s="75">
        <v>0</v>
      </c>
      <c r="F54" s="75">
        <v>4</v>
      </c>
      <c r="G54" s="75">
        <v>4</v>
      </c>
      <c r="H54" s="75">
        <v>4</v>
      </c>
      <c r="I54" s="75">
        <v>4</v>
      </c>
      <c r="J54" s="75">
        <v>4</v>
      </c>
      <c r="K54" s="75">
        <v>4</v>
      </c>
      <c r="L54" s="75">
        <v>0</v>
      </c>
      <c r="M54" s="75">
        <v>3</v>
      </c>
      <c r="N54" s="75">
        <v>3</v>
      </c>
      <c r="O54" s="75">
        <v>0</v>
      </c>
      <c r="P54" s="75">
        <v>4</v>
      </c>
      <c r="Q54" s="75">
        <v>2</v>
      </c>
      <c r="R54" s="75">
        <v>2</v>
      </c>
      <c r="S54" s="75"/>
      <c r="T54" s="75">
        <v>2</v>
      </c>
      <c r="U54" s="75">
        <v>4</v>
      </c>
      <c r="V54" s="75"/>
      <c r="W54" s="75">
        <v>3</v>
      </c>
      <c r="X54" s="75">
        <v>4</v>
      </c>
      <c r="Y54" s="75">
        <v>2</v>
      </c>
      <c r="Z54" s="75"/>
      <c r="AA54" s="75"/>
      <c r="AB54" s="75">
        <v>3.5</v>
      </c>
      <c r="AC54" s="75">
        <v>4</v>
      </c>
      <c r="AD54" s="75">
        <v>0.5</v>
      </c>
      <c r="AE54" s="75">
        <v>2</v>
      </c>
      <c r="AF54" s="75">
        <v>0</v>
      </c>
      <c r="AG54" s="75"/>
      <c r="AH54" s="75"/>
      <c r="AI54" s="75"/>
    </row>
    <row r="55" spans="2:35">
      <c r="C55" s="83" t="s">
        <v>203</v>
      </c>
      <c r="D55" s="117"/>
      <c r="E55" s="75">
        <f>E54*E53</f>
        <v>0</v>
      </c>
      <c r="F55" s="75">
        <f t="shared" ref="F55:AI55" si="36">F54*F53</f>
        <v>0</v>
      </c>
      <c r="G55" s="75">
        <f t="shared" si="36"/>
        <v>0</v>
      </c>
      <c r="H55" s="75">
        <f t="shared" si="36"/>
        <v>0</v>
      </c>
      <c r="I55" s="75">
        <f t="shared" si="36"/>
        <v>0</v>
      </c>
      <c r="J55" s="75">
        <f t="shared" si="36"/>
        <v>0</v>
      </c>
      <c r="K55" s="75">
        <f t="shared" si="36"/>
        <v>0</v>
      </c>
      <c r="L55" s="75">
        <f t="shared" si="36"/>
        <v>0</v>
      </c>
      <c r="M55" s="75">
        <f t="shared" si="36"/>
        <v>0</v>
      </c>
      <c r="N55" s="75">
        <f t="shared" si="36"/>
        <v>7.5</v>
      </c>
      <c r="O55" s="75">
        <f t="shared" si="36"/>
        <v>0</v>
      </c>
      <c r="P55" s="75">
        <f t="shared" si="36"/>
        <v>4</v>
      </c>
      <c r="Q55" s="75">
        <f t="shared" si="36"/>
        <v>0</v>
      </c>
      <c r="R55" s="75">
        <f t="shared" si="36"/>
        <v>0</v>
      </c>
      <c r="S55" s="75">
        <f t="shared" si="36"/>
        <v>0</v>
      </c>
      <c r="T55" s="75">
        <f t="shared" si="36"/>
        <v>5</v>
      </c>
      <c r="U55" s="75">
        <f t="shared" si="36"/>
        <v>0</v>
      </c>
      <c r="V55" s="75">
        <f t="shared" si="36"/>
        <v>0</v>
      </c>
      <c r="W55" s="75">
        <f t="shared" si="36"/>
        <v>0</v>
      </c>
      <c r="X55" s="75">
        <f t="shared" si="36"/>
        <v>16</v>
      </c>
      <c r="Y55" s="75">
        <f t="shared" si="36"/>
        <v>2</v>
      </c>
      <c r="Z55" s="75">
        <f t="shared" si="36"/>
        <v>0</v>
      </c>
      <c r="AA55" s="75">
        <f t="shared" si="36"/>
        <v>0</v>
      </c>
      <c r="AB55" s="75">
        <f>AB54*AB53</f>
        <v>0</v>
      </c>
      <c r="AC55" s="75">
        <f>AC54*AC53</f>
        <v>6</v>
      </c>
      <c r="AD55" s="75">
        <f t="shared" si="36"/>
        <v>0</v>
      </c>
      <c r="AE55" s="75">
        <f t="shared" si="36"/>
        <v>0</v>
      </c>
      <c r="AF55" s="75">
        <f t="shared" si="36"/>
        <v>0</v>
      </c>
      <c r="AG55" s="75">
        <f t="shared" si="36"/>
        <v>0</v>
      </c>
      <c r="AH55" s="75">
        <f t="shared" si="36"/>
        <v>0</v>
      </c>
      <c r="AI55" s="75">
        <f t="shared" si="36"/>
        <v>0</v>
      </c>
    </row>
    <row r="56" spans="2:35">
      <c r="C56" s="84" t="s">
        <v>208</v>
      </c>
      <c r="D56" s="117"/>
      <c r="E56" s="76">
        <f t="shared" ref="E56:AI56" si="37">E26/60</f>
        <v>0</v>
      </c>
      <c r="F56" s="76">
        <f t="shared" si="37"/>
        <v>0</v>
      </c>
      <c r="G56" s="76">
        <f t="shared" si="37"/>
        <v>0</v>
      </c>
      <c r="H56" s="76">
        <f t="shared" si="37"/>
        <v>0</v>
      </c>
      <c r="I56" s="76">
        <f t="shared" si="37"/>
        <v>0</v>
      </c>
      <c r="J56" s="76">
        <f t="shared" si="37"/>
        <v>0</v>
      </c>
      <c r="K56" s="76">
        <f t="shared" si="37"/>
        <v>0</v>
      </c>
      <c r="L56" s="76">
        <f t="shared" si="37"/>
        <v>0</v>
      </c>
      <c r="M56" s="76">
        <f t="shared" si="37"/>
        <v>0</v>
      </c>
      <c r="N56" s="76">
        <f t="shared" si="37"/>
        <v>0</v>
      </c>
      <c r="O56" s="76">
        <f t="shared" si="37"/>
        <v>0</v>
      </c>
      <c r="P56" s="76">
        <f t="shared" si="37"/>
        <v>1</v>
      </c>
      <c r="Q56" s="76">
        <f t="shared" si="37"/>
        <v>0</v>
      </c>
      <c r="R56" s="76">
        <f t="shared" si="37"/>
        <v>0</v>
      </c>
      <c r="S56" s="76">
        <f t="shared" si="37"/>
        <v>0</v>
      </c>
      <c r="T56" s="76">
        <f t="shared" si="37"/>
        <v>0</v>
      </c>
      <c r="U56" s="76">
        <f t="shared" si="37"/>
        <v>0</v>
      </c>
      <c r="V56" s="76">
        <f t="shared" si="37"/>
        <v>0</v>
      </c>
      <c r="W56" s="76">
        <f t="shared" si="37"/>
        <v>0</v>
      </c>
      <c r="X56" s="76">
        <f t="shared" si="37"/>
        <v>4</v>
      </c>
      <c r="Y56" s="76">
        <f t="shared" si="37"/>
        <v>2.6666666666666665</v>
      </c>
      <c r="Z56" s="76">
        <f t="shared" si="37"/>
        <v>0</v>
      </c>
      <c r="AA56" s="76">
        <f t="shared" si="37"/>
        <v>1.3333333333333333</v>
      </c>
      <c r="AB56" s="76">
        <f>AB25/60</f>
        <v>0</v>
      </c>
      <c r="AC56" s="76">
        <f>AC25/60</f>
        <v>0</v>
      </c>
      <c r="AD56" s="76">
        <f t="shared" si="37"/>
        <v>4.1333333333333337</v>
      </c>
      <c r="AE56" s="76">
        <f t="shared" si="37"/>
        <v>1.7333333333333334</v>
      </c>
      <c r="AF56" s="76">
        <f t="shared" si="37"/>
        <v>0</v>
      </c>
      <c r="AG56" s="76">
        <f t="shared" si="37"/>
        <v>0</v>
      </c>
      <c r="AH56" s="76">
        <f t="shared" si="37"/>
        <v>0</v>
      </c>
      <c r="AI56" s="76">
        <f t="shared" si="37"/>
        <v>0</v>
      </c>
    </row>
    <row r="57" spans="2:35">
      <c r="C57" s="84" t="s">
        <v>196</v>
      </c>
      <c r="D57" s="117"/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3</v>
      </c>
      <c r="N57" s="76">
        <v>2</v>
      </c>
      <c r="O57" s="76">
        <v>3</v>
      </c>
      <c r="P57" s="76">
        <v>4.5</v>
      </c>
      <c r="Q57" s="76">
        <v>0</v>
      </c>
      <c r="R57" s="76">
        <v>0</v>
      </c>
      <c r="S57" s="76"/>
      <c r="T57" s="76">
        <v>2</v>
      </c>
      <c r="U57" s="76"/>
      <c r="V57" s="76">
        <v>4</v>
      </c>
      <c r="W57" s="76">
        <v>1</v>
      </c>
      <c r="X57" s="76">
        <v>4</v>
      </c>
      <c r="Y57" s="76">
        <v>2</v>
      </c>
      <c r="Z57" s="76"/>
      <c r="AA57" s="76"/>
      <c r="AB57" s="76">
        <v>0.5</v>
      </c>
      <c r="AC57" s="76">
        <v>0</v>
      </c>
      <c r="AD57" s="76">
        <v>3.5</v>
      </c>
      <c r="AE57" s="76">
        <v>0</v>
      </c>
      <c r="AF57" s="76">
        <v>0</v>
      </c>
      <c r="AG57" s="76"/>
      <c r="AH57" s="76"/>
      <c r="AI57" s="76"/>
    </row>
    <row r="58" spans="2:35">
      <c r="C58" s="84" t="s">
        <v>204</v>
      </c>
      <c r="D58" s="117"/>
      <c r="E58" s="76">
        <f>E57*E56</f>
        <v>0</v>
      </c>
      <c r="F58" s="76">
        <f t="shared" ref="F58:AA58" si="38">F57*F56</f>
        <v>0</v>
      </c>
      <c r="G58" s="76">
        <f t="shared" si="38"/>
        <v>0</v>
      </c>
      <c r="H58" s="76">
        <f t="shared" si="38"/>
        <v>0</v>
      </c>
      <c r="I58" s="76">
        <f t="shared" si="38"/>
        <v>0</v>
      </c>
      <c r="J58" s="76">
        <f t="shared" si="38"/>
        <v>0</v>
      </c>
      <c r="K58" s="76">
        <f t="shared" si="38"/>
        <v>0</v>
      </c>
      <c r="L58" s="76">
        <f t="shared" si="38"/>
        <v>0</v>
      </c>
      <c r="M58" s="76">
        <f t="shared" si="38"/>
        <v>0</v>
      </c>
      <c r="N58" s="76">
        <f t="shared" si="38"/>
        <v>0</v>
      </c>
      <c r="O58" s="76">
        <f t="shared" si="38"/>
        <v>0</v>
      </c>
      <c r="P58" s="76">
        <f t="shared" si="38"/>
        <v>4.5</v>
      </c>
      <c r="Q58" s="76">
        <f t="shared" si="38"/>
        <v>0</v>
      </c>
      <c r="R58" s="76">
        <f t="shared" si="38"/>
        <v>0</v>
      </c>
      <c r="S58" s="76">
        <f t="shared" si="38"/>
        <v>0</v>
      </c>
      <c r="T58" s="76">
        <f t="shared" si="38"/>
        <v>0</v>
      </c>
      <c r="U58" s="76">
        <f t="shared" si="38"/>
        <v>0</v>
      </c>
      <c r="V58" s="76">
        <f t="shared" si="38"/>
        <v>0</v>
      </c>
      <c r="W58" s="76">
        <f t="shared" si="38"/>
        <v>0</v>
      </c>
      <c r="X58" s="76">
        <f t="shared" si="38"/>
        <v>16</v>
      </c>
      <c r="Y58" s="76">
        <f t="shared" si="38"/>
        <v>5.333333333333333</v>
      </c>
      <c r="Z58" s="76">
        <f t="shared" si="38"/>
        <v>0</v>
      </c>
      <c r="AA58" s="76">
        <f t="shared" si="38"/>
        <v>0</v>
      </c>
      <c r="AB58" s="76">
        <f>AB57*AB56</f>
        <v>0</v>
      </c>
      <c r="AC58" s="76">
        <f>AC57*AC56</f>
        <v>0</v>
      </c>
      <c r="AD58" s="76">
        <f t="shared" ref="AD58:AI58" si="39">AD57*AD56</f>
        <v>14.466666666666669</v>
      </c>
      <c r="AE58" s="76">
        <f t="shared" si="39"/>
        <v>0</v>
      </c>
      <c r="AF58" s="76">
        <f t="shared" si="39"/>
        <v>0</v>
      </c>
      <c r="AG58" s="76">
        <f t="shared" si="39"/>
        <v>0</v>
      </c>
      <c r="AH58" s="76">
        <f t="shared" si="39"/>
        <v>0</v>
      </c>
      <c r="AI58" s="76">
        <f t="shared" si="39"/>
        <v>0</v>
      </c>
    </row>
    <row r="59" spans="2:35">
      <c r="C59" s="85" t="s">
        <v>208</v>
      </c>
      <c r="D59" s="117"/>
      <c r="E59" s="77">
        <f>E36/60</f>
        <v>0</v>
      </c>
      <c r="F59" s="77"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0</v>
      </c>
      <c r="X59" s="77">
        <v>0</v>
      </c>
      <c r="Y59" s="77">
        <v>0</v>
      </c>
      <c r="Z59" s="77">
        <v>0</v>
      </c>
      <c r="AA59" s="77">
        <v>0</v>
      </c>
      <c r="AB59" s="77">
        <f>AB35/60</f>
        <v>0</v>
      </c>
      <c r="AC59" s="77">
        <f>AC35/60</f>
        <v>0</v>
      </c>
      <c r="AD59" s="77">
        <f t="shared" ref="AD59:AI59" si="40">AD35/60</f>
        <v>0</v>
      </c>
      <c r="AE59" s="77">
        <f t="shared" si="40"/>
        <v>0</v>
      </c>
      <c r="AF59" s="77">
        <f t="shared" si="40"/>
        <v>0</v>
      </c>
      <c r="AG59" s="77">
        <f t="shared" si="40"/>
        <v>0</v>
      </c>
      <c r="AH59" s="77">
        <f t="shared" si="40"/>
        <v>0</v>
      </c>
      <c r="AI59" s="77">
        <f t="shared" si="40"/>
        <v>0</v>
      </c>
    </row>
    <row r="60" spans="2:35">
      <c r="C60" s="85" t="s">
        <v>196</v>
      </c>
      <c r="D60" s="117"/>
      <c r="E60" s="77">
        <v>0</v>
      </c>
      <c r="F60" s="77">
        <v>4</v>
      </c>
      <c r="G60" s="77">
        <v>4</v>
      </c>
      <c r="H60" s="77">
        <v>4</v>
      </c>
      <c r="I60" s="77">
        <v>4</v>
      </c>
      <c r="J60" s="77">
        <v>0</v>
      </c>
      <c r="K60" s="77">
        <v>4</v>
      </c>
      <c r="L60" s="77">
        <v>4</v>
      </c>
      <c r="M60" s="77">
        <v>4</v>
      </c>
      <c r="N60" s="77">
        <v>2</v>
      </c>
      <c r="O60" s="77">
        <v>4</v>
      </c>
      <c r="P60" s="77">
        <v>0</v>
      </c>
      <c r="Q60" s="77">
        <v>1</v>
      </c>
      <c r="R60" s="77">
        <v>0</v>
      </c>
      <c r="S60" s="77"/>
      <c r="T60" s="77">
        <v>2</v>
      </c>
      <c r="U60" s="77">
        <v>4</v>
      </c>
      <c r="V60" s="77">
        <v>6</v>
      </c>
      <c r="W60" s="77">
        <v>4</v>
      </c>
      <c r="X60" s="77">
        <v>3</v>
      </c>
      <c r="Y60" s="77">
        <v>4</v>
      </c>
      <c r="Z60" s="77"/>
      <c r="AA60" s="77"/>
      <c r="AB60" s="77">
        <v>4</v>
      </c>
      <c r="AC60" s="77">
        <v>4</v>
      </c>
      <c r="AD60" s="77">
        <v>3</v>
      </c>
      <c r="AE60" s="77">
        <v>2</v>
      </c>
      <c r="AF60" s="77">
        <v>5</v>
      </c>
      <c r="AG60" s="77"/>
      <c r="AH60" s="77"/>
      <c r="AI60" s="77"/>
    </row>
    <row r="61" spans="2:35">
      <c r="C61" s="85" t="s">
        <v>205</v>
      </c>
      <c r="D61" s="118"/>
      <c r="E61" s="77">
        <f>E60*E59</f>
        <v>0</v>
      </c>
      <c r="F61" s="77">
        <f t="shared" ref="F61:AA61" si="41">F60*F59</f>
        <v>0</v>
      </c>
      <c r="G61" s="77">
        <f t="shared" si="41"/>
        <v>0</v>
      </c>
      <c r="H61" s="77">
        <f t="shared" si="41"/>
        <v>0</v>
      </c>
      <c r="I61" s="77">
        <f t="shared" si="41"/>
        <v>0</v>
      </c>
      <c r="J61" s="77">
        <f t="shared" si="41"/>
        <v>0</v>
      </c>
      <c r="K61" s="77">
        <f t="shared" si="41"/>
        <v>0</v>
      </c>
      <c r="L61" s="77">
        <f t="shared" si="41"/>
        <v>0</v>
      </c>
      <c r="M61" s="77">
        <f t="shared" si="41"/>
        <v>0</v>
      </c>
      <c r="N61" s="77">
        <f t="shared" si="41"/>
        <v>0</v>
      </c>
      <c r="O61" s="77">
        <f t="shared" si="41"/>
        <v>0</v>
      </c>
      <c r="P61" s="77">
        <f t="shared" si="41"/>
        <v>0</v>
      </c>
      <c r="Q61" s="77">
        <f t="shared" si="41"/>
        <v>0</v>
      </c>
      <c r="R61" s="77">
        <f t="shared" si="41"/>
        <v>0</v>
      </c>
      <c r="S61" s="77">
        <f t="shared" si="41"/>
        <v>0</v>
      </c>
      <c r="T61" s="77">
        <f t="shared" si="41"/>
        <v>0</v>
      </c>
      <c r="U61" s="77">
        <f t="shared" si="41"/>
        <v>0</v>
      </c>
      <c r="V61" s="77">
        <f t="shared" si="41"/>
        <v>0</v>
      </c>
      <c r="W61" s="77">
        <f t="shared" si="41"/>
        <v>0</v>
      </c>
      <c r="X61" s="77">
        <f t="shared" si="41"/>
        <v>0</v>
      </c>
      <c r="Y61" s="77">
        <f t="shared" si="41"/>
        <v>0</v>
      </c>
      <c r="Z61" s="77">
        <f t="shared" si="41"/>
        <v>0</v>
      </c>
      <c r="AA61" s="77">
        <f t="shared" si="41"/>
        <v>0</v>
      </c>
      <c r="AB61" s="77">
        <f>AB60*AB59</f>
        <v>0</v>
      </c>
      <c r="AC61" s="77">
        <f>AC60*AC59</f>
        <v>0</v>
      </c>
      <c r="AD61" s="77">
        <f t="shared" ref="AD61:AI61" si="42">AD60*AD59</f>
        <v>0</v>
      </c>
      <c r="AE61" s="77">
        <f t="shared" si="42"/>
        <v>0</v>
      </c>
      <c r="AF61" s="77">
        <f t="shared" si="42"/>
        <v>0</v>
      </c>
      <c r="AG61" s="77">
        <f t="shared" si="42"/>
        <v>0</v>
      </c>
      <c r="AH61" s="77">
        <f t="shared" si="42"/>
        <v>0</v>
      </c>
      <c r="AI61" s="77">
        <f t="shared" si="42"/>
        <v>0</v>
      </c>
    </row>
    <row r="62" spans="2:35" ht="39">
      <c r="C62" s="90" t="s">
        <v>217</v>
      </c>
      <c r="D62" s="91"/>
      <c r="E62" s="92">
        <f>E44+E48+E52</f>
        <v>0</v>
      </c>
      <c r="F62" s="92">
        <f t="shared" ref="F62:AI62" si="43">F44+F48+F52</f>
        <v>0</v>
      </c>
      <c r="G62" s="92">
        <f t="shared" si="43"/>
        <v>0</v>
      </c>
      <c r="H62" s="92">
        <f t="shared" si="43"/>
        <v>0</v>
      </c>
      <c r="I62" s="92">
        <f t="shared" si="43"/>
        <v>0</v>
      </c>
      <c r="J62" s="92">
        <f t="shared" si="43"/>
        <v>0</v>
      </c>
      <c r="K62" s="92">
        <f t="shared" si="43"/>
        <v>0</v>
      </c>
      <c r="L62" s="92">
        <f t="shared" si="43"/>
        <v>7.5</v>
      </c>
      <c r="M62" s="92">
        <f t="shared" si="43"/>
        <v>16</v>
      </c>
      <c r="N62" s="92">
        <f t="shared" si="43"/>
        <v>8.75</v>
      </c>
      <c r="O62" s="92">
        <f t="shared" si="43"/>
        <v>10</v>
      </c>
      <c r="P62" s="92">
        <f t="shared" si="43"/>
        <v>8</v>
      </c>
      <c r="Q62" s="92">
        <f t="shared" si="43"/>
        <v>0</v>
      </c>
      <c r="R62" s="92">
        <f t="shared" si="43"/>
        <v>0</v>
      </c>
      <c r="S62" s="92">
        <f t="shared" si="43"/>
        <v>20</v>
      </c>
      <c r="T62" s="92">
        <f t="shared" si="43"/>
        <v>18</v>
      </c>
      <c r="U62" s="92">
        <f t="shared" si="43"/>
        <v>0</v>
      </c>
      <c r="V62" s="92">
        <f t="shared" si="43"/>
        <v>16</v>
      </c>
      <c r="W62" s="92">
        <f t="shared" si="43"/>
        <v>20</v>
      </c>
      <c r="X62" s="92">
        <f t="shared" si="43"/>
        <v>16</v>
      </c>
      <c r="Y62" s="92">
        <f t="shared" si="43"/>
        <v>37.333333333333336</v>
      </c>
      <c r="Z62" s="92">
        <f t="shared" si="43"/>
        <v>0</v>
      </c>
      <c r="AA62" s="92">
        <f t="shared" si="43"/>
        <v>16.666666666666664</v>
      </c>
      <c r="AB62" s="92">
        <f>AB44+AB48+AB52</f>
        <v>37.133333333333333</v>
      </c>
      <c r="AC62" s="92">
        <f>AC44+AC48+AC52</f>
        <v>19.7</v>
      </c>
      <c r="AD62" s="92">
        <f t="shared" si="43"/>
        <v>25.6</v>
      </c>
      <c r="AE62" s="92">
        <f t="shared" si="43"/>
        <v>4</v>
      </c>
      <c r="AF62" s="92">
        <f t="shared" si="43"/>
        <v>14.9</v>
      </c>
      <c r="AG62" s="92">
        <f t="shared" si="43"/>
        <v>0</v>
      </c>
      <c r="AH62" s="92">
        <f t="shared" si="43"/>
        <v>0</v>
      </c>
      <c r="AI62" s="92">
        <f t="shared" si="43"/>
        <v>0</v>
      </c>
    </row>
    <row r="63" spans="2:35" ht="26">
      <c r="C63" s="90" t="s">
        <v>212</v>
      </c>
      <c r="D63" s="93"/>
      <c r="E63" s="94">
        <f t="shared" ref="E63:AI63" si="44">E43+E47+E51+E55+E58+E61</f>
        <v>0</v>
      </c>
      <c r="F63" s="94">
        <f t="shared" si="44"/>
        <v>31.75</v>
      </c>
      <c r="G63" s="94">
        <f t="shared" si="44"/>
        <v>19</v>
      </c>
      <c r="H63" s="94">
        <f t="shared" si="44"/>
        <v>15.791666666666668</v>
      </c>
      <c r="I63" s="94">
        <f t="shared" si="44"/>
        <v>24.5</v>
      </c>
      <c r="J63" s="94">
        <f t="shared" si="44"/>
        <v>44.5</v>
      </c>
      <c r="K63" s="94">
        <f t="shared" si="44"/>
        <v>42.25</v>
      </c>
      <c r="L63" s="94">
        <f t="shared" si="44"/>
        <v>15</v>
      </c>
      <c r="M63" s="94">
        <f t="shared" si="44"/>
        <v>40.5</v>
      </c>
      <c r="N63" s="94">
        <f t="shared" si="44"/>
        <v>31</v>
      </c>
      <c r="O63" s="94">
        <f t="shared" si="44"/>
        <v>8</v>
      </c>
      <c r="P63" s="94">
        <f t="shared" si="44"/>
        <v>12.52</v>
      </c>
      <c r="Q63" s="94">
        <f t="shared" si="44"/>
        <v>24.5</v>
      </c>
      <c r="R63" s="94">
        <f t="shared" si="44"/>
        <v>28</v>
      </c>
      <c r="S63" s="94">
        <f t="shared" si="44"/>
        <v>8</v>
      </c>
      <c r="T63" s="94">
        <f t="shared" si="44"/>
        <v>39</v>
      </c>
      <c r="U63" s="94">
        <f t="shared" si="44"/>
        <v>30</v>
      </c>
      <c r="V63" s="94">
        <f t="shared" si="44"/>
        <v>16</v>
      </c>
      <c r="W63" s="94">
        <f t="shared" si="44"/>
        <v>16</v>
      </c>
      <c r="X63" s="94">
        <f t="shared" si="44"/>
        <v>32</v>
      </c>
      <c r="Y63" s="94">
        <f t="shared" si="44"/>
        <v>7.333333333333333</v>
      </c>
      <c r="Z63" s="94">
        <f t="shared" si="44"/>
        <v>0</v>
      </c>
      <c r="AA63" s="94">
        <f t="shared" si="44"/>
        <v>0</v>
      </c>
      <c r="AB63" s="94">
        <f>AB43+AB47+AB51+AB55+AB58+AB61</f>
        <v>0</v>
      </c>
      <c r="AC63" s="94">
        <f>AC43+AC47+AC51+AC55+AC58+AC61</f>
        <v>9.25</v>
      </c>
      <c r="AD63" s="94">
        <f t="shared" si="44"/>
        <v>16.466666666666669</v>
      </c>
      <c r="AE63" s="94">
        <f t="shared" si="44"/>
        <v>4</v>
      </c>
      <c r="AF63" s="94">
        <f t="shared" si="44"/>
        <v>6.8000000000000007</v>
      </c>
      <c r="AG63" s="94">
        <f t="shared" si="44"/>
        <v>0</v>
      </c>
      <c r="AH63" s="94">
        <f t="shared" si="44"/>
        <v>0</v>
      </c>
      <c r="AI63" s="94">
        <f t="shared" si="44"/>
        <v>0</v>
      </c>
    </row>
    <row r="64" spans="2:35" ht="13">
      <c r="C64" s="86" t="s">
        <v>202</v>
      </c>
      <c r="D64" s="89"/>
      <c r="E64" s="78">
        <f>E62+E63</f>
        <v>0</v>
      </c>
      <c r="F64" s="78">
        <f t="shared" ref="F64:AI64" si="45">F62+F63</f>
        <v>31.75</v>
      </c>
      <c r="G64" s="78">
        <f t="shared" si="45"/>
        <v>19</v>
      </c>
      <c r="H64" s="78">
        <f t="shared" si="45"/>
        <v>15.791666666666668</v>
      </c>
      <c r="I64" s="78">
        <f t="shared" si="45"/>
        <v>24.5</v>
      </c>
      <c r="J64" s="78">
        <f t="shared" si="45"/>
        <v>44.5</v>
      </c>
      <c r="K64" s="78">
        <f t="shared" si="45"/>
        <v>42.25</v>
      </c>
      <c r="L64" s="78">
        <f t="shared" si="45"/>
        <v>22.5</v>
      </c>
      <c r="M64" s="78">
        <f t="shared" si="45"/>
        <v>56.5</v>
      </c>
      <c r="N64" s="78">
        <f t="shared" si="45"/>
        <v>39.75</v>
      </c>
      <c r="O64" s="78">
        <f t="shared" si="45"/>
        <v>18</v>
      </c>
      <c r="P64" s="78">
        <f t="shared" si="45"/>
        <v>20.52</v>
      </c>
      <c r="Q64" s="78">
        <f t="shared" si="45"/>
        <v>24.5</v>
      </c>
      <c r="R64" s="78">
        <f t="shared" si="45"/>
        <v>28</v>
      </c>
      <c r="S64" s="78">
        <f t="shared" si="45"/>
        <v>28</v>
      </c>
      <c r="T64" s="78">
        <f t="shared" si="45"/>
        <v>57</v>
      </c>
      <c r="U64" s="78">
        <f t="shared" si="45"/>
        <v>30</v>
      </c>
      <c r="V64" s="78">
        <f t="shared" si="45"/>
        <v>32</v>
      </c>
      <c r="W64" s="78">
        <f t="shared" si="45"/>
        <v>36</v>
      </c>
      <c r="X64" s="78">
        <f t="shared" si="45"/>
        <v>48</v>
      </c>
      <c r="Y64" s="78">
        <f t="shared" si="45"/>
        <v>44.666666666666671</v>
      </c>
      <c r="Z64" s="78">
        <f t="shared" si="45"/>
        <v>0</v>
      </c>
      <c r="AA64" s="78">
        <f>AA62+AA63</f>
        <v>16.666666666666664</v>
      </c>
      <c r="AB64" s="78">
        <f t="shared" si="45"/>
        <v>37.133333333333333</v>
      </c>
      <c r="AC64" s="78">
        <f>AC62+AC63</f>
        <v>28.95</v>
      </c>
      <c r="AD64" s="78">
        <f t="shared" si="45"/>
        <v>42.06666666666667</v>
      </c>
      <c r="AE64" s="78">
        <f t="shared" si="45"/>
        <v>8</v>
      </c>
      <c r="AF64" s="78">
        <f t="shared" si="45"/>
        <v>21.700000000000003</v>
      </c>
      <c r="AG64" s="78">
        <f t="shared" si="45"/>
        <v>0</v>
      </c>
      <c r="AH64" s="78">
        <f t="shared" si="45"/>
        <v>0</v>
      </c>
      <c r="AI64" s="78">
        <f t="shared" si="45"/>
        <v>0</v>
      </c>
    </row>
    <row r="65" spans="3:35">
      <c r="C65" s="83" t="s">
        <v>198</v>
      </c>
      <c r="D65" s="119" t="s">
        <v>206</v>
      </c>
      <c r="E65" s="79"/>
      <c r="F65" s="79">
        <f t="shared" ref="F65:AB65" si="46">F42*8</f>
        <v>28</v>
      </c>
      <c r="G65" s="79">
        <f t="shared" si="46"/>
        <v>28</v>
      </c>
      <c r="H65" s="79">
        <f t="shared" si="46"/>
        <v>28</v>
      </c>
      <c r="I65" s="79">
        <f t="shared" si="46"/>
        <v>28</v>
      </c>
      <c r="J65" s="79">
        <f t="shared" si="46"/>
        <v>28</v>
      </c>
      <c r="K65" s="79">
        <f t="shared" si="46"/>
        <v>28</v>
      </c>
      <c r="L65" s="79">
        <f t="shared" si="46"/>
        <v>0</v>
      </c>
      <c r="M65" s="79">
        <f t="shared" si="46"/>
        <v>28</v>
      </c>
      <c r="N65" s="79">
        <f>8*3.5</f>
        <v>28</v>
      </c>
      <c r="O65" s="79">
        <f>4*8</f>
        <v>32</v>
      </c>
      <c r="P65" s="79">
        <f>4*5.5</f>
        <v>22</v>
      </c>
      <c r="Q65" s="79">
        <f>3.5*8</f>
        <v>28</v>
      </c>
      <c r="R65" s="79">
        <f t="shared" si="46"/>
        <v>32</v>
      </c>
      <c r="S65" s="79">
        <f>4*8</f>
        <v>32</v>
      </c>
      <c r="T65" s="79">
        <f t="shared" si="46"/>
        <v>32</v>
      </c>
      <c r="U65" s="79">
        <f t="shared" si="46"/>
        <v>32</v>
      </c>
      <c r="V65" s="79">
        <f t="shared" si="46"/>
        <v>32</v>
      </c>
      <c r="W65" s="79">
        <f t="shared" si="46"/>
        <v>32</v>
      </c>
      <c r="X65" s="79">
        <f t="shared" si="46"/>
        <v>32</v>
      </c>
      <c r="Y65" s="79">
        <f t="shared" si="46"/>
        <v>16</v>
      </c>
      <c r="Z65" s="79">
        <f t="shared" si="46"/>
        <v>0</v>
      </c>
      <c r="AA65" s="79">
        <f t="shared" si="46"/>
        <v>32</v>
      </c>
      <c r="AB65" s="79">
        <f t="shared" si="46"/>
        <v>12</v>
      </c>
      <c r="AC65" s="79">
        <f>AC42*8</f>
        <v>20</v>
      </c>
      <c r="AD65" s="79">
        <f t="shared" ref="AD65:AI65" si="47">AD42*8</f>
        <v>16</v>
      </c>
      <c r="AE65" s="79">
        <f t="shared" si="47"/>
        <v>32</v>
      </c>
      <c r="AF65" s="79">
        <f t="shared" si="47"/>
        <v>24</v>
      </c>
      <c r="AG65" s="79">
        <f t="shared" si="47"/>
        <v>0</v>
      </c>
      <c r="AH65" s="79">
        <f t="shared" si="47"/>
        <v>0</v>
      </c>
      <c r="AI65" s="79">
        <f t="shared" si="47"/>
        <v>0</v>
      </c>
    </row>
    <row r="66" spans="3:35">
      <c r="C66" s="83" t="s">
        <v>199</v>
      </c>
      <c r="D66" s="120"/>
      <c r="E66" s="79"/>
      <c r="F66" s="79">
        <f t="shared" ref="F66:AB66" si="48">F46*8</f>
        <v>28</v>
      </c>
      <c r="G66" s="79">
        <f t="shared" si="48"/>
        <v>28</v>
      </c>
      <c r="H66" s="79">
        <f t="shared" si="48"/>
        <v>28</v>
      </c>
      <c r="I66" s="79">
        <f t="shared" si="48"/>
        <v>28</v>
      </c>
      <c r="J66" s="79">
        <f t="shared" si="48"/>
        <v>28</v>
      </c>
      <c r="K66" s="79">
        <f t="shared" si="48"/>
        <v>28</v>
      </c>
      <c r="L66" s="79">
        <f t="shared" si="48"/>
        <v>0</v>
      </c>
      <c r="M66" s="79">
        <f t="shared" si="48"/>
        <v>28</v>
      </c>
      <c r="N66" s="79">
        <f>8*3.5</f>
        <v>28</v>
      </c>
      <c r="O66" s="79">
        <f>4*4</f>
        <v>16</v>
      </c>
      <c r="P66" s="79">
        <f>4*2.5</f>
        <v>10</v>
      </c>
      <c r="Q66" s="79">
        <f>3.5*8</f>
        <v>28</v>
      </c>
      <c r="R66" s="79">
        <f t="shared" si="48"/>
        <v>32</v>
      </c>
      <c r="S66" s="79">
        <f t="shared" si="48"/>
        <v>0</v>
      </c>
      <c r="T66" s="79">
        <f t="shared" si="48"/>
        <v>32</v>
      </c>
      <c r="U66" s="79">
        <f t="shared" si="48"/>
        <v>32</v>
      </c>
      <c r="V66" s="79">
        <f t="shared" si="48"/>
        <v>0</v>
      </c>
      <c r="W66" s="79">
        <f t="shared" si="48"/>
        <v>0</v>
      </c>
      <c r="X66" s="79">
        <f t="shared" si="48"/>
        <v>0</v>
      </c>
      <c r="Y66" s="79">
        <f t="shared" si="48"/>
        <v>16</v>
      </c>
      <c r="Z66" s="79">
        <f t="shared" si="48"/>
        <v>0</v>
      </c>
      <c r="AA66" s="79">
        <f t="shared" si="48"/>
        <v>16</v>
      </c>
      <c r="AB66" s="79">
        <f t="shared" si="48"/>
        <v>20</v>
      </c>
      <c r="AC66" s="79">
        <f>AC46*8</f>
        <v>12</v>
      </c>
      <c r="AD66" s="79">
        <f t="shared" ref="AD66:AI66" si="49">AD46*8</f>
        <v>16</v>
      </c>
      <c r="AE66" s="79">
        <f t="shared" si="49"/>
        <v>0</v>
      </c>
      <c r="AF66" s="79">
        <f t="shared" si="49"/>
        <v>8</v>
      </c>
      <c r="AG66" s="79">
        <f t="shared" si="49"/>
        <v>0</v>
      </c>
      <c r="AH66" s="79">
        <f t="shared" si="49"/>
        <v>0</v>
      </c>
      <c r="AI66" s="79">
        <f t="shared" si="49"/>
        <v>0</v>
      </c>
    </row>
    <row r="67" spans="3:35">
      <c r="C67" s="83" t="s">
        <v>200</v>
      </c>
      <c r="D67" s="121"/>
      <c r="E67" s="79">
        <f>5*7.5</f>
        <v>37.5</v>
      </c>
      <c r="F67" s="79">
        <f>F50*8</f>
        <v>32</v>
      </c>
      <c r="G67" s="79">
        <f t="shared" ref="G67:AA67" si="50">G50*8</f>
        <v>32</v>
      </c>
      <c r="H67" s="79">
        <f t="shared" si="50"/>
        <v>32</v>
      </c>
      <c r="I67" s="79">
        <f t="shared" si="50"/>
        <v>32</v>
      </c>
      <c r="J67" s="79">
        <f t="shared" si="50"/>
        <v>32</v>
      </c>
      <c r="K67" s="79">
        <f t="shared" si="50"/>
        <v>32</v>
      </c>
      <c r="L67" s="79">
        <f t="shared" si="50"/>
        <v>40</v>
      </c>
      <c r="M67" s="79">
        <f>8*5+5*4</f>
        <v>60</v>
      </c>
      <c r="N67" s="79">
        <f>8*5</f>
        <v>40</v>
      </c>
      <c r="O67" s="79">
        <f>5*8+4*4</f>
        <v>56</v>
      </c>
      <c r="P67" s="79">
        <f>5*8</f>
        <v>40</v>
      </c>
      <c r="Q67" s="79">
        <f>4*8</f>
        <v>32</v>
      </c>
      <c r="R67" s="79">
        <f t="shared" si="50"/>
        <v>0</v>
      </c>
      <c r="S67" s="79">
        <f t="shared" si="50"/>
        <v>0</v>
      </c>
      <c r="T67" s="79">
        <f t="shared" si="50"/>
        <v>32</v>
      </c>
      <c r="U67" s="79">
        <f t="shared" si="50"/>
        <v>32</v>
      </c>
      <c r="V67" s="79">
        <f t="shared" si="50"/>
        <v>32</v>
      </c>
      <c r="W67" s="79">
        <f t="shared" si="50"/>
        <v>40</v>
      </c>
      <c r="X67" s="79">
        <f t="shared" si="50"/>
        <v>40</v>
      </c>
      <c r="Y67" s="79">
        <f t="shared" si="50"/>
        <v>40</v>
      </c>
      <c r="Z67" s="79">
        <f t="shared" si="50"/>
        <v>0</v>
      </c>
      <c r="AA67" s="79">
        <f t="shared" si="50"/>
        <v>32</v>
      </c>
      <c r="AB67" s="79">
        <f>AB50*8</f>
        <v>32</v>
      </c>
      <c r="AC67" s="79">
        <f>AC50*8</f>
        <v>32</v>
      </c>
      <c r="AD67" s="79">
        <f t="shared" ref="AD67:AI67" si="51">AD50*8</f>
        <v>32</v>
      </c>
      <c r="AE67" s="79">
        <f t="shared" si="51"/>
        <v>32</v>
      </c>
      <c r="AF67" s="79">
        <f t="shared" si="51"/>
        <v>24</v>
      </c>
      <c r="AG67" s="79">
        <f t="shared" si="51"/>
        <v>0</v>
      </c>
      <c r="AH67" s="79">
        <f t="shared" si="51"/>
        <v>0</v>
      </c>
      <c r="AI67" s="79">
        <f t="shared" si="51"/>
        <v>0</v>
      </c>
    </row>
    <row r="68" spans="3:35">
      <c r="C68" s="87" t="s">
        <v>198</v>
      </c>
      <c r="D68" s="122" t="s">
        <v>207</v>
      </c>
      <c r="E68" s="80"/>
      <c r="F68" s="80">
        <f t="shared" ref="F68:L68" si="52">+F54*4</f>
        <v>16</v>
      </c>
      <c r="G68" s="80">
        <f t="shared" si="52"/>
        <v>16</v>
      </c>
      <c r="H68" s="80">
        <f t="shared" si="52"/>
        <v>16</v>
      </c>
      <c r="I68" s="80">
        <f t="shared" si="52"/>
        <v>16</v>
      </c>
      <c r="J68" s="80">
        <f t="shared" si="52"/>
        <v>16</v>
      </c>
      <c r="K68" s="80">
        <f t="shared" si="52"/>
        <v>16</v>
      </c>
      <c r="L68" s="80">
        <f t="shared" si="52"/>
        <v>0</v>
      </c>
      <c r="M68" s="80">
        <f>3*8</f>
        <v>24</v>
      </c>
      <c r="N68" s="80">
        <f>3*8</f>
        <v>24</v>
      </c>
      <c r="O68" s="80">
        <v>0</v>
      </c>
      <c r="P68" s="80">
        <f>4*2+6*4</f>
        <v>32</v>
      </c>
      <c r="Q68" s="80">
        <f>4*4</f>
        <v>16</v>
      </c>
      <c r="R68" s="80">
        <f>4*4</f>
        <v>16</v>
      </c>
      <c r="S68" s="80">
        <v>0</v>
      </c>
      <c r="T68" s="80">
        <f>4*2</f>
        <v>8</v>
      </c>
      <c r="U68" s="80">
        <v>0</v>
      </c>
      <c r="V68" s="80">
        <v>0</v>
      </c>
      <c r="W68" s="80">
        <f>4*5</f>
        <v>20</v>
      </c>
      <c r="X68" s="80">
        <f>4*8</f>
        <v>32</v>
      </c>
      <c r="Y68" s="80">
        <f>8*2</f>
        <v>16</v>
      </c>
      <c r="Z68" s="80"/>
      <c r="AA68" s="80">
        <v>0</v>
      </c>
      <c r="AB68" s="80">
        <f>AB54*8</f>
        <v>28</v>
      </c>
      <c r="AC68" s="80">
        <f>AC54*8</f>
        <v>32</v>
      </c>
      <c r="AD68" s="80">
        <f t="shared" ref="AD68:AI68" si="53">AD54*8</f>
        <v>4</v>
      </c>
      <c r="AE68" s="80">
        <f t="shared" si="53"/>
        <v>16</v>
      </c>
      <c r="AF68" s="80">
        <f t="shared" si="53"/>
        <v>0</v>
      </c>
      <c r="AG68" s="80">
        <f t="shared" si="53"/>
        <v>0</v>
      </c>
      <c r="AH68" s="80">
        <f t="shared" si="53"/>
        <v>0</v>
      </c>
      <c r="AI68" s="80">
        <f t="shared" si="53"/>
        <v>0</v>
      </c>
    </row>
    <row r="69" spans="3:35">
      <c r="C69" s="87" t="s">
        <v>199</v>
      </c>
      <c r="D69" s="123"/>
      <c r="E69" s="80"/>
      <c r="F69" s="80">
        <f t="shared" ref="F69:M69" si="54">F57*4</f>
        <v>0</v>
      </c>
      <c r="G69" s="80">
        <f t="shared" si="54"/>
        <v>0</v>
      </c>
      <c r="H69" s="80">
        <f t="shared" si="54"/>
        <v>0</v>
      </c>
      <c r="I69" s="80">
        <f t="shared" si="54"/>
        <v>0</v>
      </c>
      <c r="J69" s="80">
        <f t="shared" si="54"/>
        <v>0</v>
      </c>
      <c r="K69" s="80">
        <f t="shared" si="54"/>
        <v>0</v>
      </c>
      <c r="L69" s="80">
        <f t="shared" si="54"/>
        <v>0</v>
      </c>
      <c r="M69" s="80">
        <f t="shared" si="54"/>
        <v>12</v>
      </c>
      <c r="N69" s="80">
        <f>4*8</f>
        <v>32</v>
      </c>
      <c r="O69" s="80">
        <f>3*8</f>
        <v>24</v>
      </c>
      <c r="P69" s="80">
        <f>4*2+6*4</f>
        <v>32</v>
      </c>
      <c r="Q69" s="80">
        <v>0</v>
      </c>
      <c r="R69" s="80">
        <v>0</v>
      </c>
      <c r="S69" s="80">
        <v>0</v>
      </c>
      <c r="T69" s="80">
        <f>4*6</f>
        <v>24</v>
      </c>
      <c r="U69" s="80">
        <f>4*8</f>
        <v>32</v>
      </c>
      <c r="V69" s="80">
        <f>4*8</f>
        <v>32</v>
      </c>
      <c r="W69" s="80">
        <f>4*2</f>
        <v>8</v>
      </c>
      <c r="X69" s="80">
        <f>4*8</f>
        <v>32</v>
      </c>
      <c r="Y69" s="80">
        <f>8*2</f>
        <v>16</v>
      </c>
      <c r="Z69" s="80"/>
      <c r="AA69" s="80">
        <v>0</v>
      </c>
      <c r="AB69" s="99">
        <f>AB57*8</f>
        <v>4</v>
      </c>
      <c r="AC69" s="99">
        <f>AC57*8</f>
        <v>0</v>
      </c>
      <c r="AD69" s="99">
        <f t="shared" ref="AD69:AI69" si="55">AD57*8</f>
        <v>28</v>
      </c>
      <c r="AE69" s="99">
        <f t="shared" si="55"/>
        <v>0</v>
      </c>
      <c r="AF69" s="99">
        <f t="shared" si="55"/>
        <v>0</v>
      </c>
      <c r="AG69" s="99">
        <f t="shared" si="55"/>
        <v>0</v>
      </c>
      <c r="AH69" s="99">
        <f t="shared" si="55"/>
        <v>0</v>
      </c>
      <c r="AI69" s="99">
        <f t="shared" si="55"/>
        <v>0</v>
      </c>
    </row>
    <row r="70" spans="3:35">
      <c r="C70" s="87" t="s">
        <v>200</v>
      </c>
      <c r="D70" s="124"/>
      <c r="E70" s="80">
        <f>5*7.5</f>
        <v>37.5</v>
      </c>
      <c r="F70" s="80">
        <f t="shared" ref="F70:L70" si="56">F60*8</f>
        <v>32</v>
      </c>
      <c r="G70" s="80">
        <f t="shared" si="56"/>
        <v>32</v>
      </c>
      <c r="H70" s="80">
        <f t="shared" si="56"/>
        <v>32</v>
      </c>
      <c r="I70" s="80">
        <f t="shared" si="56"/>
        <v>32</v>
      </c>
      <c r="J70" s="80">
        <f t="shared" si="56"/>
        <v>0</v>
      </c>
      <c r="K70" s="80">
        <f t="shared" si="56"/>
        <v>32</v>
      </c>
      <c r="L70" s="80">
        <f t="shared" si="56"/>
        <v>32</v>
      </c>
      <c r="M70" s="80">
        <f>4*12</f>
        <v>48</v>
      </c>
      <c r="N70" s="80">
        <f>5*4</f>
        <v>20</v>
      </c>
      <c r="O70" s="80">
        <f>4*8</f>
        <v>32</v>
      </c>
      <c r="P70" s="80">
        <v>0</v>
      </c>
      <c r="Q70" s="80">
        <f>2*4</f>
        <v>8</v>
      </c>
      <c r="R70" s="80">
        <v>0</v>
      </c>
      <c r="S70" s="80">
        <v>0</v>
      </c>
      <c r="T70" s="80">
        <f>2*12</f>
        <v>24</v>
      </c>
      <c r="U70" s="80">
        <f>3*8</f>
        <v>24</v>
      </c>
      <c r="V70" s="80">
        <f>4*12</f>
        <v>48</v>
      </c>
      <c r="W70" s="80">
        <f>4*10</f>
        <v>40</v>
      </c>
      <c r="X70" s="80">
        <f>3*6</f>
        <v>18</v>
      </c>
      <c r="Y70" s="80">
        <f>3*8</f>
        <v>24</v>
      </c>
      <c r="Z70" s="80"/>
      <c r="AA70" s="80">
        <v>0</v>
      </c>
      <c r="AB70" s="80">
        <f>AB60*8</f>
        <v>32</v>
      </c>
      <c r="AC70" s="80">
        <f>AC60*8</f>
        <v>32</v>
      </c>
      <c r="AD70" s="80">
        <f t="shared" ref="AD70:AI70" si="57">AD60*8</f>
        <v>24</v>
      </c>
      <c r="AE70" s="80">
        <f t="shared" si="57"/>
        <v>16</v>
      </c>
      <c r="AF70" s="80">
        <f t="shared" si="57"/>
        <v>40</v>
      </c>
      <c r="AG70" s="80">
        <f t="shared" si="57"/>
        <v>0</v>
      </c>
      <c r="AH70" s="80">
        <f t="shared" si="57"/>
        <v>0</v>
      </c>
      <c r="AI70" s="80">
        <f t="shared" si="57"/>
        <v>0</v>
      </c>
    </row>
    <row r="71" spans="3:35" ht="13">
      <c r="C71" s="86" t="s">
        <v>195</v>
      </c>
      <c r="D71" s="73"/>
      <c r="E71" s="81">
        <f>SUM(E65:E70)</f>
        <v>75</v>
      </c>
      <c r="F71" s="81">
        <f t="shared" ref="F71:AI71" si="58">SUM(F65:F70)</f>
        <v>136</v>
      </c>
      <c r="G71" s="81">
        <f t="shared" si="58"/>
        <v>136</v>
      </c>
      <c r="H71" s="81">
        <f t="shared" si="58"/>
        <v>136</v>
      </c>
      <c r="I71" s="81">
        <f t="shared" si="58"/>
        <v>136</v>
      </c>
      <c r="J71" s="81">
        <f t="shared" si="58"/>
        <v>104</v>
      </c>
      <c r="K71" s="81">
        <f t="shared" si="58"/>
        <v>136</v>
      </c>
      <c r="L71" s="81">
        <f t="shared" si="58"/>
        <v>72</v>
      </c>
      <c r="M71" s="81">
        <f t="shared" si="58"/>
        <v>200</v>
      </c>
      <c r="N71" s="81">
        <f t="shared" si="58"/>
        <v>172</v>
      </c>
      <c r="O71" s="81">
        <f t="shared" si="58"/>
        <v>160</v>
      </c>
      <c r="P71" s="81">
        <f t="shared" si="58"/>
        <v>136</v>
      </c>
      <c r="Q71" s="81">
        <f t="shared" si="58"/>
        <v>112</v>
      </c>
      <c r="R71" s="81">
        <f t="shared" si="58"/>
        <v>80</v>
      </c>
      <c r="S71" s="81">
        <f t="shared" si="58"/>
        <v>32</v>
      </c>
      <c r="T71" s="81">
        <f t="shared" si="58"/>
        <v>152</v>
      </c>
      <c r="U71" s="81">
        <f t="shared" si="58"/>
        <v>152</v>
      </c>
      <c r="V71" s="81">
        <f t="shared" si="58"/>
        <v>144</v>
      </c>
      <c r="W71" s="81">
        <f t="shared" si="58"/>
        <v>140</v>
      </c>
      <c r="X71" s="81">
        <f t="shared" si="58"/>
        <v>154</v>
      </c>
      <c r="Y71" s="81">
        <f t="shared" si="58"/>
        <v>128</v>
      </c>
      <c r="Z71" s="81">
        <f t="shared" si="58"/>
        <v>0</v>
      </c>
      <c r="AA71" s="81">
        <f t="shared" si="58"/>
        <v>80</v>
      </c>
      <c r="AB71" s="81">
        <f t="shared" si="58"/>
        <v>128</v>
      </c>
      <c r="AC71" s="81">
        <f t="shared" si="58"/>
        <v>128</v>
      </c>
      <c r="AD71" s="81">
        <f t="shared" si="58"/>
        <v>120</v>
      </c>
      <c r="AE71" s="81">
        <f t="shared" si="58"/>
        <v>96</v>
      </c>
      <c r="AF71" s="81">
        <f t="shared" si="58"/>
        <v>96</v>
      </c>
      <c r="AG71" s="81">
        <f t="shared" si="58"/>
        <v>0</v>
      </c>
      <c r="AH71" s="81">
        <f t="shared" si="58"/>
        <v>0</v>
      </c>
      <c r="AI71" s="81">
        <f t="shared" si="58"/>
        <v>0</v>
      </c>
    </row>
    <row r="72" spans="3:35" ht="13">
      <c r="C72" s="88" t="s">
        <v>197</v>
      </c>
      <c r="D72" s="74"/>
      <c r="E72" s="100">
        <f t="shared" ref="E72:Y72" si="59">E64/E71</f>
        <v>0</v>
      </c>
      <c r="F72" s="100">
        <f t="shared" si="59"/>
        <v>0.23345588235294118</v>
      </c>
      <c r="G72" s="100">
        <f t="shared" si="59"/>
        <v>0.13970588235294118</v>
      </c>
      <c r="H72" s="100">
        <f t="shared" si="59"/>
        <v>0.11611519607843138</v>
      </c>
      <c r="I72" s="100">
        <f t="shared" si="59"/>
        <v>0.18014705882352941</v>
      </c>
      <c r="J72" s="100">
        <f t="shared" si="59"/>
        <v>0.42788461538461536</v>
      </c>
      <c r="K72" s="100">
        <f t="shared" si="59"/>
        <v>0.31066176470588236</v>
      </c>
      <c r="L72" s="100">
        <f t="shared" si="59"/>
        <v>0.3125</v>
      </c>
      <c r="M72" s="100">
        <f t="shared" si="59"/>
        <v>0.28249999999999997</v>
      </c>
      <c r="N72" s="100">
        <f t="shared" si="59"/>
        <v>0.23110465116279069</v>
      </c>
      <c r="O72" s="100">
        <f t="shared" si="59"/>
        <v>0.1125</v>
      </c>
      <c r="P72" s="100">
        <f t="shared" si="59"/>
        <v>0.15088235294117647</v>
      </c>
      <c r="Q72" s="100">
        <f t="shared" si="59"/>
        <v>0.21875</v>
      </c>
      <c r="R72" s="100">
        <f t="shared" si="59"/>
        <v>0.35</v>
      </c>
      <c r="S72" s="100">
        <f t="shared" si="59"/>
        <v>0.875</v>
      </c>
      <c r="T72" s="100">
        <f t="shared" si="59"/>
        <v>0.375</v>
      </c>
      <c r="U72" s="100">
        <f t="shared" si="59"/>
        <v>0.19736842105263158</v>
      </c>
      <c r="V72" s="100">
        <f t="shared" si="59"/>
        <v>0.22222222222222221</v>
      </c>
      <c r="W72" s="100">
        <f t="shared" si="59"/>
        <v>0.25714285714285712</v>
      </c>
      <c r="X72" s="100">
        <f t="shared" si="59"/>
        <v>0.31168831168831168</v>
      </c>
      <c r="Y72" s="100">
        <f t="shared" si="59"/>
        <v>0.34895833333333337</v>
      </c>
      <c r="Z72" s="100">
        <v>0</v>
      </c>
      <c r="AA72" s="100">
        <f>AA64/AA71</f>
        <v>0.20833333333333331</v>
      </c>
      <c r="AB72" s="100">
        <f t="shared" ref="AB72:AI72" si="60">AB64/AB71</f>
        <v>0.29010416666666666</v>
      </c>
      <c r="AC72" s="100">
        <f>AC64/AC71</f>
        <v>0.22617187499999999</v>
      </c>
      <c r="AD72" s="100">
        <f t="shared" si="60"/>
        <v>0.35055555555555556</v>
      </c>
      <c r="AE72" s="100">
        <f t="shared" si="60"/>
        <v>8.3333333333333329E-2</v>
      </c>
      <c r="AF72" s="100">
        <f t="shared" si="60"/>
        <v>0.2260416666666667</v>
      </c>
      <c r="AG72" s="100" t="e">
        <f t="shared" si="60"/>
        <v>#DIV/0!</v>
      </c>
      <c r="AH72" s="100" t="e">
        <f t="shared" si="60"/>
        <v>#DIV/0!</v>
      </c>
      <c r="AI72" s="100" t="e">
        <f t="shared" si="60"/>
        <v>#DIV/0!</v>
      </c>
    </row>
  </sheetData>
  <mergeCells count="25">
    <mergeCell ref="D41:D52"/>
    <mergeCell ref="D53:D61"/>
    <mergeCell ref="D65:D67"/>
    <mergeCell ref="D68:D70"/>
    <mergeCell ref="A28:A37"/>
    <mergeCell ref="B28:B29"/>
    <mergeCell ref="B30:B31"/>
    <mergeCell ref="B32:B33"/>
    <mergeCell ref="B34:C34"/>
    <mergeCell ref="B35:C35"/>
    <mergeCell ref="B36:C36"/>
    <mergeCell ref="A18:A27"/>
    <mergeCell ref="B18:B19"/>
    <mergeCell ref="B20:B21"/>
    <mergeCell ref="B22:B23"/>
    <mergeCell ref="B24:C24"/>
    <mergeCell ref="B25:C25"/>
    <mergeCell ref="B26:C26"/>
    <mergeCell ref="A8:A17"/>
    <mergeCell ref="B8:B9"/>
    <mergeCell ref="B10:B11"/>
    <mergeCell ref="B12:B13"/>
    <mergeCell ref="B14:C14"/>
    <mergeCell ref="B15:C15"/>
    <mergeCell ref="B16:C16"/>
  </mergeCells>
  <hyperlinks>
    <hyperlink ref="A1" location="Summary!A1" display="Index" xr:uid="{94FF0D68-C595-46F4-B2CF-D75F2684AB15}"/>
  </hyperlinks>
  <pageMargins left="0.7" right="0.7" top="0.75" bottom="0.75" header="0.3" footer="0.3"/>
  <pageSetup paperSize="9" orientation="portrait" r:id="rId1"/>
  <headerFooter>
    <oddFooter>&amp;L_x000D_&amp;1#&amp;"Calibri Light"&amp;8&amp;K000000 Classified as Public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BCC4-07DA-4F35-98D2-5BC7A74FC187}">
  <dimension ref="A1:AI72"/>
  <sheetViews>
    <sheetView zoomScale="60" zoomScaleNormal="60" workbookViewId="0">
      <pane xSplit="4" topLeftCell="P1" activePane="topRight" state="frozen"/>
      <selection pane="topRight" activeCell="T17" sqref="T17"/>
    </sheetView>
  </sheetViews>
  <sheetFormatPr defaultRowHeight="12.5"/>
  <cols>
    <col min="1" max="1" width="31.7265625" style="2" bestFit="1" customWidth="1"/>
    <col min="2" max="2" width="18.90625" style="2" customWidth="1"/>
    <col min="3" max="3" width="29.08984375" style="2" customWidth="1"/>
    <col min="4" max="4" width="12.6328125" style="18" bestFit="1" customWidth="1"/>
    <col min="5" max="20" width="12.81640625" style="2" customWidth="1"/>
    <col min="21" max="22" width="16.453125" style="2" bestFit="1" customWidth="1"/>
    <col min="23" max="23" width="12.81640625" style="2" customWidth="1"/>
    <col min="24" max="25" width="15" style="2" customWidth="1"/>
    <col min="26" max="31" width="12.81640625" style="2" customWidth="1"/>
    <col min="32" max="32" width="18.453125" style="2" bestFit="1" customWidth="1"/>
    <col min="33" max="35" width="12.81640625" style="2" customWidth="1"/>
    <col min="36" max="16384" width="8.7265625" style="2"/>
  </cols>
  <sheetData>
    <row r="1" spans="1:35">
      <c r="A1" s="1" t="s">
        <v>0</v>
      </c>
      <c r="M1" s="96">
        <f>M72</f>
        <v>0.17303921568627451</v>
      </c>
      <c r="N1" s="96">
        <f>N72</f>
        <v>0.27641317016317013</v>
      </c>
      <c r="O1" s="96">
        <f t="shared" ref="O1:AI1" si="0">O72</f>
        <v>0.45729166666666671</v>
      </c>
      <c r="P1" s="96">
        <f t="shared" si="0"/>
        <v>0.3760673234811166</v>
      </c>
      <c r="Q1" s="96">
        <f t="shared" si="0"/>
        <v>0.28795289855072465</v>
      </c>
      <c r="R1" s="96">
        <f t="shared" si="0"/>
        <v>0.34924242424242424</v>
      </c>
      <c r="S1" s="96" t="e">
        <f t="shared" si="0"/>
        <v>#DIV/0!</v>
      </c>
      <c r="T1" s="96">
        <f t="shared" si="0"/>
        <v>0.11915650406504066</v>
      </c>
      <c r="U1" s="96" t="e">
        <f t="shared" si="0"/>
        <v>#DIV/0!</v>
      </c>
      <c r="V1" s="96" t="e">
        <f t="shared" si="0"/>
        <v>#DIV/0!</v>
      </c>
      <c r="W1" s="96" t="e">
        <f t="shared" si="0"/>
        <v>#DIV/0!</v>
      </c>
      <c r="X1" s="96" t="e">
        <f t="shared" si="0"/>
        <v>#DIV/0!</v>
      </c>
      <c r="Y1" s="96" t="e">
        <f t="shared" si="0"/>
        <v>#DIV/0!</v>
      </c>
      <c r="Z1" s="96">
        <f t="shared" si="0"/>
        <v>0</v>
      </c>
      <c r="AA1" s="96">
        <f t="shared" si="0"/>
        <v>0</v>
      </c>
      <c r="AB1" s="96">
        <f t="shared" si="0"/>
        <v>0</v>
      </c>
      <c r="AC1" s="96">
        <f t="shared" si="0"/>
        <v>0</v>
      </c>
      <c r="AD1" s="96">
        <f t="shared" si="0"/>
        <v>0</v>
      </c>
      <c r="AE1" s="96">
        <f t="shared" si="0"/>
        <v>0</v>
      </c>
      <c r="AF1" s="96">
        <f t="shared" si="0"/>
        <v>0</v>
      </c>
      <c r="AG1" s="96" t="e">
        <f t="shared" si="0"/>
        <v>#DIV/0!</v>
      </c>
      <c r="AH1" s="96" t="e">
        <f t="shared" si="0"/>
        <v>#DIV/0!</v>
      </c>
      <c r="AI1" s="96" t="e">
        <f t="shared" si="0"/>
        <v>#DIV/0!</v>
      </c>
    </row>
    <row r="2" spans="1:35" ht="27" customHeight="1">
      <c r="A2" s="29" t="s">
        <v>21</v>
      </c>
      <c r="B2" s="29" t="s">
        <v>22</v>
      </c>
      <c r="C2" s="5"/>
      <c r="D2" s="24" t="s">
        <v>18</v>
      </c>
      <c r="E2" s="9">
        <v>46082</v>
      </c>
      <c r="F2" s="8">
        <f>E2+1</f>
        <v>46083</v>
      </c>
      <c r="G2" s="8">
        <f>F2+1</f>
        <v>46084</v>
      </c>
      <c r="H2" s="8">
        <f>G2+1</f>
        <v>46085</v>
      </c>
      <c r="I2" s="8">
        <f>H2+1</f>
        <v>46086</v>
      </c>
      <c r="J2" s="8">
        <f>I2+1</f>
        <v>46087</v>
      </c>
      <c r="K2" s="8">
        <f t="shared" ref="K2:M2" si="1">J2+1</f>
        <v>46088</v>
      </c>
      <c r="L2" s="9">
        <f t="shared" si="1"/>
        <v>46089</v>
      </c>
      <c r="M2" s="8">
        <f t="shared" si="1"/>
        <v>46090</v>
      </c>
      <c r="N2" s="8">
        <f>M2+1</f>
        <v>46091</v>
      </c>
      <c r="O2" s="8">
        <f>N2+1</f>
        <v>46092</v>
      </c>
      <c r="P2" s="8">
        <f t="shared" ref="P2:T2" si="2">O2+1</f>
        <v>46093</v>
      </c>
      <c r="Q2" s="8">
        <f t="shared" si="2"/>
        <v>46094</v>
      </c>
      <c r="R2" s="8">
        <f t="shared" si="2"/>
        <v>46095</v>
      </c>
      <c r="S2" s="9">
        <f t="shared" si="2"/>
        <v>46096</v>
      </c>
      <c r="T2" s="8">
        <f t="shared" si="2"/>
        <v>46097</v>
      </c>
      <c r="U2" s="8">
        <f>T2+1</f>
        <v>46098</v>
      </c>
      <c r="V2" s="8">
        <f>U2+1</f>
        <v>46099</v>
      </c>
      <c r="W2" s="8">
        <f t="shared" ref="W2:AA2" si="3">V2+1</f>
        <v>46100</v>
      </c>
      <c r="X2" s="8">
        <f t="shared" si="3"/>
        <v>46101</v>
      </c>
      <c r="Y2" s="8">
        <f t="shared" si="3"/>
        <v>46102</v>
      </c>
      <c r="Z2" s="9">
        <f t="shared" si="3"/>
        <v>46103</v>
      </c>
      <c r="AA2" s="8">
        <f t="shared" si="3"/>
        <v>46104</v>
      </c>
      <c r="AB2" s="8">
        <f>AA2+1</f>
        <v>46105</v>
      </c>
      <c r="AC2" s="8">
        <f>AB2+1</f>
        <v>46106</v>
      </c>
      <c r="AD2" s="8">
        <f t="shared" ref="AD2:AH2" si="4">AC2+1</f>
        <v>46107</v>
      </c>
      <c r="AE2" s="8">
        <f t="shared" si="4"/>
        <v>46108</v>
      </c>
      <c r="AF2" s="8">
        <f t="shared" si="4"/>
        <v>46109</v>
      </c>
      <c r="AG2" s="8">
        <f t="shared" si="4"/>
        <v>46110</v>
      </c>
      <c r="AH2" s="8">
        <f t="shared" si="4"/>
        <v>46111</v>
      </c>
      <c r="AI2" s="8">
        <f>AH2+1</f>
        <v>46112</v>
      </c>
    </row>
    <row r="3" spans="1:35" ht="20">
      <c r="A3" s="27">
        <f ca="1">TODAY()-1</f>
        <v>46156</v>
      </c>
      <c r="B3" s="28" t="e">
        <f ca="1">HLOOKUP(A3,E2:AI3,2,0)</f>
        <v>#N/A</v>
      </c>
      <c r="C3" s="5"/>
      <c r="D3" s="19" t="str">
        <f>CONCATENATE(D5,"/",D4)</f>
        <v>5888/8983</v>
      </c>
      <c r="E3" s="34" t="str">
        <f>CONCATENATE(E5,"/",E4)</f>
        <v>230/456</v>
      </c>
      <c r="F3" s="19" t="str">
        <f t="shared" ref="F3:AI3" si="5">CONCATENATE(F5,"/",F4)</f>
        <v>451/718</v>
      </c>
      <c r="G3" s="19" t="str">
        <f t="shared" si="5"/>
        <v>174/305</v>
      </c>
      <c r="H3" s="19" t="str">
        <f t="shared" si="5"/>
        <v>0/0</v>
      </c>
      <c r="I3" s="19" t="str">
        <f t="shared" si="5"/>
        <v>346/404</v>
      </c>
      <c r="J3" s="19" t="str">
        <f t="shared" si="5"/>
        <v>497/672</v>
      </c>
      <c r="K3" s="19" t="str">
        <f t="shared" si="5"/>
        <v>379/532</v>
      </c>
      <c r="L3" s="34" t="str">
        <f t="shared" si="5"/>
        <v>212/354</v>
      </c>
      <c r="M3" s="19" t="str">
        <f t="shared" si="5"/>
        <v>494/632</v>
      </c>
      <c r="N3" s="19" t="str">
        <f t="shared" si="5"/>
        <v>417/604</v>
      </c>
      <c r="O3" s="19" t="str">
        <f t="shared" si="5"/>
        <v>611/1052</v>
      </c>
      <c r="P3" s="19" t="str">
        <f t="shared" si="5"/>
        <v>617/976</v>
      </c>
      <c r="Q3" s="19" t="str">
        <f t="shared" si="5"/>
        <v>614/967</v>
      </c>
      <c r="R3" s="19" t="str">
        <f t="shared" si="5"/>
        <v>656/1007</v>
      </c>
      <c r="S3" s="34" t="str">
        <f t="shared" si="5"/>
        <v>0/0</v>
      </c>
      <c r="T3" s="19" t="str">
        <f t="shared" si="5"/>
        <v>190/304</v>
      </c>
      <c r="U3" s="19" t="str">
        <f t="shared" si="5"/>
        <v>0/0</v>
      </c>
      <c r="V3" s="19" t="str">
        <f t="shared" si="5"/>
        <v>0/0</v>
      </c>
      <c r="W3" s="19" t="str">
        <f t="shared" si="5"/>
        <v>0/0</v>
      </c>
      <c r="X3" s="19" t="str">
        <f t="shared" si="5"/>
        <v>0/0</v>
      </c>
      <c r="Y3" s="19" t="str">
        <f t="shared" si="5"/>
        <v>0/0</v>
      </c>
      <c r="Z3" s="34" t="str">
        <f t="shared" si="5"/>
        <v>0/0</v>
      </c>
      <c r="AA3" s="19" t="str">
        <f t="shared" si="5"/>
        <v>0/0</v>
      </c>
      <c r="AB3" s="19" t="str">
        <f t="shared" si="5"/>
        <v>0/0</v>
      </c>
      <c r="AC3" s="19" t="str">
        <f t="shared" si="5"/>
        <v>0/0</v>
      </c>
      <c r="AD3" s="19" t="str">
        <f t="shared" si="5"/>
        <v>0/0</v>
      </c>
      <c r="AE3" s="19" t="str">
        <f t="shared" si="5"/>
        <v>0/0</v>
      </c>
      <c r="AF3" s="19" t="str">
        <f t="shared" si="5"/>
        <v>0/0</v>
      </c>
      <c r="AG3" s="19" t="str">
        <f t="shared" si="5"/>
        <v>0/0</v>
      </c>
      <c r="AH3" s="19" t="str">
        <f t="shared" si="5"/>
        <v>0/0</v>
      </c>
      <c r="AI3" s="19" t="str">
        <f t="shared" si="5"/>
        <v>0/0</v>
      </c>
    </row>
    <row r="4" spans="1:35" ht="20">
      <c r="A4" s="28" t="s">
        <v>28</v>
      </c>
      <c r="B4" s="28" t="str">
        <f>D3</f>
        <v>5888/8983</v>
      </c>
      <c r="C4" s="23" t="s">
        <v>1</v>
      </c>
      <c r="D4" s="19">
        <f t="shared" ref="D4:AI4" si="6">D12+D22+D32</f>
        <v>8983</v>
      </c>
      <c r="E4" s="34">
        <f t="shared" si="6"/>
        <v>456</v>
      </c>
      <c r="F4" s="19">
        <f t="shared" si="6"/>
        <v>718</v>
      </c>
      <c r="G4" s="19">
        <f t="shared" si="6"/>
        <v>305</v>
      </c>
      <c r="H4" s="19">
        <f t="shared" si="6"/>
        <v>0</v>
      </c>
      <c r="I4" s="19">
        <f t="shared" si="6"/>
        <v>404</v>
      </c>
      <c r="J4" s="19">
        <f t="shared" si="6"/>
        <v>672</v>
      </c>
      <c r="K4" s="19">
        <f t="shared" si="6"/>
        <v>532</v>
      </c>
      <c r="L4" s="34">
        <f t="shared" si="6"/>
        <v>354</v>
      </c>
      <c r="M4" s="19">
        <f t="shared" si="6"/>
        <v>632</v>
      </c>
      <c r="N4" s="19">
        <f t="shared" si="6"/>
        <v>604</v>
      </c>
      <c r="O4" s="19">
        <f t="shared" si="6"/>
        <v>1052</v>
      </c>
      <c r="P4" s="19">
        <f t="shared" si="6"/>
        <v>976</v>
      </c>
      <c r="Q4" s="19">
        <f t="shared" si="6"/>
        <v>967</v>
      </c>
      <c r="R4" s="19">
        <f t="shared" si="6"/>
        <v>1007</v>
      </c>
      <c r="S4" s="34">
        <f t="shared" si="6"/>
        <v>0</v>
      </c>
      <c r="T4" s="19">
        <f t="shared" si="6"/>
        <v>304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si="6"/>
        <v>0</v>
      </c>
      <c r="Z4" s="34">
        <f t="shared" si="6"/>
        <v>0</v>
      </c>
      <c r="AA4" s="19">
        <f t="shared" si="6"/>
        <v>0</v>
      </c>
      <c r="AB4" s="19">
        <f t="shared" si="6"/>
        <v>0</v>
      </c>
      <c r="AC4" s="19">
        <f t="shared" si="6"/>
        <v>0</v>
      </c>
      <c r="AD4" s="19">
        <f t="shared" si="6"/>
        <v>0</v>
      </c>
      <c r="AE4" s="19">
        <f t="shared" si="6"/>
        <v>0</v>
      </c>
      <c r="AF4" s="19">
        <f t="shared" si="6"/>
        <v>0</v>
      </c>
      <c r="AG4" s="19">
        <f t="shared" si="6"/>
        <v>0</v>
      </c>
      <c r="AH4" s="19">
        <f t="shared" si="6"/>
        <v>0</v>
      </c>
      <c r="AI4" s="19">
        <f t="shared" si="6"/>
        <v>0</v>
      </c>
    </row>
    <row r="5" spans="1:35" ht="20">
      <c r="A5" s="28" t="s">
        <v>19</v>
      </c>
      <c r="B5" s="43">
        <f>D5/D4</f>
        <v>0.65546031392630522</v>
      </c>
      <c r="C5" s="23" t="s">
        <v>2</v>
      </c>
      <c r="D5" s="19">
        <f t="shared" ref="D5:AI5" si="7">D13+D23+D33</f>
        <v>5888</v>
      </c>
      <c r="E5" s="34">
        <f t="shared" si="7"/>
        <v>230</v>
      </c>
      <c r="F5" s="19">
        <f t="shared" si="7"/>
        <v>451</v>
      </c>
      <c r="G5" s="19">
        <f t="shared" si="7"/>
        <v>174</v>
      </c>
      <c r="H5" s="19">
        <f t="shared" si="7"/>
        <v>0</v>
      </c>
      <c r="I5" s="19">
        <f t="shared" si="7"/>
        <v>346</v>
      </c>
      <c r="J5" s="19">
        <f t="shared" si="7"/>
        <v>497</v>
      </c>
      <c r="K5" s="19">
        <f t="shared" si="7"/>
        <v>379</v>
      </c>
      <c r="L5" s="34">
        <f t="shared" si="7"/>
        <v>212</v>
      </c>
      <c r="M5" s="19">
        <f t="shared" si="7"/>
        <v>494</v>
      </c>
      <c r="N5" s="19">
        <f t="shared" si="7"/>
        <v>417</v>
      </c>
      <c r="O5" s="19">
        <f t="shared" si="7"/>
        <v>611</v>
      </c>
      <c r="P5" s="19">
        <f t="shared" si="7"/>
        <v>617</v>
      </c>
      <c r="Q5" s="19">
        <f t="shared" si="7"/>
        <v>614</v>
      </c>
      <c r="R5" s="19">
        <f t="shared" si="7"/>
        <v>656</v>
      </c>
      <c r="S5" s="34">
        <f t="shared" si="7"/>
        <v>0</v>
      </c>
      <c r="T5" s="19">
        <f t="shared" si="7"/>
        <v>190</v>
      </c>
      <c r="U5" s="19">
        <f t="shared" si="7"/>
        <v>0</v>
      </c>
      <c r="V5" s="19">
        <f t="shared" si="7"/>
        <v>0</v>
      </c>
      <c r="W5" s="19">
        <f t="shared" si="7"/>
        <v>0</v>
      </c>
      <c r="X5" s="19">
        <f t="shared" si="7"/>
        <v>0</v>
      </c>
      <c r="Y5" s="19">
        <f t="shared" si="7"/>
        <v>0</v>
      </c>
      <c r="Z5" s="34">
        <f t="shared" si="7"/>
        <v>0</v>
      </c>
      <c r="AA5" s="19">
        <f t="shared" si="7"/>
        <v>0</v>
      </c>
      <c r="AB5" s="19">
        <f t="shared" si="7"/>
        <v>0</v>
      </c>
      <c r="AC5" s="19">
        <f t="shared" si="7"/>
        <v>0</v>
      </c>
      <c r="AD5" s="19">
        <f t="shared" si="7"/>
        <v>0</v>
      </c>
      <c r="AE5" s="19">
        <f t="shared" si="7"/>
        <v>0</v>
      </c>
      <c r="AF5" s="19">
        <f t="shared" si="7"/>
        <v>0</v>
      </c>
      <c r="AG5" s="19">
        <f t="shared" si="7"/>
        <v>0</v>
      </c>
      <c r="AH5" s="19">
        <f t="shared" si="7"/>
        <v>0</v>
      </c>
      <c r="AI5" s="19">
        <f t="shared" si="7"/>
        <v>0</v>
      </c>
    </row>
    <row r="6" spans="1:35" s="17" customFormat="1" ht="13">
      <c r="C6" s="6" t="s">
        <v>3</v>
      </c>
      <c r="D6" s="6"/>
      <c r="E6" s="34" t="str">
        <f t="shared" ref="E6:AI6" si="8">TEXT(E7,"ddd")</f>
        <v>Sun</v>
      </c>
      <c r="F6" s="6" t="str">
        <f>TEXT(F7,"ddd")</f>
        <v>Mon</v>
      </c>
      <c r="G6" s="6" t="str">
        <f t="shared" si="8"/>
        <v>Tue</v>
      </c>
      <c r="H6" s="6" t="str">
        <f t="shared" si="8"/>
        <v>Wed</v>
      </c>
      <c r="I6" s="6" t="str">
        <f t="shared" si="8"/>
        <v>Thu</v>
      </c>
      <c r="J6" s="6" t="str">
        <f t="shared" si="8"/>
        <v>Fri</v>
      </c>
      <c r="K6" s="6" t="str">
        <f t="shared" si="8"/>
        <v>Sat</v>
      </c>
      <c r="L6" s="34" t="str">
        <f t="shared" si="8"/>
        <v>Sun</v>
      </c>
      <c r="M6" s="6" t="str">
        <f t="shared" si="8"/>
        <v>Mon</v>
      </c>
      <c r="N6" s="6" t="str">
        <f t="shared" si="8"/>
        <v>Tue</v>
      </c>
      <c r="O6" s="6" t="str">
        <f t="shared" si="8"/>
        <v>Wed</v>
      </c>
      <c r="P6" s="6" t="str">
        <f t="shared" si="8"/>
        <v>Thu</v>
      </c>
      <c r="Q6" s="6" t="str">
        <f t="shared" si="8"/>
        <v>Fri</v>
      </c>
      <c r="R6" s="6" t="str">
        <f t="shared" si="8"/>
        <v>Sat</v>
      </c>
      <c r="S6" s="34" t="str">
        <f t="shared" si="8"/>
        <v>Sun</v>
      </c>
      <c r="T6" s="6" t="str">
        <f t="shared" si="8"/>
        <v>Mon</v>
      </c>
      <c r="U6" s="6" t="str">
        <f t="shared" si="8"/>
        <v>Tue</v>
      </c>
      <c r="V6" s="6" t="str">
        <f t="shared" si="8"/>
        <v>Wed</v>
      </c>
      <c r="W6" s="6" t="str">
        <f t="shared" si="8"/>
        <v>Thu</v>
      </c>
      <c r="X6" s="6" t="str">
        <f t="shared" si="8"/>
        <v>Fri</v>
      </c>
      <c r="Y6" s="6" t="str">
        <f t="shared" si="8"/>
        <v>Sat</v>
      </c>
      <c r="Z6" s="34" t="str">
        <f t="shared" si="8"/>
        <v>Sun</v>
      </c>
      <c r="AA6" s="6" t="str">
        <f t="shared" si="8"/>
        <v>Mon</v>
      </c>
      <c r="AB6" s="6" t="str">
        <f t="shared" si="8"/>
        <v>Tue</v>
      </c>
      <c r="AC6" s="6" t="str">
        <f t="shared" si="8"/>
        <v>Wed</v>
      </c>
      <c r="AD6" s="6" t="str">
        <f t="shared" si="8"/>
        <v>Thu</v>
      </c>
      <c r="AE6" s="6" t="str">
        <f t="shared" si="8"/>
        <v>Fri</v>
      </c>
      <c r="AF6" s="6" t="str">
        <f t="shared" si="8"/>
        <v>Sat</v>
      </c>
      <c r="AG6" s="6" t="str">
        <f t="shared" si="8"/>
        <v>Sun</v>
      </c>
      <c r="AH6" s="6" t="str">
        <f t="shared" si="8"/>
        <v>Mon</v>
      </c>
      <c r="AI6" s="6" t="str">
        <f t="shared" si="8"/>
        <v>Tue</v>
      </c>
    </row>
    <row r="7" spans="1:35" s="17" customFormat="1" ht="13">
      <c r="A7" s="6" t="s">
        <v>4</v>
      </c>
      <c r="B7" s="6" t="s">
        <v>5</v>
      </c>
      <c r="C7" s="6" t="s">
        <v>6</v>
      </c>
      <c r="D7" s="6"/>
      <c r="E7" s="9">
        <v>46054</v>
      </c>
      <c r="F7" s="8">
        <f>E7+1</f>
        <v>46055</v>
      </c>
      <c r="G7" s="8">
        <f>F7+1</f>
        <v>46056</v>
      </c>
      <c r="H7" s="8">
        <f>G7+1</f>
        <v>46057</v>
      </c>
      <c r="I7" s="8">
        <f t="shared" ref="I7:M7" si="9">H7+1</f>
        <v>46058</v>
      </c>
      <c r="J7" s="8">
        <f t="shared" si="9"/>
        <v>46059</v>
      </c>
      <c r="K7" s="8">
        <f t="shared" si="9"/>
        <v>46060</v>
      </c>
      <c r="L7" s="9">
        <f t="shared" si="9"/>
        <v>46061</v>
      </c>
      <c r="M7" s="8">
        <f t="shared" si="9"/>
        <v>46062</v>
      </c>
      <c r="N7" s="8">
        <f>M7+1</f>
        <v>46063</v>
      </c>
      <c r="O7" s="8">
        <f>N7+1</f>
        <v>46064</v>
      </c>
      <c r="P7" s="8">
        <f t="shared" ref="P7:T7" si="10">O7+1</f>
        <v>46065</v>
      </c>
      <c r="Q7" s="8">
        <f t="shared" si="10"/>
        <v>46066</v>
      </c>
      <c r="R7" s="8">
        <f t="shared" si="10"/>
        <v>46067</v>
      </c>
      <c r="S7" s="9">
        <f t="shared" si="10"/>
        <v>46068</v>
      </c>
      <c r="T7" s="8">
        <f t="shared" si="10"/>
        <v>46069</v>
      </c>
      <c r="U7" s="8">
        <f>T7+1</f>
        <v>46070</v>
      </c>
      <c r="V7" s="8">
        <f>U7+1</f>
        <v>46071</v>
      </c>
      <c r="W7" s="8">
        <f t="shared" ref="W7:AA7" si="11">V7+1</f>
        <v>46072</v>
      </c>
      <c r="X7" s="8">
        <f t="shared" si="11"/>
        <v>46073</v>
      </c>
      <c r="Y7" s="8">
        <f t="shared" si="11"/>
        <v>46074</v>
      </c>
      <c r="Z7" s="9">
        <f t="shared" si="11"/>
        <v>46075</v>
      </c>
      <c r="AA7" s="8">
        <f t="shared" si="11"/>
        <v>46076</v>
      </c>
      <c r="AB7" s="8">
        <f>AA7+1</f>
        <v>46077</v>
      </c>
      <c r="AC7" s="8">
        <f>AB7+1</f>
        <v>46078</v>
      </c>
      <c r="AD7" s="8">
        <f t="shared" ref="AD7:AH7" si="12">AC7+1</f>
        <v>46079</v>
      </c>
      <c r="AE7" s="8">
        <f t="shared" si="12"/>
        <v>46080</v>
      </c>
      <c r="AF7" s="8">
        <f t="shared" si="12"/>
        <v>46081</v>
      </c>
      <c r="AG7" s="8">
        <f t="shared" si="12"/>
        <v>46082</v>
      </c>
      <c r="AH7" s="8">
        <f t="shared" si="12"/>
        <v>46083</v>
      </c>
      <c r="AI7" s="8">
        <f>AH7+1</f>
        <v>46084</v>
      </c>
    </row>
    <row r="8" spans="1:35" ht="13">
      <c r="A8" s="111" t="s">
        <v>7</v>
      </c>
      <c r="B8" s="112" t="s">
        <v>8</v>
      </c>
      <c r="C8" s="4" t="s">
        <v>9</v>
      </c>
      <c r="D8" s="22">
        <f t="shared" ref="D8:D11" si="13">SUM(E8:AI8)</f>
        <v>1643</v>
      </c>
      <c r="E8" s="11">
        <f>19*4</f>
        <v>76</v>
      </c>
      <c r="F8" s="10">
        <v>152</v>
      </c>
      <c r="G8" s="10">
        <f>57</f>
        <v>57</v>
      </c>
      <c r="H8" s="10"/>
      <c r="I8" s="10">
        <v>152</v>
      </c>
      <c r="J8" s="10">
        <v>152</v>
      </c>
      <c r="K8" s="10">
        <v>152</v>
      </c>
      <c r="L8" s="11"/>
      <c r="M8" s="10">
        <f>66</f>
        <v>66</v>
      </c>
      <c r="N8" s="10">
        <f>19*4</f>
        <v>76</v>
      </c>
      <c r="O8" s="10">
        <v>152</v>
      </c>
      <c r="P8" s="10">
        <v>152</v>
      </c>
      <c r="Q8" s="10">
        <v>152</v>
      </c>
      <c r="R8" s="10">
        <v>152</v>
      </c>
      <c r="S8" s="11"/>
      <c r="T8" s="10">
        <v>152</v>
      </c>
      <c r="U8" s="10"/>
      <c r="V8" s="10"/>
      <c r="W8" s="10"/>
      <c r="X8" s="10"/>
      <c r="Y8" s="10"/>
      <c r="Z8" s="11"/>
      <c r="AA8" s="13"/>
      <c r="AB8" s="13"/>
      <c r="AC8" s="13"/>
      <c r="AD8" s="13"/>
      <c r="AE8" s="13"/>
      <c r="AF8" s="13"/>
      <c r="AG8" s="13"/>
      <c r="AH8" s="13"/>
      <c r="AI8" s="13"/>
    </row>
    <row r="9" spans="1:35" ht="13">
      <c r="A9" s="111"/>
      <c r="B9" s="112"/>
      <c r="C9" s="4" t="s">
        <v>10</v>
      </c>
      <c r="D9" s="22">
        <f t="shared" si="13"/>
        <v>985</v>
      </c>
      <c r="E9" s="11">
        <v>24</v>
      </c>
      <c r="F9" s="10">
        <v>51</v>
      </c>
      <c r="G9" s="10">
        <v>32</v>
      </c>
      <c r="H9" s="10"/>
      <c r="I9" s="10">
        <v>102</v>
      </c>
      <c r="J9" s="10">
        <v>81</v>
      </c>
      <c r="K9" s="10">
        <v>100</v>
      </c>
      <c r="L9" s="11"/>
      <c r="M9" s="10">
        <v>48</v>
      </c>
      <c r="N9" s="95">
        <v>60</v>
      </c>
      <c r="O9" s="10">
        <v>84</v>
      </c>
      <c r="P9" s="10">
        <v>105</v>
      </c>
      <c r="Q9" s="10">
        <v>104</v>
      </c>
      <c r="R9" s="10">
        <v>106</v>
      </c>
      <c r="S9" s="11"/>
      <c r="T9" s="13">
        <v>88</v>
      </c>
      <c r="U9" s="13"/>
      <c r="V9" s="13"/>
      <c r="W9" s="10"/>
      <c r="X9" s="13"/>
      <c r="Y9" s="13"/>
      <c r="Z9" s="11"/>
      <c r="AA9" s="13"/>
      <c r="AB9" s="13"/>
      <c r="AC9" s="13"/>
      <c r="AD9" s="13"/>
      <c r="AE9" s="13"/>
      <c r="AF9" s="13"/>
      <c r="AG9" s="13"/>
      <c r="AH9" s="13"/>
      <c r="AI9" s="10"/>
    </row>
    <row r="10" spans="1:35">
      <c r="A10" s="111"/>
      <c r="B10" s="113" t="s">
        <v>11</v>
      </c>
      <c r="C10" s="5" t="s">
        <v>9</v>
      </c>
      <c r="D10" s="19">
        <f t="shared" si="13"/>
        <v>456</v>
      </c>
      <c r="E10" s="11"/>
      <c r="F10" s="12"/>
      <c r="G10" s="12"/>
      <c r="H10" s="12"/>
      <c r="I10" s="12"/>
      <c r="J10" s="12">
        <v>76</v>
      </c>
      <c r="K10" s="12"/>
      <c r="L10" s="11"/>
      <c r="M10" s="12">
        <v>38</v>
      </c>
      <c r="N10" s="12"/>
      <c r="O10" s="12">
        <v>76</v>
      </c>
      <c r="P10" s="12"/>
      <c r="Q10" s="12">
        <v>19</v>
      </c>
      <c r="R10" s="12">
        <f>19*5</f>
        <v>95</v>
      </c>
      <c r="S10" s="11"/>
      <c r="T10" s="12">
        <v>152</v>
      </c>
      <c r="U10" s="12"/>
      <c r="V10" s="12"/>
      <c r="W10" s="12"/>
      <c r="X10" s="12"/>
      <c r="Y10" s="12"/>
      <c r="Z10" s="11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5">
      <c r="A11" s="111"/>
      <c r="B11" s="113"/>
      <c r="C11" s="5" t="s">
        <v>10</v>
      </c>
      <c r="D11" s="19">
        <f t="shared" si="13"/>
        <v>288</v>
      </c>
      <c r="E11" s="11"/>
      <c r="F11" s="12"/>
      <c r="G11" s="12"/>
      <c r="H11" s="12"/>
      <c r="I11" s="12"/>
      <c r="J11" s="12">
        <v>58</v>
      </c>
      <c r="K11" s="12"/>
      <c r="L11" s="11"/>
      <c r="M11" s="12">
        <v>22</v>
      </c>
      <c r="N11" s="12"/>
      <c r="O11" s="12">
        <v>28</v>
      </c>
      <c r="P11" s="12"/>
      <c r="Q11" s="12">
        <v>16</v>
      </c>
      <c r="R11" s="12">
        <v>62</v>
      </c>
      <c r="S11" s="11"/>
      <c r="T11" s="12">
        <v>102</v>
      </c>
      <c r="U11" s="12"/>
      <c r="V11" s="12"/>
      <c r="W11" s="12"/>
      <c r="X11" s="12"/>
      <c r="Y11" s="12"/>
      <c r="Z11" s="11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 ht="13">
      <c r="A12" s="111"/>
      <c r="B12" s="112" t="s">
        <v>12</v>
      </c>
      <c r="C12" s="4" t="s">
        <v>9</v>
      </c>
      <c r="D12" s="22">
        <f t="shared" ref="D12:D36" si="14">SUM(E12:AI12)</f>
        <v>2099</v>
      </c>
      <c r="E12" s="7">
        <f>E8+E10</f>
        <v>76</v>
      </c>
      <c r="F12" s="13">
        <f t="shared" ref="F12:AI13" si="15">F8+F10</f>
        <v>152</v>
      </c>
      <c r="G12" s="13">
        <f>G8+G10</f>
        <v>57</v>
      </c>
      <c r="H12" s="13">
        <f t="shared" si="15"/>
        <v>0</v>
      </c>
      <c r="I12" s="13">
        <f t="shared" si="15"/>
        <v>152</v>
      </c>
      <c r="J12" s="13">
        <f t="shared" si="15"/>
        <v>228</v>
      </c>
      <c r="K12" s="13">
        <f t="shared" si="15"/>
        <v>152</v>
      </c>
      <c r="L12" s="11">
        <f t="shared" si="15"/>
        <v>0</v>
      </c>
      <c r="M12" s="13">
        <f t="shared" si="15"/>
        <v>104</v>
      </c>
      <c r="N12" s="13">
        <f t="shared" si="15"/>
        <v>76</v>
      </c>
      <c r="O12" s="13">
        <f t="shared" si="15"/>
        <v>228</v>
      </c>
      <c r="P12" s="13">
        <f t="shared" si="15"/>
        <v>152</v>
      </c>
      <c r="Q12" s="13">
        <f t="shared" si="15"/>
        <v>171</v>
      </c>
      <c r="R12" s="13">
        <f t="shared" si="15"/>
        <v>247</v>
      </c>
      <c r="S12" s="11">
        <f t="shared" si="15"/>
        <v>0</v>
      </c>
      <c r="T12" s="13">
        <f t="shared" si="15"/>
        <v>304</v>
      </c>
      <c r="U12" s="13">
        <f t="shared" si="15"/>
        <v>0</v>
      </c>
      <c r="V12" s="13">
        <f t="shared" si="15"/>
        <v>0</v>
      </c>
      <c r="W12" s="13">
        <f t="shared" si="15"/>
        <v>0</v>
      </c>
      <c r="X12" s="13">
        <f t="shared" si="15"/>
        <v>0</v>
      </c>
      <c r="Y12" s="13">
        <f t="shared" si="15"/>
        <v>0</v>
      </c>
      <c r="Z12" s="11">
        <f t="shared" si="15"/>
        <v>0</v>
      </c>
      <c r="AA12" s="13">
        <f t="shared" si="15"/>
        <v>0</v>
      </c>
      <c r="AB12" s="13">
        <f t="shared" si="15"/>
        <v>0</v>
      </c>
      <c r="AC12" s="13">
        <f t="shared" si="15"/>
        <v>0</v>
      </c>
      <c r="AD12" s="13">
        <f t="shared" si="15"/>
        <v>0</v>
      </c>
      <c r="AE12" s="13">
        <f t="shared" si="15"/>
        <v>0</v>
      </c>
      <c r="AF12" s="13">
        <f t="shared" si="15"/>
        <v>0</v>
      </c>
      <c r="AG12" s="13">
        <f t="shared" si="15"/>
        <v>0</v>
      </c>
      <c r="AH12" s="13">
        <f t="shared" si="15"/>
        <v>0</v>
      </c>
      <c r="AI12" s="13">
        <f t="shared" si="15"/>
        <v>0</v>
      </c>
    </row>
    <row r="13" spans="1:35" ht="13">
      <c r="A13" s="111"/>
      <c r="B13" s="112"/>
      <c r="C13" s="4" t="s">
        <v>10</v>
      </c>
      <c r="D13" s="22">
        <f t="shared" si="14"/>
        <v>1273</v>
      </c>
      <c r="E13" s="7">
        <f>E9+E11</f>
        <v>24</v>
      </c>
      <c r="F13" s="13">
        <f t="shared" si="15"/>
        <v>51</v>
      </c>
      <c r="G13" s="13">
        <f>G9+G11</f>
        <v>32</v>
      </c>
      <c r="H13" s="13">
        <f t="shared" si="15"/>
        <v>0</v>
      </c>
      <c r="I13" s="13">
        <f t="shared" si="15"/>
        <v>102</v>
      </c>
      <c r="J13" s="13">
        <f t="shared" si="15"/>
        <v>139</v>
      </c>
      <c r="K13" s="13">
        <f t="shared" si="15"/>
        <v>100</v>
      </c>
      <c r="L13" s="11">
        <f t="shared" si="15"/>
        <v>0</v>
      </c>
      <c r="M13" s="13">
        <f t="shared" si="15"/>
        <v>70</v>
      </c>
      <c r="N13" s="13">
        <f t="shared" si="15"/>
        <v>60</v>
      </c>
      <c r="O13" s="13">
        <f t="shared" si="15"/>
        <v>112</v>
      </c>
      <c r="P13" s="13">
        <f t="shared" si="15"/>
        <v>105</v>
      </c>
      <c r="Q13" s="13">
        <f t="shared" si="15"/>
        <v>120</v>
      </c>
      <c r="R13" s="13">
        <f t="shared" si="15"/>
        <v>168</v>
      </c>
      <c r="S13" s="11">
        <f t="shared" si="15"/>
        <v>0</v>
      </c>
      <c r="T13" s="13">
        <f t="shared" si="15"/>
        <v>190</v>
      </c>
      <c r="U13" s="13">
        <f t="shared" si="15"/>
        <v>0</v>
      </c>
      <c r="V13" s="13">
        <f t="shared" si="15"/>
        <v>0</v>
      </c>
      <c r="W13" s="13">
        <f t="shared" si="15"/>
        <v>0</v>
      </c>
      <c r="X13" s="13">
        <f t="shared" si="15"/>
        <v>0</v>
      </c>
      <c r="Y13" s="13">
        <f t="shared" si="15"/>
        <v>0</v>
      </c>
      <c r="Z13" s="11">
        <f t="shared" si="15"/>
        <v>0</v>
      </c>
      <c r="AA13" s="13">
        <f t="shared" si="15"/>
        <v>0</v>
      </c>
      <c r="AB13" s="13">
        <f t="shared" si="15"/>
        <v>0</v>
      </c>
      <c r="AC13" s="13">
        <f t="shared" si="15"/>
        <v>0</v>
      </c>
      <c r="AD13" s="13">
        <f t="shared" si="15"/>
        <v>0</v>
      </c>
      <c r="AE13" s="13">
        <f t="shared" si="15"/>
        <v>0</v>
      </c>
      <c r="AF13" s="13">
        <f t="shared" si="15"/>
        <v>0</v>
      </c>
      <c r="AG13" s="13">
        <f t="shared" si="15"/>
        <v>0</v>
      </c>
      <c r="AH13" s="13">
        <f t="shared" si="15"/>
        <v>0</v>
      </c>
      <c r="AI13" s="13">
        <f t="shared" si="15"/>
        <v>0</v>
      </c>
    </row>
    <row r="14" spans="1:35" ht="13">
      <c r="A14" s="111"/>
      <c r="B14" s="114" t="s">
        <v>209</v>
      </c>
      <c r="C14" s="115"/>
      <c r="D14" s="25">
        <f t="shared" ref="D14:D15" si="16">SUM(E14:AI14)</f>
        <v>1153</v>
      </c>
      <c r="E14" s="35"/>
      <c r="F14" s="35"/>
      <c r="G14" s="35"/>
      <c r="H14" s="35"/>
      <c r="I14" s="35"/>
      <c r="J14" s="35">
        <v>224</v>
      </c>
      <c r="K14" s="35">
        <v>164</v>
      </c>
      <c r="L14" s="11">
        <f>8*60</f>
        <v>480</v>
      </c>
      <c r="M14" s="35"/>
      <c r="N14" s="35"/>
      <c r="O14" s="35"/>
      <c r="P14" s="35"/>
      <c r="Q14" s="35">
        <v>152</v>
      </c>
      <c r="R14" s="35"/>
      <c r="S14" s="11"/>
      <c r="T14" s="35">
        <v>133</v>
      </c>
      <c r="U14" s="35"/>
      <c r="V14" s="35"/>
      <c r="W14" s="35"/>
      <c r="X14" s="35"/>
      <c r="Y14" s="35"/>
      <c r="Z14" s="11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ht="13">
      <c r="A15" s="111"/>
      <c r="B15" s="114" t="s">
        <v>210</v>
      </c>
      <c r="C15" s="115"/>
      <c r="D15" s="25">
        <f t="shared" si="16"/>
        <v>190</v>
      </c>
      <c r="E15" s="35"/>
      <c r="F15" s="35"/>
      <c r="G15" s="35"/>
      <c r="H15" s="35"/>
      <c r="I15" s="35"/>
      <c r="J15" s="35">
        <v>57</v>
      </c>
      <c r="K15" s="35"/>
      <c r="L15" s="11"/>
      <c r="M15" s="35"/>
      <c r="N15" s="35"/>
      <c r="O15" s="35"/>
      <c r="P15" s="35"/>
      <c r="Q15" s="35"/>
      <c r="R15" s="35"/>
      <c r="S15" s="11"/>
      <c r="T15" s="35">
        <v>133</v>
      </c>
      <c r="U15" s="35"/>
      <c r="V15" s="35"/>
      <c r="W15" s="35"/>
      <c r="X15" s="35"/>
      <c r="Y15" s="35"/>
      <c r="Z15" s="11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ht="13">
      <c r="A16" s="111"/>
      <c r="B16" s="114" t="s">
        <v>213</v>
      </c>
      <c r="C16" s="115"/>
      <c r="D16" s="25">
        <f t="shared" si="14"/>
        <v>1708</v>
      </c>
      <c r="E16" s="35">
        <v>180</v>
      </c>
      <c r="F16" s="35">
        <v>300</v>
      </c>
      <c r="G16" s="35">
        <v>79</v>
      </c>
      <c r="H16" s="35"/>
      <c r="I16" s="35">
        <v>158</v>
      </c>
      <c r="J16" s="35"/>
      <c r="K16" s="35"/>
      <c r="L16" s="11"/>
      <c r="M16" s="35">
        <v>108</v>
      </c>
      <c r="N16" s="35">
        <v>51</v>
      </c>
      <c r="O16" s="35">
        <v>366</v>
      </c>
      <c r="P16" s="35">
        <v>148</v>
      </c>
      <c r="Q16" s="35"/>
      <c r="R16" s="35">
        <v>249</v>
      </c>
      <c r="S16" s="11"/>
      <c r="T16" s="35">
        <v>69</v>
      </c>
      <c r="U16" s="35"/>
      <c r="V16" s="35"/>
      <c r="W16" s="35"/>
      <c r="X16" s="35"/>
      <c r="Y16" s="35"/>
      <c r="Z16" s="11"/>
      <c r="AA16" s="35"/>
      <c r="AB16" s="35"/>
      <c r="AC16" s="35"/>
      <c r="AD16" s="35"/>
      <c r="AE16" s="35"/>
      <c r="AF16" s="35"/>
      <c r="AG16" s="35"/>
      <c r="AH16" s="35"/>
      <c r="AI16" s="35"/>
    </row>
    <row r="17" spans="1:35" s="21" customFormat="1" ht="42" customHeight="1">
      <c r="A17" s="111"/>
      <c r="B17" s="14"/>
      <c r="C17" s="14" t="s">
        <v>13</v>
      </c>
      <c r="D17" s="14"/>
      <c r="E17" s="44" t="s">
        <v>201</v>
      </c>
      <c r="F17" s="62" t="s">
        <v>201</v>
      </c>
      <c r="G17" s="62" t="s">
        <v>201</v>
      </c>
      <c r="H17" s="30"/>
      <c r="I17" s="62" t="s">
        <v>201</v>
      </c>
      <c r="J17" s="30" t="s">
        <v>149</v>
      </c>
      <c r="K17" s="30" t="s">
        <v>219</v>
      </c>
      <c r="L17" s="15" t="s">
        <v>220</v>
      </c>
      <c r="M17" s="30"/>
      <c r="N17" s="30"/>
      <c r="O17" s="30"/>
      <c r="P17" s="30"/>
      <c r="Q17" s="30" t="s">
        <v>223</v>
      </c>
      <c r="R17" s="30" t="s">
        <v>224</v>
      </c>
      <c r="S17" s="15"/>
      <c r="T17" s="30"/>
      <c r="U17" s="30"/>
      <c r="V17" s="30"/>
      <c r="W17" s="30"/>
      <c r="X17" s="30"/>
      <c r="Y17" s="30"/>
      <c r="Z17" s="11"/>
      <c r="AA17" s="30"/>
      <c r="AB17" s="30"/>
      <c r="AC17" s="30"/>
      <c r="AD17" s="41"/>
      <c r="AE17" s="41"/>
      <c r="AF17" s="30"/>
      <c r="AG17" s="41"/>
      <c r="AH17" s="41"/>
      <c r="AI17" s="30"/>
    </row>
    <row r="18" spans="1:35" ht="13">
      <c r="A18" s="111" t="s">
        <v>16</v>
      </c>
      <c r="B18" s="112" t="s">
        <v>8</v>
      </c>
      <c r="C18" s="4" t="s">
        <v>9</v>
      </c>
      <c r="D18" s="22">
        <f t="shared" ref="D18:D21" si="17">SUM(E18:AI18)</f>
        <v>1296</v>
      </c>
      <c r="E18" s="11">
        <v>128</v>
      </c>
      <c r="F18" s="10">
        <v>128</v>
      </c>
      <c r="G18" s="10">
        <v>80</v>
      </c>
      <c r="H18" s="10"/>
      <c r="I18" s="10"/>
      <c r="J18" s="10">
        <v>64</v>
      </c>
      <c r="K18" s="10">
        <v>128</v>
      </c>
      <c r="L18" s="11"/>
      <c r="M18" s="10">
        <v>128</v>
      </c>
      <c r="N18" s="10">
        <v>128</v>
      </c>
      <c r="O18" s="10">
        <v>128</v>
      </c>
      <c r="P18" s="10">
        <v>128</v>
      </c>
      <c r="Q18" s="10">
        <v>128</v>
      </c>
      <c r="R18" s="10">
        <v>128</v>
      </c>
      <c r="S18" s="11"/>
      <c r="T18" s="13"/>
      <c r="U18" s="13"/>
      <c r="V18" s="10"/>
      <c r="W18" s="10"/>
      <c r="X18" s="10"/>
      <c r="Y18" s="10"/>
      <c r="Z18" s="15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3">
      <c r="A19" s="111"/>
      <c r="B19" s="112"/>
      <c r="C19" s="4" t="s">
        <v>10</v>
      </c>
      <c r="D19" s="22">
        <f t="shared" si="17"/>
        <v>720</v>
      </c>
      <c r="E19" s="11">
        <v>52</v>
      </c>
      <c r="F19" s="22">
        <v>64</v>
      </c>
      <c r="G19" s="22">
        <v>58</v>
      </c>
      <c r="H19" s="22"/>
      <c r="I19" s="10"/>
      <c r="J19" s="10">
        <v>39</v>
      </c>
      <c r="K19" s="10">
        <v>55</v>
      </c>
      <c r="L19" s="11"/>
      <c r="M19" s="10">
        <v>84</v>
      </c>
      <c r="N19" s="10">
        <v>96</v>
      </c>
      <c r="O19" s="10">
        <v>61</v>
      </c>
      <c r="P19" s="10">
        <v>77</v>
      </c>
      <c r="Q19" s="10">
        <v>58</v>
      </c>
      <c r="R19" s="10">
        <v>76</v>
      </c>
      <c r="S19" s="11"/>
      <c r="T19" s="13"/>
      <c r="U19" s="10"/>
      <c r="V19" s="10"/>
      <c r="W19" s="10"/>
      <c r="X19" s="10"/>
      <c r="Y19" s="10"/>
      <c r="Z19" s="11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>
      <c r="A20" s="111"/>
      <c r="B20" s="113" t="s">
        <v>11</v>
      </c>
      <c r="C20" s="5" t="s">
        <v>9</v>
      </c>
      <c r="D20" s="19">
        <f t="shared" si="17"/>
        <v>896</v>
      </c>
      <c r="E20" s="11"/>
      <c r="F20" s="12"/>
      <c r="G20" s="12"/>
      <c r="H20" s="12"/>
      <c r="I20" s="12"/>
      <c r="J20" s="12">
        <v>128</v>
      </c>
      <c r="K20" s="12"/>
      <c r="L20" s="11"/>
      <c r="M20" s="12">
        <v>64</v>
      </c>
      <c r="N20" s="12">
        <f>16*4</f>
        <v>64</v>
      </c>
      <c r="O20" s="12">
        <f>12*16</f>
        <v>192</v>
      </c>
      <c r="P20" s="12">
        <v>192</v>
      </c>
      <c r="Q20" s="12">
        <v>128</v>
      </c>
      <c r="R20" s="12">
        <v>128</v>
      </c>
      <c r="S20" s="11"/>
      <c r="T20" s="12"/>
      <c r="U20" s="12"/>
      <c r="V20" s="12"/>
      <c r="W20" s="12"/>
      <c r="X20" s="12"/>
      <c r="Y20" s="12"/>
      <c r="Z20" s="11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1:35">
      <c r="A21" s="111"/>
      <c r="B21" s="113"/>
      <c r="C21" s="5" t="s">
        <v>10</v>
      </c>
      <c r="D21" s="19">
        <f t="shared" si="17"/>
        <v>461</v>
      </c>
      <c r="E21" s="11"/>
      <c r="F21" s="12"/>
      <c r="G21" s="12"/>
      <c r="H21" s="12"/>
      <c r="I21" s="12"/>
      <c r="J21" s="12">
        <f>28+39</f>
        <v>67</v>
      </c>
      <c r="K21" s="12"/>
      <c r="L21" s="11">
        <v>16</v>
      </c>
      <c r="M21" s="12">
        <v>32</v>
      </c>
      <c r="N21" s="12">
        <v>21</v>
      </c>
      <c r="O21" s="12">
        <v>102</v>
      </c>
      <c r="P21" s="12">
        <v>99</v>
      </c>
      <c r="Q21" s="12">
        <v>76</v>
      </c>
      <c r="R21" s="12">
        <v>48</v>
      </c>
      <c r="S21" s="11"/>
      <c r="T21" s="12"/>
      <c r="U21" s="12"/>
      <c r="V21" s="12"/>
      <c r="W21" s="12"/>
      <c r="X21" s="12"/>
      <c r="Y21" s="12"/>
      <c r="Z21" s="11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 ht="13">
      <c r="A22" s="111"/>
      <c r="B22" s="112" t="s">
        <v>12</v>
      </c>
      <c r="C22" s="4" t="s">
        <v>9</v>
      </c>
      <c r="D22" s="22">
        <f t="shared" si="14"/>
        <v>2192</v>
      </c>
      <c r="E22" s="7">
        <f>E18+E20</f>
        <v>128</v>
      </c>
      <c r="F22" s="13">
        <f t="shared" ref="F22:AI23" si="18">F18+F20</f>
        <v>128</v>
      </c>
      <c r="G22" s="13">
        <f t="shared" si="18"/>
        <v>80</v>
      </c>
      <c r="H22" s="13">
        <f t="shared" si="18"/>
        <v>0</v>
      </c>
      <c r="I22" s="13">
        <f t="shared" si="18"/>
        <v>0</v>
      </c>
      <c r="J22" s="13">
        <f t="shared" si="18"/>
        <v>192</v>
      </c>
      <c r="K22" s="13">
        <f t="shared" si="18"/>
        <v>128</v>
      </c>
      <c r="L22" s="7">
        <f t="shared" si="18"/>
        <v>0</v>
      </c>
      <c r="M22" s="13">
        <f t="shared" si="18"/>
        <v>192</v>
      </c>
      <c r="N22" s="13">
        <f t="shared" si="18"/>
        <v>192</v>
      </c>
      <c r="O22" s="13">
        <f t="shared" si="18"/>
        <v>320</v>
      </c>
      <c r="P22" s="13">
        <f t="shared" si="18"/>
        <v>320</v>
      </c>
      <c r="Q22" s="13">
        <f t="shared" si="18"/>
        <v>256</v>
      </c>
      <c r="R22" s="13">
        <f t="shared" si="18"/>
        <v>256</v>
      </c>
      <c r="S22" s="7">
        <f t="shared" si="18"/>
        <v>0</v>
      </c>
      <c r="T22" s="13">
        <f t="shared" si="18"/>
        <v>0</v>
      </c>
      <c r="U22" s="13">
        <f t="shared" si="18"/>
        <v>0</v>
      </c>
      <c r="V22" s="13">
        <f t="shared" si="18"/>
        <v>0</v>
      </c>
      <c r="W22" s="13">
        <f t="shared" si="18"/>
        <v>0</v>
      </c>
      <c r="X22" s="13">
        <f t="shared" si="18"/>
        <v>0</v>
      </c>
      <c r="Y22" s="13">
        <f t="shared" si="18"/>
        <v>0</v>
      </c>
      <c r="Z22" s="7">
        <f t="shared" si="18"/>
        <v>0</v>
      </c>
      <c r="AA22" s="13">
        <f t="shared" si="18"/>
        <v>0</v>
      </c>
      <c r="AB22" s="13">
        <f t="shared" si="18"/>
        <v>0</v>
      </c>
      <c r="AC22" s="13">
        <f t="shared" si="18"/>
        <v>0</v>
      </c>
      <c r="AD22" s="13">
        <f t="shared" si="18"/>
        <v>0</v>
      </c>
      <c r="AE22" s="13">
        <f t="shared" si="18"/>
        <v>0</v>
      </c>
      <c r="AF22" s="13">
        <f t="shared" si="18"/>
        <v>0</v>
      </c>
      <c r="AG22" s="13">
        <f t="shared" si="18"/>
        <v>0</v>
      </c>
      <c r="AH22" s="13">
        <f t="shared" si="18"/>
        <v>0</v>
      </c>
      <c r="AI22" s="13">
        <f t="shared" si="18"/>
        <v>0</v>
      </c>
    </row>
    <row r="23" spans="1:35" ht="13">
      <c r="A23" s="111"/>
      <c r="B23" s="112"/>
      <c r="C23" s="4" t="s">
        <v>10</v>
      </c>
      <c r="D23" s="22">
        <f t="shared" si="14"/>
        <v>1181</v>
      </c>
      <c r="E23" s="7">
        <f>E19+E21</f>
        <v>52</v>
      </c>
      <c r="F23" s="13">
        <f t="shared" si="18"/>
        <v>64</v>
      </c>
      <c r="G23" s="13">
        <f t="shared" si="18"/>
        <v>58</v>
      </c>
      <c r="H23" s="13">
        <f t="shared" si="18"/>
        <v>0</v>
      </c>
      <c r="I23" s="13">
        <f t="shared" si="18"/>
        <v>0</v>
      </c>
      <c r="J23" s="13">
        <f t="shared" si="18"/>
        <v>106</v>
      </c>
      <c r="K23" s="13">
        <f t="shared" si="18"/>
        <v>55</v>
      </c>
      <c r="L23" s="7">
        <f t="shared" si="18"/>
        <v>16</v>
      </c>
      <c r="M23" s="13">
        <f t="shared" si="18"/>
        <v>116</v>
      </c>
      <c r="N23" s="13">
        <f t="shared" si="18"/>
        <v>117</v>
      </c>
      <c r="O23" s="13">
        <f t="shared" si="18"/>
        <v>163</v>
      </c>
      <c r="P23" s="13">
        <f t="shared" si="18"/>
        <v>176</v>
      </c>
      <c r="Q23" s="13">
        <f t="shared" si="18"/>
        <v>134</v>
      </c>
      <c r="R23" s="13">
        <f t="shared" si="18"/>
        <v>124</v>
      </c>
      <c r="S23" s="7">
        <f t="shared" si="18"/>
        <v>0</v>
      </c>
      <c r="T23" s="13">
        <f t="shared" si="18"/>
        <v>0</v>
      </c>
      <c r="U23" s="13">
        <f t="shared" si="18"/>
        <v>0</v>
      </c>
      <c r="V23" s="13">
        <f t="shared" si="18"/>
        <v>0</v>
      </c>
      <c r="W23" s="13">
        <f t="shared" si="18"/>
        <v>0</v>
      </c>
      <c r="X23" s="13">
        <f t="shared" si="18"/>
        <v>0</v>
      </c>
      <c r="Y23" s="13">
        <f t="shared" si="18"/>
        <v>0</v>
      </c>
      <c r="Z23" s="7">
        <f t="shared" si="18"/>
        <v>0</v>
      </c>
      <c r="AA23" s="13">
        <f t="shared" si="18"/>
        <v>0</v>
      </c>
      <c r="AB23" s="13">
        <f t="shared" si="18"/>
        <v>0</v>
      </c>
      <c r="AC23" s="13">
        <f t="shared" si="18"/>
        <v>0</v>
      </c>
      <c r="AD23" s="13">
        <f t="shared" si="18"/>
        <v>0</v>
      </c>
      <c r="AE23" s="13">
        <f t="shared" si="18"/>
        <v>0</v>
      </c>
      <c r="AF23" s="13">
        <f t="shared" si="18"/>
        <v>0</v>
      </c>
      <c r="AG23" s="13">
        <f t="shared" si="18"/>
        <v>0</v>
      </c>
      <c r="AH23" s="13">
        <f t="shared" si="18"/>
        <v>0</v>
      </c>
      <c r="AI23" s="13">
        <f t="shared" si="18"/>
        <v>0</v>
      </c>
    </row>
    <row r="24" spans="1:35" ht="13">
      <c r="A24" s="111"/>
      <c r="B24" s="114" t="s">
        <v>209</v>
      </c>
      <c r="C24" s="115"/>
      <c r="D24" s="25">
        <f t="shared" si="14"/>
        <v>1196</v>
      </c>
      <c r="E24" s="26"/>
      <c r="F24" s="35"/>
      <c r="G24" s="26"/>
      <c r="H24" s="26"/>
      <c r="I24" s="26"/>
      <c r="J24" s="26"/>
      <c r="K24" s="26">
        <v>274</v>
      </c>
      <c r="L24" s="26">
        <v>480</v>
      </c>
      <c r="M24" s="26"/>
      <c r="N24" s="26"/>
      <c r="O24" s="26">
        <v>251</v>
      </c>
      <c r="P24" s="26">
        <v>191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</row>
    <row r="25" spans="1:35" ht="13">
      <c r="A25" s="111"/>
      <c r="B25" s="114" t="s">
        <v>210</v>
      </c>
      <c r="C25" s="115"/>
      <c r="D25" s="25">
        <f t="shared" ref="D25:D26" si="19">SUM(E25:AI25)</f>
        <v>687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>
        <v>338</v>
      </c>
      <c r="P25" s="26">
        <v>349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6" spans="1:35" ht="13">
      <c r="A26" s="111"/>
      <c r="B26" s="114" t="s">
        <v>213</v>
      </c>
      <c r="C26" s="115"/>
      <c r="D26" s="25">
        <f t="shared" si="19"/>
        <v>2330</v>
      </c>
      <c r="E26" s="26">
        <v>285</v>
      </c>
      <c r="F26" s="35">
        <v>240</v>
      </c>
      <c r="G26" s="26">
        <v>83</v>
      </c>
      <c r="H26" s="26"/>
      <c r="I26" s="26"/>
      <c r="J26" s="26">
        <f>94+229</f>
        <v>323</v>
      </c>
      <c r="K26" s="26"/>
      <c r="L26" s="26"/>
      <c r="M26" s="26">
        <v>165</v>
      </c>
      <c r="N26" s="26">
        <v>281</v>
      </c>
      <c r="O26" s="26"/>
      <c r="P26" s="26"/>
      <c r="Q26" s="26">
        <v>458</v>
      </c>
      <c r="R26" s="26">
        <v>495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</row>
    <row r="27" spans="1:35" s="21" customFormat="1" ht="62.5">
      <c r="A27" s="111"/>
      <c r="B27" s="14"/>
      <c r="C27" s="14" t="s">
        <v>13</v>
      </c>
      <c r="D27" s="14"/>
      <c r="E27" s="44" t="s">
        <v>201</v>
      </c>
      <c r="F27" s="62" t="s">
        <v>201</v>
      </c>
      <c r="G27" s="62" t="s">
        <v>201</v>
      </c>
      <c r="H27" s="30"/>
      <c r="I27" s="30"/>
      <c r="J27" s="62" t="s">
        <v>201</v>
      </c>
      <c r="K27" s="30" t="s">
        <v>219</v>
      </c>
      <c r="L27" s="15" t="s">
        <v>220</v>
      </c>
      <c r="M27" s="30"/>
      <c r="N27" s="30" t="s">
        <v>221</v>
      </c>
      <c r="O27" s="30" t="s">
        <v>221</v>
      </c>
      <c r="P27" s="30" t="s">
        <v>221</v>
      </c>
      <c r="Q27" s="30" t="s">
        <v>223</v>
      </c>
      <c r="R27" s="30" t="s">
        <v>225</v>
      </c>
      <c r="S27" s="44"/>
      <c r="T27" s="30"/>
      <c r="U27" s="30"/>
      <c r="V27" s="30"/>
      <c r="W27" s="30"/>
      <c r="X27" s="30"/>
      <c r="Y27" s="30"/>
      <c r="Z27" s="44"/>
      <c r="AA27" s="30"/>
      <c r="AB27" s="30"/>
      <c r="AC27" s="30"/>
      <c r="AD27" s="41"/>
      <c r="AE27" s="41"/>
      <c r="AF27" s="41"/>
      <c r="AG27" s="41"/>
      <c r="AH27" s="41"/>
      <c r="AI27" s="30"/>
    </row>
    <row r="28" spans="1:35" ht="13">
      <c r="A28" s="111" t="s">
        <v>17</v>
      </c>
      <c r="B28" s="112" t="s">
        <v>8</v>
      </c>
      <c r="C28" s="4" t="s">
        <v>9</v>
      </c>
      <c r="D28" s="22">
        <f t="shared" ref="D28:D31" si="20">SUM(E28:AI28)</f>
        <v>2958</v>
      </c>
      <c r="E28" s="11">
        <v>252</v>
      </c>
      <c r="F28" s="13">
        <v>252</v>
      </c>
      <c r="G28" s="13">
        <f>12*14</f>
        <v>168</v>
      </c>
      <c r="H28" s="13"/>
      <c r="I28" s="13">
        <v>252</v>
      </c>
      <c r="J28" s="13">
        <v>252</v>
      </c>
      <c r="K28" s="13">
        <v>252</v>
      </c>
      <c r="L28" s="11">
        <v>186</v>
      </c>
      <c r="M28" s="13">
        <v>252</v>
      </c>
      <c r="N28" s="13">
        <f>12*14</f>
        <v>168</v>
      </c>
      <c r="O28" s="13">
        <v>252</v>
      </c>
      <c r="P28" s="13">
        <v>252</v>
      </c>
      <c r="Q28" s="13">
        <f>21*8</f>
        <v>168</v>
      </c>
      <c r="R28" s="10">
        <v>252</v>
      </c>
      <c r="S28" s="11"/>
      <c r="T28" s="10"/>
      <c r="U28" s="10"/>
      <c r="V28" s="10"/>
      <c r="W28" s="10"/>
      <c r="X28" s="10"/>
      <c r="Y28" s="10"/>
      <c r="Z28" s="11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3">
      <c r="A29" s="111"/>
      <c r="B29" s="112"/>
      <c r="C29" s="4" t="s">
        <v>10</v>
      </c>
      <c r="D29" s="22">
        <f t="shared" si="20"/>
        <v>2592</v>
      </c>
      <c r="E29" s="11">
        <v>154</v>
      </c>
      <c r="F29" s="13">
        <v>252</v>
      </c>
      <c r="G29" s="13">
        <v>84</v>
      </c>
      <c r="H29" s="13"/>
      <c r="I29" s="10">
        <v>244</v>
      </c>
      <c r="J29" s="10">
        <v>252</v>
      </c>
      <c r="K29" s="10">
        <v>224</v>
      </c>
      <c r="L29" s="11">
        <v>140</v>
      </c>
      <c r="M29" s="10">
        <v>252</v>
      </c>
      <c r="N29" s="10">
        <v>168</v>
      </c>
      <c r="O29" s="10">
        <f>15*14</f>
        <v>210</v>
      </c>
      <c r="P29" s="10">
        <v>224</v>
      </c>
      <c r="Q29" s="10">
        <v>178</v>
      </c>
      <c r="R29" s="10">
        <v>210</v>
      </c>
      <c r="S29" s="11"/>
      <c r="T29" s="10"/>
      <c r="U29" s="10"/>
      <c r="V29" s="10"/>
      <c r="W29" s="10"/>
      <c r="X29" s="10"/>
      <c r="Y29" s="10"/>
      <c r="Z29" s="11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>
      <c r="A30" s="111"/>
      <c r="B30" s="113" t="s">
        <v>11</v>
      </c>
      <c r="C30" s="5" t="s">
        <v>9</v>
      </c>
      <c r="D30" s="19">
        <f t="shared" si="20"/>
        <v>1734</v>
      </c>
      <c r="E30" s="11"/>
      <c r="F30" s="12">
        <f>31*6</f>
        <v>186</v>
      </c>
      <c r="G30" s="12"/>
      <c r="H30" s="12"/>
      <c r="I30" s="12"/>
      <c r="J30" s="12"/>
      <c r="K30" s="12"/>
      <c r="L30" s="11">
        <v>168</v>
      </c>
      <c r="M30" s="12">
        <f>4*21</f>
        <v>84</v>
      </c>
      <c r="N30" s="12">
        <v>168</v>
      </c>
      <c r="O30" s="12">
        <v>252</v>
      </c>
      <c r="P30" s="12">
        <v>252</v>
      </c>
      <c r="Q30" s="12">
        <f>31*12</f>
        <v>372</v>
      </c>
      <c r="R30" s="12">
        <v>252</v>
      </c>
      <c r="S30" s="11"/>
      <c r="T30" s="12"/>
      <c r="U30" s="12"/>
      <c r="V30" s="12"/>
      <c r="W30" s="12"/>
      <c r="X30" s="12"/>
      <c r="Y30" s="12"/>
      <c r="Z30" s="11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1:35">
      <c r="A31" s="111"/>
      <c r="B31" s="113"/>
      <c r="C31" s="5" t="s">
        <v>10</v>
      </c>
      <c r="D31" s="19">
        <f t="shared" si="20"/>
        <v>842</v>
      </c>
      <c r="E31" s="11"/>
      <c r="F31" s="12">
        <v>84</v>
      </c>
      <c r="G31" s="12"/>
      <c r="H31" s="12"/>
      <c r="I31" s="12"/>
      <c r="J31" s="12"/>
      <c r="K31" s="12"/>
      <c r="L31" s="11">
        <v>56</v>
      </c>
      <c r="M31" s="12">
        <v>56</v>
      </c>
      <c r="N31" s="12">
        <v>72</v>
      </c>
      <c r="O31" s="12">
        <v>126</v>
      </c>
      <c r="P31" s="12">
        <v>112</v>
      </c>
      <c r="Q31" s="12">
        <v>182</v>
      </c>
      <c r="R31" s="12">
        <v>154</v>
      </c>
      <c r="S31" s="11"/>
      <c r="T31" s="12"/>
      <c r="U31" s="12"/>
      <c r="V31" s="12"/>
      <c r="W31" s="12"/>
      <c r="X31" s="12"/>
      <c r="Y31" s="12"/>
      <c r="Z31" s="11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1:35" ht="13">
      <c r="A32" s="111"/>
      <c r="B32" s="112" t="s">
        <v>12</v>
      </c>
      <c r="C32" s="4" t="s">
        <v>9</v>
      </c>
      <c r="D32" s="22">
        <f t="shared" si="14"/>
        <v>4692</v>
      </c>
      <c r="E32" s="7">
        <f t="shared" ref="E32:AI33" si="21">E28+E30</f>
        <v>252</v>
      </c>
      <c r="F32" s="13">
        <f t="shared" si="21"/>
        <v>438</v>
      </c>
      <c r="G32" s="13">
        <f t="shared" si="21"/>
        <v>168</v>
      </c>
      <c r="H32" s="13">
        <f t="shared" si="21"/>
        <v>0</v>
      </c>
      <c r="I32" s="13">
        <f t="shared" si="21"/>
        <v>252</v>
      </c>
      <c r="J32" s="13">
        <f t="shared" si="21"/>
        <v>252</v>
      </c>
      <c r="K32" s="13">
        <f t="shared" si="21"/>
        <v>252</v>
      </c>
      <c r="L32" s="7">
        <f t="shared" si="21"/>
        <v>354</v>
      </c>
      <c r="M32" s="13">
        <f t="shared" si="21"/>
        <v>336</v>
      </c>
      <c r="N32" s="13">
        <f t="shared" si="21"/>
        <v>336</v>
      </c>
      <c r="O32" s="13">
        <f t="shared" si="21"/>
        <v>504</v>
      </c>
      <c r="P32" s="13">
        <f t="shared" si="21"/>
        <v>504</v>
      </c>
      <c r="Q32" s="13">
        <f t="shared" si="21"/>
        <v>540</v>
      </c>
      <c r="R32" s="13">
        <f t="shared" si="21"/>
        <v>504</v>
      </c>
      <c r="S32" s="7">
        <f t="shared" si="21"/>
        <v>0</v>
      </c>
      <c r="T32" s="13">
        <f t="shared" si="21"/>
        <v>0</v>
      </c>
      <c r="U32" s="13">
        <f t="shared" si="21"/>
        <v>0</v>
      </c>
      <c r="V32" s="13">
        <f t="shared" si="21"/>
        <v>0</v>
      </c>
      <c r="W32" s="13">
        <f t="shared" si="21"/>
        <v>0</v>
      </c>
      <c r="X32" s="13">
        <f t="shared" si="21"/>
        <v>0</v>
      </c>
      <c r="Y32" s="13">
        <f t="shared" si="21"/>
        <v>0</v>
      </c>
      <c r="Z32" s="7">
        <f t="shared" si="21"/>
        <v>0</v>
      </c>
      <c r="AA32" s="13">
        <f t="shared" si="21"/>
        <v>0</v>
      </c>
      <c r="AB32" s="13">
        <f t="shared" si="21"/>
        <v>0</v>
      </c>
      <c r="AC32" s="13">
        <f t="shared" si="21"/>
        <v>0</v>
      </c>
      <c r="AD32" s="13">
        <f t="shared" si="21"/>
        <v>0</v>
      </c>
      <c r="AE32" s="13">
        <f t="shared" si="21"/>
        <v>0</v>
      </c>
      <c r="AF32" s="13">
        <f t="shared" si="21"/>
        <v>0</v>
      </c>
      <c r="AG32" s="13">
        <f t="shared" si="21"/>
        <v>0</v>
      </c>
      <c r="AH32" s="13">
        <f t="shared" si="21"/>
        <v>0</v>
      </c>
      <c r="AI32" s="13">
        <f t="shared" si="21"/>
        <v>0</v>
      </c>
    </row>
    <row r="33" spans="1:35" ht="13">
      <c r="A33" s="111"/>
      <c r="B33" s="112"/>
      <c r="C33" s="4" t="s">
        <v>10</v>
      </c>
      <c r="D33" s="22">
        <f t="shared" si="14"/>
        <v>3434</v>
      </c>
      <c r="E33" s="7">
        <f t="shared" si="21"/>
        <v>154</v>
      </c>
      <c r="F33" s="13">
        <f t="shared" si="21"/>
        <v>336</v>
      </c>
      <c r="G33" s="13">
        <f t="shared" si="21"/>
        <v>84</v>
      </c>
      <c r="H33" s="13">
        <f t="shared" si="21"/>
        <v>0</v>
      </c>
      <c r="I33" s="13">
        <f t="shared" si="21"/>
        <v>244</v>
      </c>
      <c r="J33" s="13">
        <f t="shared" si="21"/>
        <v>252</v>
      </c>
      <c r="K33" s="13">
        <f t="shared" si="21"/>
        <v>224</v>
      </c>
      <c r="L33" s="7">
        <f t="shared" si="21"/>
        <v>196</v>
      </c>
      <c r="M33" s="13">
        <f t="shared" si="21"/>
        <v>308</v>
      </c>
      <c r="N33" s="13">
        <f t="shared" si="21"/>
        <v>240</v>
      </c>
      <c r="O33" s="13">
        <f t="shared" si="21"/>
        <v>336</v>
      </c>
      <c r="P33" s="13">
        <f t="shared" si="21"/>
        <v>336</v>
      </c>
      <c r="Q33" s="13">
        <f t="shared" si="21"/>
        <v>360</v>
      </c>
      <c r="R33" s="13">
        <f t="shared" si="21"/>
        <v>364</v>
      </c>
      <c r="S33" s="7">
        <f t="shared" si="21"/>
        <v>0</v>
      </c>
      <c r="T33" s="13">
        <f t="shared" si="21"/>
        <v>0</v>
      </c>
      <c r="U33" s="13">
        <f t="shared" si="21"/>
        <v>0</v>
      </c>
      <c r="V33" s="13">
        <f t="shared" si="21"/>
        <v>0</v>
      </c>
      <c r="W33" s="13">
        <f t="shared" si="21"/>
        <v>0</v>
      </c>
      <c r="X33" s="13">
        <f t="shared" si="21"/>
        <v>0</v>
      </c>
      <c r="Y33" s="13">
        <f t="shared" si="21"/>
        <v>0</v>
      </c>
      <c r="Z33" s="7">
        <f t="shared" si="21"/>
        <v>0</v>
      </c>
      <c r="AA33" s="13">
        <f t="shared" si="21"/>
        <v>0</v>
      </c>
      <c r="AB33" s="13">
        <f t="shared" si="21"/>
        <v>0</v>
      </c>
      <c r="AC33" s="13">
        <f t="shared" si="21"/>
        <v>0</v>
      </c>
      <c r="AD33" s="13">
        <f t="shared" si="21"/>
        <v>0</v>
      </c>
      <c r="AE33" s="13">
        <f t="shared" si="21"/>
        <v>0</v>
      </c>
      <c r="AF33" s="13">
        <f t="shared" si="21"/>
        <v>0</v>
      </c>
      <c r="AG33" s="13">
        <f t="shared" si="21"/>
        <v>0</v>
      </c>
      <c r="AH33" s="13">
        <f t="shared" si="21"/>
        <v>0</v>
      </c>
      <c r="AI33" s="13">
        <f t="shared" si="21"/>
        <v>0</v>
      </c>
    </row>
    <row r="34" spans="1:35" ht="13">
      <c r="A34" s="111"/>
      <c r="B34" s="114" t="s">
        <v>209</v>
      </c>
      <c r="C34" s="115"/>
      <c r="D34" s="25">
        <f t="shared" ref="D34:D35" si="22">SUM(E34:AI34)</f>
        <v>81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>
        <v>81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</row>
    <row r="35" spans="1:35" ht="13">
      <c r="A35" s="111"/>
      <c r="B35" s="114" t="s">
        <v>210</v>
      </c>
      <c r="C35" s="115"/>
      <c r="D35" s="25">
        <f t="shared" si="22"/>
        <v>81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>
        <v>81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</row>
    <row r="36" spans="1:35" ht="13">
      <c r="A36" s="111"/>
      <c r="B36" s="114" t="s">
        <v>213</v>
      </c>
      <c r="C36" s="115"/>
      <c r="D36" s="25">
        <f t="shared" si="14"/>
        <v>2462</v>
      </c>
      <c r="E36" s="26">
        <v>190</v>
      </c>
      <c r="F36" s="26">
        <v>197</v>
      </c>
      <c r="G36" s="26">
        <v>240</v>
      </c>
      <c r="H36" s="26"/>
      <c r="I36" s="26"/>
      <c r="J36" s="26"/>
      <c r="K36" s="26">
        <v>54</v>
      </c>
      <c r="L36" s="26">
        <v>320</v>
      </c>
      <c r="M36" s="26">
        <v>80</v>
      </c>
      <c r="N36" s="26">
        <v>274</v>
      </c>
      <c r="O36" s="26">
        <v>163</v>
      </c>
      <c r="P36" s="26">
        <v>325</v>
      </c>
      <c r="Q36" s="26">
        <v>348</v>
      </c>
      <c r="R36" s="26">
        <v>271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</row>
    <row r="37" spans="1:35" s="21" customFormat="1" ht="42" customHeight="1">
      <c r="A37" s="111"/>
      <c r="B37" s="14"/>
      <c r="C37" s="14" t="s">
        <v>13</v>
      </c>
      <c r="D37" s="14"/>
      <c r="E37" s="44" t="s">
        <v>201</v>
      </c>
      <c r="F37" s="62" t="s">
        <v>218</v>
      </c>
      <c r="G37" s="62" t="s">
        <v>201</v>
      </c>
      <c r="H37" s="30"/>
      <c r="I37" s="30"/>
      <c r="J37" s="30"/>
      <c r="K37" s="30" t="s">
        <v>222</v>
      </c>
      <c r="L37" s="30" t="s">
        <v>222</v>
      </c>
      <c r="M37" s="30" t="s">
        <v>222</v>
      </c>
      <c r="N37" s="30" t="s">
        <v>222</v>
      </c>
      <c r="O37" s="30" t="s">
        <v>222</v>
      </c>
      <c r="P37" s="30" t="s">
        <v>222</v>
      </c>
      <c r="Q37" s="30" t="s">
        <v>222</v>
      </c>
      <c r="R37" s="30" t="s">
        <v>222</v>
      </c>
      <c r="S37" s="44"/>
      <c r="T37" s="30"/>
      <c r="U37" s="30"/>
      <c r="V37" s="30"/>
      <c r="W37" s="30"/>
      <c r="X37" s="30"/>
      <c r="Y37" s="30"/>
      <c r="Z37" s="44"/>
      <c r="AA37" s="30"/>
      <c r="AB37" s="30"/>
      <c r="AC37" s="30"/>
      <c r="AD37" s="30"/>
      <c r="AE37" s="30"/>
      <c r="AF37" s="30"/>
      <c r="AG37" s="30"/>
      <c r="AH37" s="30"/>
      <c r="AI37" s="30"/>
    </row>
    <row r="38" spans="1:35">
      <c r="A38" s="36"/>
    </row>
    <row r="39" spans="1:35" ht="14">
      <c r="A39" s="37"/>
      <c r="B39" s="38"/>
      <c r="C39" s="38"/>
      <c r="D39" s="39"/>
      <c r="E39" s="39"/>
      <c r="F39" s="39"/>
      <c r="G39" s="39"/>
      <c r="H39" s="39"/>
      <c r="I39" s="39"/>
      <c r="J39" s="39"/>
      <c r="K39" s="39"/>
      <c r="L39" s="39"/>
      <c r="M39" s="42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2"/>
      <c r="AC39" s="42"/>
      <c r="AD39" s="39"/>
      <c r="AE39" s="39"/>
      <c r="AF39" s="39"/>
      <c r="AG39" s="39"/>
      <c r="AH39" s="39"/>
      <c r="AI39" s="39"/>
    </row>
    <row r="40" spans="1:35" ht="13">
      <c r="C40" s="5"/>
      <c r="D40" s="24" t="s">
        <v>18</v>
      </c>
      <c r="E40" s="31">
        <v>46082</v>
      </c>
      <c r="F40" s="8">
        <f>E40+1</f>
        <v>46083</v>
      </c>
      <c r="G40" s="8">
        <f>F40+1</f>
        <v>46084</v>
      </c>
      <c r="H40" s="8">
        <f t="shared" ref="H40:AI40" si="23">G40+1</f>
        <v>46085</v>
      </c>
      <c r="I40" s="8">
        <f t="shared" si="23"/>
        <v>46086</v>
      </c>
      <c r="J40" s="8">
        <f t="shared" si="23"/>
        <v>46087</v>
      </c>
      <c r="K40" s="8">
        <f t="shared" si="23"/>
        <v>46088</v>
      </c>
      <c r="L40" s="31">
        <f t="shared" si="23"/>
        <v>46089</v>
      </c>
      <c r="M40" s="8">
        <f t="shared" si="23"/>
        <v>46090</v>
      </c>
      <c r="N40" s="8">
        <f t="shared" si="23"/>
        <v>46091</v>
      </c>
      <c r="O40" s="8">
        <f t="shared" si="23"/>
        <v>46092</v>
      </c>
      <c r="P40" s="8">
        <f t="shared" si="23"/>
        <v>46093</v>
      </c>
      <c r="Q40" s="8">
        <f t="shared" si="23"/>
        <v>46094</v>
      </c>
      <c r="R40" s="8">
        <f t="shared" si="23"/>
        <v>46095</v>
      </c>
      <c r="S40" s="31">
        <f t="shared" si="23"/>
        <v>46096</v>
      </c>
      <c r="T40" s="8">
        <f t="shared" si="23"/>
        <v>46097</v>
      </c>
      <c r="U40" s="8">
        <f t="shared" si="23"/>
        <v>46098</v>
      </c>
      <c r="V40" s="8">
        <f t="shared" si="23"/>
        <v>46099</v>
      </c>
      <c r="W40" s="8">
        <f t="shared" si="23"/>
        <v>46100</v>
      </c>
      <c r="X40" s="8">
        <f t="shared" si="23"/>
        <v>46101</v>
      </c>
      <c r="Y40" s="8">
        <f t="shared" si="23"/>
        <v>46102</v>
      </c>
      <c r="Z40" s="31">
        <f t="shared" si="23"/>
        <v>46103</v>
      </c>
      <c r="AA40" s="8">
        <f t="shared" si="23"/>
        <v>46104</v>
      </c>
      <c r="AB40" s="8">
        <f t="shared" si="23"/>
        <v>46105</v>
      </c>
      <c r="AC40" s="8">
        <f t="shared" si="23"/>
        <v>46106</v>
      </c>
      <c r="AD40" s="8">
        <f t="shared" si="23"/>
        <v>46107</v>
      </c>
      <c r="AE40" s="8">
        <f t="shared" si="23"/>
        <v>46108</v>
      </c>
      <c r="AF40" s="8">
        <f t="shared" si="23"/>
        <v>46109</v>
      </c>
      <c r="AG40" s="8">
        <f t="shared" si="23"/>
        <v>46110</v>
      </c>
      <c r="AH40" s="8">
        <f t="shared" si="23"/>
        <v>46111</v>
      </c>
      <c r="AI40" s="8">
        <f t="shared" si="23"/>
        <v>46112</v>
      </c>
    </row>
    <row r="41" spans="1:35">
      <c r="C41" s="83" t="s">
        <v>208</v>
      </c>
      <c r="D41" s="116" t="s">
        <v>206</v>
      </c>
      <c r="E41" s="75">
        <f t="shared" ref="E41:AI41" si="24">E14/60</f>
        <v>0</v>
      </c>
      <c r="F41" s="75">
        <f t="shared" si="24"/>
        <v>0</v>
      </c>
      <c r="G41" s="75">
        <f t="shared" si="24"/>
        <v>0</v>
      </c>
      <c r="H41" s="75">
        <f t="shared" si="24"/>
        <v>0</v>
      </c>
      <c r="I41" s="75">
        <f t="shared" si="24"/>
        <v>0</v>
      </c>
      <c r="J41" s="75">
        <f t="shared" si="24"/>
        <v>3.7333333333333334</v>
      </c>
      <c r="K41" s="75">
        <f t="shared" si="24"/>
        <v>2.7333333333333334</v>
      </c>
      <c r="L41" s="75">
        <f t="shared" si="24"/>
        <v>8</v>
      </c>
      <c r="M41" s="75">
        <f t="shared" si="24"/>
        <v>0</v>
      </c>
      <c r="N41" s="75">
        <f t="shared" si="24"/>
        <v>0</v>
      </c>
      <c r="O41" s="75">
        <f t="shared" si="24"/>
        <v>0</v>
      </c>
      <c r="P41" s="75">
        <f t="shared" si="24"/>
        <v>0</v>
      </c>
      <c r="Q41" s="75">
        <f t="shared" si="24"/>
        <v>2.5333333333333332</v>
      </c>
      <c r="R41" s="75">
        <f t="shared" si="24"/>
        <v>0</v>
      </c>
      <c r="S41" s="75">
        <f t="shared" si="24"/>
        <v>0</v>
      </c>
      <c r="T41" s="75">
        <f t="shared" si="24"/>
        <v>2.2166666666666668</v>
      </c>
      <c r="U41" s="75">
        <f t="shared" si="24"/>
        <v>0</v>
      </c>
      <c r="V41" s="75">
        <f t="shared" si="24"/>
        <v>0</v>
      </c>
      <c r="W41" s="75">
        <f t="shared" si="24"/>
        <v>0</v>
      </c>
      <c r="X41" s="75">
        <f t="shared" si="24"/>
        <v>0</v>
      </c>
      <c r="Y41" s="75">
        <f t="shared" si="24"/>
        <v>0</v>
      </c>
      <c r="Z41" s="75">
        <f t="shared" si="24"/>
        <v>0</v>
      </c>
      <c r="AA41" s="75">
        <f t="shared" si="24"/>
        <v>0</v>
      </c>
      <c r="AB41" s="75">
        <f t="shared" si="24"/>
        <v>0</v>
      </c>
      <c r="AC41" s="75">
        <f t="shared" si="24"/>
        <v>0</v>
      </c>
      <c r="AD41" s="75">
        <f t="shared" si="24"/>
        <v>0</v>
      </c>
      <c r="AE41" s="75">
        <f t="shared" si="24"/>
        <v>0</v>
      </c>
      <c r="AF41" s="75">
        <f t="shared" si="24"/>
        <v>0</v>
      </c>
      <c r="AG41" s="75">
        <f t="shared" si="24"/>
        <v>0</v>
      </c>
      <c r="AH41" s="75">
        <f t="shared" si="24"/>
        <v>0</v>
      </c>
      <c r="AI41" s="75">
        <f t="shared" si="24"/>
        <v>0</v>
      </c>
    </row>
    <row r="42" spans="1:35">
      <c r="C42" s="83" t="s">
        <v>196</v>
      </c>
      <c r="D42" s="116"/>
      <c r="E42" s="75">
        <v>4</v>
      </c>
      <c r="F42" s="75">
        <v>4</v>
      </c>
      <c r="G42" s="75">
        <f>4*3/8</f>
        <v>1.5</v>
      </c>
      <c r="H42" s="75"/>
      <c r="I42" s="75">
        <v>3</v>
      </c>
      <c r="J42" s="75">
        <v>4</v>
      </c>
      <c r="K42" s="75">
        <v>4</v>
      </c>
      <c r="L42" s="75">
        <v>3.5</v>
      </c>
      <c r="M42" s="75">
        <v>4</v>
      </c>
      <c r="N42" s="75">
        <v>1.8</v>
      </c>
      <c r="O42" s="75">
        <v>3.5</v>
      </c>
      <c r="P42" s="75">
        <v>3.5</v>
      </c>
      <c r="Q42" s="75">
        <v>3.5</v>
      </c>
      <c r="R42" s="75">
        <v>3.5</v>
      </c>
      <c r="S42" s="75"/>
      <c r="T42" s="75">
        <v>3.5</v>
      </c>
      <c r="U42" s="75"/>
      <c r="V42" s="75"/>
      <c r="W42" s="75"/>
      <c r="X42" s="75"/>
      <c r="Y42" s="75"/>
      <c r="Z42" s="75"/>
      <c r="AA42" s="75">
        <v>4</v>
      </c>
      <c r="AB42" s="75">
        <v>1.5</v>
      </c>
      <c r="AC42" s="75">
        <v>2.5</v>
      </c>
      <c r="AD42" s="75">
        <v>2</v>
      </c>
      <c r="AE42" s="75">
        <v>4</v>
      </c>
      <c r="AF42" s="75">
        <v>3</v>
      </c>
      <c r="AG42" s="75"/>
      <c r="AH42" s="75"/>
      <c r="AI42" s="75"/>
    </row>
    <row r="43" spans="1:35">
      <c r="C43" s="83" t="s">
        <v>203</v>
      </c>
      <c r="D43" s="116"/>
      <c r="E43" s="75">
        <f>E42*E41</f>
        <v>0</v>
      </c>
      <c r="F43" s="75">
        <f t="shared" ref="F43:AI43" si="25">F42*F41</f>
        <v>0</v>
      </c>
      <c r="G43" s="75">
        <f t="shared" si="25"/>
        <v>0</v>
      </c>
      <c r="H43" s="75">
        <f>H42*H41</f>
        <v>0</v>
      </c>
      <c r="I43" s="75">
        <f t="shared" si="25"/>
        <v>0</v>
      </c>
      <c r="J43" s="75">
        <f t="shared" si="25"/>
        <v>14.933333333333334</v>
      </c>
      <c r="K43" s="75">
        <f t="shared" si="25"/>
        <v>10.933333333333334</v>
      </c>
      <c r="L43" s="75">
        <f t="shared" si="25"/>
        <v>28</v>
      </c>
      <c r="M43" s="75">
        <f t="shared" si="25"/>
        <v>0</v>
      </c>
      <c r="N43" s="75">
        <f t="shared" si="25"/>
        <v>0</v>
      </c>
      <c r="O43" s="75">
        <f t="shared" si="25"/>
        <v>0</v>
      </c>
      <c r="P43" s="75">
        <f t="shared" si="25"/>
        <v>0</v>
      </c>
      <c r="Q43" s="75">
        <f t="shared" si="25"/>
        <v>8.8666666666666671</v>
      </c>
      <c r="R43" s="75">
        <f t="shared" si="25"/>
        <v>0</v>
      </c>
      <c r="S43" s="75">
        <f t="shared" si="25"/>
        <v>0</v>
      </c>
      <c r="T43" s="75">
        <f t="shared" si="25"/>
        <v>7.7583333333333337</v>
      </c>
      <c r="U43" s="75">
        <f t="shared" si="25"/>
        <v>0</v>
      </c>
      <c r="V43" s="75">
        <f t="shared" si="25"/>
        <v>0</v>
      </c>
      <c r="W43" s="75">
        <f t="shared" si="25"/>
        <v>0</v>
      </c>
      <c r="X43" s="75">
        <f t="shared" si="25"/>
        <v>0</v>
      </c>
      <c r="Y43" s="75">
        <f t="shared" si="25"/>
        <v>0</v>
      </c>
      <c r="Z43" s="75">
        <f t="shared" si="25"/>
        <v>0</v>
      </c>
      <c r="AA43" s="75">
        <f t="shared" si="25"/>
        <v>0</v>
      </c>
      <c r="AB43" s="75">
        <f>AB42*AB41</f>
        <v>0</v>
      </c>
      <c r="AC43" s="75">
        <f>AC42*AC41</f>
        <v>0</v>
      </c>
      <c r="AD43" s="75">
        <f t="shared" si="25"/>
        <v>0</v>
      </c>
      <c r="AE43" s="75">
        <f t="shared" si="25"/>
        <v>0</v>
      </c>
      <c r="AF43" s="75">
        <f t="shared" si="25"/>
        <v>0</v>
      </c>
      <c r="AG43" s="75">
        <f t="shared" si="25"/>
        <v>0</v>
      </c>
      <c r="AH43" s="75">
        <f t="shared" si="25"/>
        <v>0</v>
      </c>
      <c r="AI43" s="75">
        <f t="shared" si="25"/>
        <v>0</v>
      </c>
    </row>
    <row r="44" spans="1:35" ht="25">
      <c r="C44" s="83" t="s">
        <v>214</v>
      </c>
      <c r="D44" s="116"/>
      <c r="E44" s="75">
        <f t="shared" ref="E44:AI44" si="26">E16/60*(E42)</f>
        <v>12</v>
      </c>
      <c r="F44" s="75">
        <f t="shared" si="26"/>
        <v>20</v>
      </c>
      <c r="G44" s="75">
        <f t="shared" si="26"/>
        <v>1.9750000000000001</v>
      </c>
      <c r="H44" s="75">
        <f t="shared" si="26"/>
        <v>0</v>
      </c>
      <c r="I44" s="75">
        <f t="shared" si="26"/>
        <v>7.9</v>
      </c>
      <c r="J44" s="75">
        <f t="shared" si="26"/>
        <v>0</v>
      </c>
      <c r="K44" s="75">
        <f t="shared" si="26"/>
        <v>0</v>
      </c>
      <c r="L44" s="75">
        <f t="shared" si="26"/>
        <v>0</v>
      </c>
      <c r="M44" s="75">
        <f t="shared" si="26"/>
        <v>7.2</v>
      </c>
      <c r="N44" s="75">
        <f t="shared" si="26"/>
        <v>1.53</v>
      </c>
      <c r="O44" s="75">
        <f t="shared" si="26"/>
        <v>21.349999999999998</v>
      </c>
      <c r="P44" s="75">
        <f t="shared" si="26"/>
        <v>8.6333333333333329</v>
      </c>
      <c r="Q44" s="75">
        <f t="shared" si="26"/>
        <v>0</v>
      </c>
      <c r="R44" s="75">
        <f t="shared" si="26"/>
        <v>14.525000000000002</v>
      </c>
      <c r="S44" s="75">
        <f t="shared" si="26"/>
        <v>0</v>
      </c>
      <c r="T44" s="75">
        <f t="shared" si="26"/>
        <v>4.0249999999999995</v>
      </c>
      <c r="U44" s="75">
        <f t="shared" si="26"/>
        <v>0</v>
      </c>
      <c r="V44" s="75">
        <f t="shared" si="26"/>
        <v>0</v>
      </c>
      <c r="W44" s="75">
        <f t="shared" si="26"/>
        <v>0</v>
      </c>
      <c r="X44" s="75">
        <f t="shared" si="26"/>
        <v>0</v>
      </c>
      <c r="Y44" s="75">
        <f t="shared" si="26"/>
        <v>0</v>
      </c>
      <c r="Z44" s="75">
        <f t="shared" si="26"/>
        <v>0</v>
      </c>
      <c r="AA44" s="75">
        <f t="shared" si="26"/>
        <v>0</v>
      </c>
      <c r="AB44" s="75">
        <f>AB16/60*(AB42)</f>
        <v>0</v>
      </c>
      <c r="AC44" s="75">
        <f>AC16/60*(AC42)</f>
        <v>0</v>
      </c>
      <c r="AD44" s="75">
        <f t="shared" si="26"/>
        <v>0</v>
      </c>
      <c r="AE44" s="75">
        <f t="shared" si="26"/>
        <v>0</v>
      </c>
      <c r="AF44" s="75">
        <f t="shared" si="26"/>
        <v>0</v>
      </c>
      <c r="AG44" s="75">
        <f t="shared" si="26"/>
        <v>0</v>
      </c>
      <c r="AH44" s="75">
        <f t="shared" si="26"/>
        <v>0</v>
      </c>
      <c r="AI44" s="75">
        <f t="shared" si="26"/>
        <v>0</v>
      </c>
    </row>
    <row r="45" spans="1:35">
      <c r="C45" s="84" t="s">
        <v>208</v>
      </c>
      <c r="D45" s="116"/>
      <c r="E45" s="76">
        <f t="shared" ref="E45:AA45" si="27">E24/60</f>
        <v>0</v>
      </c>
      <c r="F45" s="76">
        <f t="shared" si="27"/>
        <v>0</v>
      </c>
      <c r="G45" s="76">
        <f t="shared" si="27"/>
        <v>0</v>
      </c>
      <c r="H45" s="76">
        <f t="shared" si="27"/>
        <v>0</v>
      </c>
      <c r="I45" s="76">
        <f t="shared" si="27"/>
        <v>0</v>
      </c>
      <c r="J45" s="76">
        <f t="shared" si="27"/>
        <v>0</v>
      </c>
      <c r="K45" s="76">
        <f t="shared" si="27"/>
        <v>4.5666666666666664</v>
      </c>
      <c r="L45" s="76">
        <f t="shared" si="27"/>
        <v>8</v>
      </c>
      <c r="M45" s="76">
        <f t="shared" si="27"/>
        <v>0</v>
      </c>
      <c r="N45" s="76">
        <f t="shared" si="27"/>
        <v>0</v>
      </c>
      <c r="O45" s="76">
        <f t="shared" si="27"/>
        <v>4.1833333333333336</v>
      </c>
      <c r="P45" s="76">
        <f t="shared" si="27"/>
        <v>3.1833333333333331</v>
      </c>
      <c r="Q45" s="76">
        <f t="shared" si="27"/>
        <v>0</v>
      </c>
      <c r="R45" s="76">
        <f t="shared" si="27"/>
        <v>0</v>
      </c>
      <c r="S45" s="76">
        <f t="shared" si="27"/>
        <v>0</v>
      </c>
      <c r="T45" s="76">
        <f t="shared" si="27"/>
        <v>0</v>
      </c>
      <c r="U45" s="76">
        <f t="shared" si="27"/>
        <v>0</v>
      </c>
      <c r="V45" s="76">
        <f t="shared" si="27"/>
        <v>0</v>
      </c>
      <c r="W45" s="76">
        <f t="shared" si="27"/>
        <v>0</v>
      </c>
      <c r="X45" s="76">
        <f t="shared" si="27"/>
        <v>0</v>
      </c>
      <c r="Y45" s="76">
        <f t="shared" si="27"/>
        <v>0</v>
      </c>
      <c r="Z45" s="76">
        <f t="shared" si="27"/>
        <v>0</v>
      </c>
      <c r="AA45" s="76">
        <f t="shared" si="27"/>
        <v>0</v>
      </c>
      <c r="AB45" s="76">
        <f>AB24/60</f>
        <v>0</v>
      </c>
      <c r="AC45" s="76">
        <f>AC24/60</f>
        <v>0</v>
      </c>
      <c r="AD45" s="76">
        <f t="shared" ref="AD45:AI45" si="28">AD24/60</f>
        <v>0</v>
      </c>
      <c r="AE45" s="76">
        <f t="shared" si="28"/>
        <v>0</v>
      </c>
      <c r="AF45" s="76">
        <f t="shared" si="28"/>
        <v>0</v>
      </c>
      <c r="AG45" s="76">
        <f t="shared" si="28"/>
        <v>0</v>
      </c>
      <c r="AH45" s="76">
        <f t="shared" si="28"/>
        <v>0</v>
      </c>
      <c r="AI45" s="76">
        <f t="shared" si="28"/>
        <v>0</v>
      </c>
    </row>
    <row r="46" spans="1:35">
      <c r="C46" s="84" t="s">
        <v>196</v>
      </c>
      <c r="D46" s="116"/>
      <c r="E46" s="76">
        <v>4</v>
      </c>
      <c r="F46" s="76">
        <v>4</v>
      </c>
      <c r="G46" s="76">
        <f>4*5/8</f>
        <v>2.5</v>
      </c>
      <c r="H46" s="76"/>
      <c r="I46" s="76"/>
      <c r="J46" s="76">
        <v>4</v>
      </c>
      <c r="K46" s="76">
        <v>4</v>
      </c>
      <c r="L46" s="76">
        <v>3.5</v>
      </c>
      <c r="M46" s="76">
        <v>4</v>
      </c>
      <c r="N46" s="76">
        <v>3.5</v>
      </c>
      <c r="O46" s="76">
        <v>3.5</v>
      </c>
      <c r="P46" s="76">
        <v>3.5</v>
      </c>
      <c r="Q46" s="76">
        <v>3.5</v>
      </c>
      <c r="R46" s="76">
        <v>3.5</v>
      </c>
      <c r="S46" s="76"/>
      <c r="T46" s="76">
        <v>3.5</v>
      </c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</row>
    <row r="47" spans="1:35">
      <c r="C47" s="84" t="s">
        <v>204</v>
      </c>
      <c r="D47" s="116"/>
      <c r="E47" s="76">
        <f t="shared" ref="E47:AA47" si="29">E46*E45</f>
        <v>0</v>
      </c>
      <c r="F47" s="76">
        <f t="shared" si="29"/>
        <v>0</v>
      </c>
      <c r="G47" s="76">
        <f t="shared" si="29"/>
        <v>0</v>
      </c>
      <c r="H47" s="76">
        <f t="shared" si="29"/>
        <v>0</v>
      </c>
      <c r="I47" s="76">
        <f t="shared" si="29"/>
        <v>0</v>
      </c>
      <c r="J47" s="76">
        <f t="shared" si="29"/>
        <v>0</v>
      </c>
      <c r="K47" s="76">
        <f t="shared" si="29"/>
        <v>18.266666666666666</v>
      </c>
      <c r="L47" s="76">
        <f t="shared" si="29"/>
        <v>28</v>
      </c>
      <c r="M47" s="76">
        <f t="shared" si="29"/>
        <v>0</v>
      </c>
      <c r="N47" s="76">
        <f t="shared" si="29"/>
        <v>0</v>
      </c>
      <c r="O47" s="76">
        <f t="shared" si="29"/>
        <v>14.641666666666667</v>
      </c>
      <c r="P47" s="76">
        <f t="shared" si="29"/>
        <v>11.141666666666666</v>
      </c>
      <c r="Q47" s="76">
        <f t="shared" si="29"/>
        <v>0</v>
      </c>
      <c r="R47" s="76">
        <f t="shared" si="29"/>
        <v>0</v>
      </c>
      <c r="S47" s="76">
        <f t="shared" si="29"/>
        <v>0</v>
      </c>
      <c r="T47" s="76">
        <f t="shared" si="29"/>
        <v>0</v>
      </c>
      <c r="U47" s="76">
        <f t="shared" si="29"/>
        <v>0</v>
      </c>
      <c r="V47" s="76">
        <f t="shared" si="29"/>
        <v>0</v>
      </c>
      <c r="W47" s="76">
        <f t="shared" si="29"/>
        <v>0</v>
      </c>
      <c r="X47" s="76">
        <f t="shared" si="29"/>
        <v>0</v>
      </c>
      <c r="Y47" s="76">
        <f t="shared" si="29"/>
        <v>0</v>
      </c>
      <c r="Z47" s="76">
        <f t="shared" si="29"/>
        <v>0</v>
      </c>
      <c r="AA47" s="76">
        <f t="shared" si="29"/>
        <v>0</v>
      </c>
      <c r="AB47" s="76">
        <f>AB46*AB45</f>
        <v>0</v>
      </c>
      <c r="AC47" s="76">
        <f>AC46*AC45</f>
        <v>0</v>
      </c>
      <c r="AD47" s="76">
        <f t="shared" ref="AD47:AI47" si="30">AD46*AD45</f>
        <v>0</v>
      </c>
      <c r="AE47" s="76">
        <f t="shared" si="30"/>
        <v>0</v>
      </c>
      <c r="AF47" s="76">
        <f t="shared" si="30"/>
        <v>0</v>
      </c>
      <c r="AG47" s="76">
        <f t="shared" si="30"/>
        <v>0</v>
      </c>
      <c r="AH47" s="76">
        <f t="shared" si="30"/>
        <v>0</v>
      </c>
      <c r="AI47" s="76">
        <f t="shared" si="30"/>
        <v>0</v>
      </c>
    </row>
    <row r="48" spans="1:35" ht="25">
      <c r="C48" s="84" t="s">
        <v>215</v>
      </c>
      <c r="D48" s="116"/>
      <c r="E48" s="76">
        <f t="shared" ref="E48:AA48" si="31">E26/60*(E46)</f>
        <v>19</v>
      </c>
      <c r="F48" s="76">
        <f t="shared" si="31"/>
        <v>16</v>
      </c>
      <c r="G48" s="76">
        <f t="shared" si="31"/>
        <v>3.458333333333333</v>
      </c>
      <c r="H48" s="76">
        <f t="shared" si="31"/>
        <v>0</v>
      </c>
      <c r="I48" s="76">
        <f t="shared" si="31"/>
        <v>0</v>
      </c>
      <c r="J48" s="76">
        <f t="shared" si="31"/>
        <v>21.533333333333335</v>
      </c>
      <c r="K48" s="76">
        <f t="shared" si="31"/>
        <v>0</v>
      </c>
      <c r="L48" s="76">
        <f t="shared" si="31"/>
        <v>0</v>
      </c>
      <c r="M48" s="76">
        <f t="shared" si="31"/>
        <v>11</v>
      </c>
      <c r="N48" s="76">
        <f t="shared" si="31"/>
        <v>16.391666666666666</v>
      </c>
      <c r="O48" s="76">
        <f t="shared" si="31"/>
        <v>0</v>
      </c>
      <c r="P48" s="76">
        <f t="shared" si="31"/>
        <v>0</v>
      </c>
      <c r="Q48" s="76">
        <f t="shared" si="31"/>
        <v>26.716666666666669</v>
      </c>
      <c r="R48" s="76">
        <f t="shared" si="31"/>
        <v>28.875</v>
      </c>
      <c r="S48" s="76">
        <f t="shared" si="31"/>
        <v>0</v>
      </c>
      <c r="T48" s="76">
        <f t="shared" si="31"/>
        <v>0</v>
      </c>
      <c r="U48" s="76">
        <f t="shared" si="31"/>
        <v>0</v>
      </c>
      <c r="V48" s="76">
        <f t="shared" si="31"/>
        <v>0</v>
      </c>
      <c r="W48" s="76">
        <f t="shared" si="31"/>
        <v>0</v>
      </c>
      <c r="X48" s="76">
        <f t="shared" si="31"/>
        <v>0</v>
      </c>
      <c r="Y48" s="76">
        <f t="shared" si="31"/>
        <v>0</v>
      </c>
      <c r="Z48" s="76">
        <f t="shared" si="31"/>
        <v>0</v>
      </c>
      <c r="AA48" s="76">
        <f t="shared" si="31"/>
        <v>0</v>
      </c>
      <c r="AB48" s="76">
        <f>AB26/60*(AB46)</f>
        <v>0</v>
      </c>
      <c r="AC48" s="76">
        <f>AC26/60*(AC46)</f>
        <v>0</v>
      </c>
      <c r="AD48" s="76">
        <f t="shared" ref="AD48:AI48" si="32">AD26/60*(AD46)</f>
        <v>0</v>
      </c>
      <c r="AE48" s="76">
        <f t="shared" si="32"/>
        <v>0</v>
      </c>
      <c r="AF48" s="76">
        <f t="shared" si="32"/>
        <v>0</v>
      </c>
      <c r="AG48" s="76">
        <f t="shared" si="32"/>
        <v>0</v>
      </c>
      <c r="AH48" s="76">
        <f t="shared" si="32"/>
        <v>0</v>
      </c>
      <c r="AI48" s="76">
        <f t="shared" si="32"/>
        <v>0</v>
      </c>
    </row>
    <row r="49" spans="2:35">
      <c r="B49" s="68" t="s">
        <v>211</v>
      </c>
      <c r="C49" s="85" t="s">
        <v>208</v>
      </c>
      <c r="D49" s="116"/>
      <c r="E49" s="77">
        <f t="shared" ref="E49:AA49" si="33">E34/60</f>
        <v>0</v>
      </c>
      <c r="F49" s="77">
        <f t="shared" si="33"/>
        <v>0</v>
      </c>
      <c r="G49" s="77">
        <f t="shared" si="33"/>
        <v>0</v>
      </c>
      <c r="H49" s="77">
        <f t="shared" si="33"/>
        <v>0</v>
      </c>
      <c r="I49" s="77">
        <f t="shared" si="33"/>
        <v>0</v>
      </c>
      <c r="J49" s="77">
        <f t="shared" si="33"/>
        <v>0</v>
      </c>
      <c r="K49" s="77">
        <f t="shared" si="33"/>
        <v>0</v>
      </c>
      <c r="L49" s="77">
        <f t="shared" si="33"/>
        <v>0</v>
      </c>
      <c r="M49" s="77">
        <f t="shared" si="33"/>
        <v>0</v>
      </c>
      <c r="N49" s="77">
        <f t="shared" si="33"/>
        <v>0</v>
      </c>
      <c r="O49" s="77">
        <f t="shared" si="33"/>
        <v>1.35</v>
      </c>
      <c r="P49" s="77">
        <f t="shared" si="33"/>
        <v>0</v>
      </c>
      <c r="Q49" s="77">
        <f t="shared" si="33"/>
        <v>0</v>
      </c>
      <c r="R49" s="77">
        <f t="shared" si="33"/>
        <v>0</v>
      </c>
      <c r="S49" s="77">
        <f t="shared" si="33"/>
        <v>0</v>
      </c>
      <c r="T49" s="77">
        <f t="shared" si="33"/>
        <v>0</v>
      </c>
      <c r="U49" s="77">
        <f t="shared" si="33"/>
        <v>0</v>
      </c>
      <c r="V49" s="77">
        <f t="shared" si="33"/>
        <v>0</v>
      </c>
      <c r="W49" s="77">
        <f t="shared" si="33"/>
        <v>0</v>
      </c>
      <c r="X49" s="77">
        <f t="shared" si="33"/>
        <v>0</v>
      </c>
      <c r="Y49" s="77">
        <f t="shared" si="33"/>
        <v>0</v>
      </c>
      <c r="Z49" s="77">
        <f t="shared" si="33"/>
        <v>0</v>
      </c>
      <c r="AA49" s="77">
        <f t="shared" si="33"/>
        <v>0</v>
      </c>
      <c r="AB49" s="77">
        <f>AB34/60</f>
        <v>0</v>
      </c>
      <c r="AC49" s="77">
        <f>AC34/60</f>
        <v>0</v>
      </c>
      <c r="AD49" s="77">
        <f t="shared" ref="AD49:AI49" si="34">AD34/60</f>
        <v>0</v>
      </c>
      <c r="AE49" s="77">
        <f t="shared" si="34"/>
        <v>0</v>
      </c>
      <c r="AF49" s="77">
        <f t="shared" si="34"/>
        <v>0</v>
      </c>
      <c r="AG49" s="77">
        <f t="shared" si="34"/>
        <v>0</v>
      </c>
      <c r="AH49" s="77">
        <f t="shared" si="34"/>
        <v>0</v>
      </c>
      <c r="AI49" s="77">
        <f t="shared" si="34"/>
        <v>0</v>
      </c>
    </row>
    <row r="50" spans="2:35">
      <c r="C50" s="85" t="s">
        <v>196</v>
      </c>
      <c r="D50" s="116"/>
      <c r="E50" s="77">
        <v>4</v>
      </c>
      <c r="F50" s="77">
        <v>4</v>
      </c>
      <c r="G50" s="77">
        <v>3</v>
      </c>
      <c r="H50" s="77"/>
      <c r="I50" s="77">
        <v>4</v>
      </c>
      <c r="J50" s="77">
        <v>4</v>
      </c>
      <c r="K50" s="77">
        <v>4</v>
      </c>
      <c r="L50" s="77">
        <v>4</v>
      </c>
      <c r="M50" s="77">
        <v>4</v>
      </c>
      <c r="N50" s="77">
        <v>3</v>
      </c>
      <c r="O50" s="77">
        <v>4</v>
      </c>
      <c r="P50" s="77">
        <v>4</v>
      </c>
      <c r="Q50" s="77">
        <v>3</v>
      </c>
      <c r="R50" s="77">
        <v>4</v>
      </c>
      <c r="S50" s="77"/>
      <c r="T50" s="77">
        <v>4</v>
      </c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</row>
    <row r="51" spans="2:35">
      <c r="C51" s="85" t="s">
        <v>205</v>
      </c>
      <c r="D51" s="116"/>
      <c r="E51" s="77">
        <f>E50*E49</f>
        <v>0</v>
      </c>
      <c r="F51" s="77">
        <f t="shared" ref="F51:AA51" si="35">F50*F49</f>
        <v>0</v>
      </c>
      <c r="G51" s="77">
        <f t="shared" si="35"/>
        <v>0</v>
      </c>
      <c r="H51" s="77">
        <f t="shared" si="35"/>
        <v>0</v>
      </c>
      <c r="I51" s="77">
        <f t="shared" si="35"/>
        <v>0</v>
      </c>
      <c r="J51" s="77">
        <f t="shared" si="35"/>
        <v>0</v>
      </c>
      <c r="K51" s="77">
        <f t="shared" si="35"/>
        <v>0</v>
      </c>
      <c r="L51" s="77">
        <f t="shared" si="35"/>
        <v>0</v>
      </c>
      <c r="M51" s="77">
        <f t="shared" si="35"/>
        <v>0</v>
      </c>
      <c r="N51" s="77">
        <f t="shared" si="35"/>
        <v>0</v>
      </c>
      <c r="O51" s="77">
        <f t="shared" si="35"/>
        <v>5.4</v>
      </c>
      <c r="P51" s="77">
        <f t="shared" si="35"/>
        <v>0</v>
      </c>
      <c r="Q51" s="77">
        <f t="shared" si="35"/>
        <v>0</v>
      </c>
      <c r="R51" s="77">
        <f t="shared" si="35"/>
        <v>0</v>
      </c>
      <c r="S51" s="77">
        <f t="shared" si="35"/>
        <v>0</v>
      </c>
      <c r="T51" s="77">
        <f t="shared" si="35"/>
        <v>0</v>
      </c>
      <c r="U51" s="77">
        <f t="shared" si="35"/>
        <v>0</v>
      </c>
      <c r="V51" s="77">
        <f t="shared" si="35"/>
        <v>0</v>
      </c>
      <c r="W51" s="77">
        <f t="shared" si="35"/>
        <v>0</v>
      </c>
      <c r="X51" s="77">
        <f t="shared" si="35"/>
        <v>0</v>
      </c>
      <c r="Y51" s="77">
        <f t="shared" si="35"/>
        <v>0</v>
      </c>
      <c r="Z51" s="77">
        <f t="shared" si="35"/>
        <v>0</v>
      </c>
      <c r="AA51" s="77">
        <f t="shared" si="35"/>
        <v>0</v>
      </c>
      <c r="AB51" s="77">
        <f>AB50*AB49</f>
        <v>0</v>
      </c>
      <c r="AC51" s="77">
        <f>AC50*AC49</f>
        <v>0</v>
      </c>
      <c r="AD51" s="77">
        <f t="shared" ref="AD51:AI51" si="36">AD50*AD49</f>
        <v>0</v>
      </c>
      <c r="AE51" s="77">
        <f t="shared" si="36"/>
        <v>0</v>
      </c>
      <c r="AF51" s="77">
        <f t="shared" si="36"/>
        <v>0</v>
      </c>
      <c r="AG51" s="77">
        <f t="shared" si="36"/>
        <v>0</v>
      </c>
      <c r="AH51" s="77">
        <f t="shared" si="36"/>
        <v>0</v>
      </c>
      <c r="AI51" s="77">
        <f t="shared" si="36"/>
        <v>0</v>
      </c>
    </row>
    <row r="52" spans="2:35" ht="25">
      <c r="C52" s="85" t="s">
        <v>216</v>
      </c>
      <c r="D52" s="116"/>
      <c r="E52" s="77">
        <f t="shared" ref="E52:AA52" si="37">E36/60*(E50)</f>
        <v>12.666666666666666</v>
      </c>
      <c r="F52" s="77">
        <f t="shared" si="37"/>
        <v>13.133333333333333</v>
      </c>
      <c r="G52" s="77">
        <f t="shared" si="37"/>
        <v>12</v>
      </c>
      <c r="H52" s="77">
        <f t="shared" si="37"/>
        <v>0</v>
      </c>
      <c r="I52" s="77">
        <f t="shared" si="37"/>
        <v>0</v>
      </c>
      <c r="J52" s="77">
        <f t="shared" si="37"/>
        <v>0</v>
      </c>
      <c r="K52" s="77">
        <f t="shared" si="37"/>
        <v>3.6</v>
      </c>
      <c r="L52" s="77">
        <f t="shared" si="37"/>
        <v>21.333333333333332</v>
      </c>
      <c r="M52" s="77">
        <f t="shared" si="37"/>
        <v>5.333333333333333</v>
      </c>
      <c r="N52" s="77">
        <f t="shared" si="37"/>
        <v>13.7</v>
      </c>
      <c r="O52" s="77">
        <f t="shared" si="37"/>
        <v>10.866666666666667</v>
      </c>
      <c r="P52" s="77">
        <f t="shared" si="37"/>
        <v>21.666666666666668</v>
      </c>
      <c r="Q52" s="77">
        <f t="shared" si="37"/>
        <v>17.399999999999999</v>
      </c>
      <c r="R52" s="77">
        <f t="shared" si="37"/>
        <v>18.066666666666666</v>
      </c>
      <c r="S52" s="77">
        <f t="shared" si="37"/>
        <v>0</v>
      </c>
      <c r="T52" s="77">
        <f t="shared" si="37"/>
        <v>0</v>
      </c>
      <c r="U52" s="77">
        <f t="shared" si="37"/>
        <v>0</v>
      </c>
      <c r="V52" s="77">
        <f t="shared" si="37"/>
        <v>0</v>
      </c>
      <c r="W52" s="77">
        <f t="shared" si="37"/>
        <v>0</v>
      </c>
      <c r="X52" s="77">
        <f t="shared" si="37"/>
        <v>0</v>
      </c>
      <c r="Y52" s="77">
        <f t="shared" si="37"/>
        <v>0</v>
      </c>
      <c r="Z52" s="77">
        <f t="shared" si="37"/>
        <v>0</v>
      </c>
      <c r="AA52" s="77">
        <f t="shared" si="37"/>
        <v>0</v>
      </c>
      <c r="AB52" s="77">
        <f>AB36/60*(AB50)</f>
        <v>0</v>
      </c>
      <c r="AC52" s="77">
        <f>AC36/60*(AC50)</f>
        <v>0</v>
      </c>
      <c r="AD52" s="77">
        <f t="shared" ref="AD52:AI52" si="38">AD36/60*(AD50)</f>
        <v>0</v>
      </c>
      <c r="AE52" s="77">
        <f t="shared" si="38"/>
        <v>0</v>
      </c>
      <c r="AF52" s="77">
        <f t="shared" si="38"/>
        <v>0</v>
      </c>
      <c r="AG52" s="77">
        <f t="shared" si="38"/>
        <v>0</v>
      </c>
      <c r="AH52" s="77">
        <f t="shared" si="38"/>
        <v>0</v>
      </c>
      <c r="AI52" s="77">
        <f t="shared" si="38"/>
        <v>0</v>
      </c>
    </row>
    <row r="53" spans="2:35">
      <c r="C53" s="83" t="s">
        <v>208</v>
      </c>
      <c r="D53" s="117" t="s">
        <v>207</v>
      </c>
      <c r="E53" s="75">
        <f>E15/60</f>
        <v>0</v>
      </c>
      <c r="F53" s="75">
        <f t="shared" ref="F53:AI53" si="39">F15/60</f>
        <v>0</v>
      </c>
      <c r="G53" s="75">
        <f t="shared" si="39"/>
        <v>0</v>
      </c>
      <c r="H53" s="75">
        <f t="shared" si="39"/>
        <v>0</v>
      </c>
      <c r="I53" s="75">
        <f t="shared" si="39"/>
        <v>0</v>
      </c>
      <c r="J53" s="75">
        <f t="shared" si="39"/>
        <v>0.95</v>
      </c>
      <c r="K53" s="75">
        <f t="shared" si="39"/>
        <v>0</v>
      </c>
      <c r="L53" s="75">
        <f t="shared" si="39"/>
        <v>0</v>
      </c>
      <c r="M53" s="75">
        <f t="shared" si="39"/>
        <v>0</v>
      </c>
      <c r="N53" s="75">
        <f t="shared" si="39"/>
        <v>0</v>
      </c>
      <c r="O53" s="75">
        <f t="shared" si="39"/>
        <v>0</v>
      </c>
      <c r="P53" s="75">
        <f t="shared" si="39"/>
        <v>0</v>
      </c>
      <c r="Q53" s="75">
        <f t="shared" si="39"/>
        <v>0</v>
      </c>
      <c r="R53" s="75">
        <f t="shared" si="39"/>
        <v>0</v>
      </c>
      <c r="S53" s="75">
        <f t="shared" si="39"/>
        <v>0</v>
      </c>
      <c r="T53" s="75">
        <f t="shared" si="39"/>
        <v>2.2166666666666668</v>
      </c>
      <c r="U53" s="75">
        <f t="shared" si="39"/>
        <v>0</v>
      </c>
      <c r="V53" s="75">
        <f t="shared" si="39"/>
        <v>0</v>
      </c>
      <c r="W53" s="75">
        <f t="shared" si="39"/>
        <v>0</v>
      </c>
      <c r="X53" s="75">
        <f t="shared" si="39"/>
        <v>0</v>
      </c>
      <c r="Y53" s="75">
        <f t="shared" si="39"/>
        <v>0</v>
      </c>
      <c r="Z53" s="75">
        <f t="shared" si="39"/>
        <v>0</v>
      </c>
      <c r="AA53" s="75">
        <f t="shared" si="39"/>
        <v>0</v>
      </c>
      <c r="AB53" s="75">
        <f t="shared" si="39"/>
        <v>0</v>
      </c>
      <c r="AC53" s="75">
        <f t="shared" si="39"/>
        <v>0</v>
      </c>
      <c r="AD53" s="75">
        <f t="shared" si="39"/>
        <v>0</v>
      </c>
      <c r="AE53" s="75">
        <f t="shared" si="39"/>
        <v>0</v>
      </c>
      <c r="AF53" s="75">
        <f t="shared" si="39"/>
        <v>0</v>
      </c>
      <c r="AG53" s="75">
        <f t="shared" si="39"/>
        <v>0</v>
      </c>
      <c r="AH53" s="75">
        <f t="shared" si="39"/>
        <v>0</v>
      </c>
      <c r="AI53" s="75">
        <f t="shared" si="39"/>
        <v>0</v>
      </c>
    </row>
    <row r="54" spans="2:35">
      <c r="C54" s="83" t="s">
        <v>196</v>
      </c>
      <c r="D54" s="117"/>
      <c r="E54" s="75"/>
      <c r="F54" s="75">
        <v>1</v>
      </c>
      <c r="G54" s="75"/>
      <c r="H54" s="75"/>
      <c r="I54" s="75"/>
      <c r="J54" s="75">
        <v>2</v>
      </c>
      <c r="K54" s="75"/>
      <c r="L54" s="75">
        <v>2</v>
      </c>
      <c r="M54" s="75">
        <v>2</v>
      </c>
      <c r="N54" s="75"/>
      <c r="O54" s="75">
        <v>2</v>
      </c>
      <c r="P54" s="75">
        <v>0</v>
      </c>
      <c r="Q54" s="75">
        <v>0</v>
      </c>
      <c r="R54" s="75">
        <v>3</v>
      </c>
      <c r="S54" s="75"/>
      <c r="T54" s="75">
        <v>3.5</v>
      </c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</row>
    <row r="55" spans="2:35">
      <c r="C55" s="83" t="s">
        <v>203</v>
      </c>
      <c r="D55" s="117"/>
      <c r="E55" s="75">
        <f>E54*E53</f>
        <v>0</v>
      </c>
      <c r="F55" s="75">
        <f t="shared" ref="F55:AI55" si="40">F54*F53</f>
        <v>0</v>
      </c>
      <c r="G55" s="75">
        <f t="shared" si="40"/>
        <v>0</v>
      </c>
      <c r="H55" s="75">
        <f t="shared" si="40"/>
        <v>0</v>
      </c>
      <c r="I55" s="75">
        <f t="shared" si="40"/>
        <v>0</v>
      </c>
      <c r="J55" s="75">
        <f t="shared" si="40"/>
        <v>1.9</v>
      </c>
      <c r="K55" s="75">
        <f t="shared" si="40"/>
        <v>0</v>
      </c>
      <c r="L55" s="75">
        <f t="shared" si="40"/>
        <v>0</v>
      </c>
      <c r="M55" s="75">
        <f t="shared" si="40"/>
        <v>0</v>
      </c>
      <c r="N55" s="75">
        <f t="shared" si="40"/>
        <v>0</v>
      </c>
      <c r="O55" s="75">
        <f t="shared" si="40"/>
        <v>0</v>
      </c>
      <c r="P55" s="75">
        <f t="shared" si="40"/>
        <v>0</v>
      </c>
      <c r="Q55" s="75">
        <f t="shared" si="40"/>
        <v>0</v>
      </c>
      <c r="R55" s="75">
        <f t="shared" si="40"/>
        <v>0</v>
      </c>
      <c r="S55" s="75">
        <f t="shared" si="40"/>
        <v>0</v>
      </c>
      <c r="T55" s="75">
        <f t="shared" si="40"/>
        <v>7.7583333333333337</v>
      </c>
      <c r="U55" s="75">
        <f t="shared" si="40"/>
        <v>0</v>
      </c>
      <c r="V55" s="75">
        <f t="shared" si="40"/>
        <v>0</v>
      </c>
      <c r="W55" s="75">
        <f t="shared" si="40"/>
        <v>0</v>
      </c>
      <c r="X55" s="75">
        <f t="shared" si="40"/>
        <v>0</v>
      </c>
      <c r="Y55" s="75">
        <f t="shared" si="40"/>
        <v>0</v>
      </c>
      <c r="Z55" s="75">
        <f t="shared" si="40"/>
        <v>0</v>
      </c>
      <c r="AA55" s="75">
        <f t="shared" si="40"/>
        <v>0</v>
      </c>
      <c r="AB55" s="75">
        <f>AB54*AB53</f>
        <v>0</v>
      </c>
      <c r="AC55" s="75">
        <f>AC54*AC53</f>
        <v>0</v>
      </c>
      <c r="AD55" s="75">
        <f t="shared" si="40"/>
        <v>0</v>
      </c>
      <c r="AE55" s="75">
        <f t="shared" si="40"/>
        <v>0</v>
      </c>
      <c r="AF55" s="75">
        <f t="shared" si="40"/>
        <v>0</v>
      </c>
      <c r="AG55" s="75">
        <f t="shared" si="40"/>
        <v>0</v>
      </c>
      <c r="AH55" s="75">
        <f t="shared" si="40"/>
        <v>0</v>
      </c>
      <c r="AI55" s="75">
        <f t="shared" si="40"/>
        <v>0</v>
      </c>
    </row>
    <row r="56" spans="2:35">
      <c r="C56" s="84" t="s">
        <v>208</v>
      </c>
      <c r="D56" s="117"/>
      <c r="E56" s="76">
        <f>E25/60</f>
        <v>0</v>
      </c>
      <c r="F56" s="76">
        <f t="shared" ref="F56:AI56" si="41">F25/60</f>
        <v>0</v>
      </c>
      <c r="G56" s="76">
        <f t="shared" si="41"/>
        <v>0</v>
      </c>
      <c r="H56" s="76">
        <f t="shared" si="41"/>
        <v>0</v>
      </c>
      <c r="I56" s="76">
        <f t="shared" si="41"/>
        <v>0</v>
      </c>
      <c r="J56" s="76">
        <f t="shared" si="41"/>
        <v>0</v>
      </c>
      <c r="K56" s="76">
        <f t="shared" si="41"/>
        <v>0</v>
      </c>
      <c r="L56" s="76">
        <f t="shared" si="41"/>
        <v>0</v>
      </c>
      <c r="M56" s="76">
        <f t="shared" si="41"/>
        <v>0</v>
      </c>
      <c r="N56" s="76">
        <f t="shared" si="41"/>
        <v>0</v>
      </c>
      <c r="O56" s="76">
        <f t="shared" si="41"/>
        <v>5.6333333333333337</v>
      </c>
      <c r="P56" s="76">
        <f t="shared" si="41"/>
        <v>5.8166666666666664</v>
      </c>
      <c r="Q56" s="76">
        <f t="shared" si="41"/>
        <v>0</v>
      </c>
      <c r="R56" s="76">
        <f t="shared" si="41"/>
        <v>0</v>
      </c>
      <c r="S56" s="76">
        <f t="shared" si="41"/>
        <v>0</v>
      </c>
      <c r="T56" s="76">
        <f t="shared" si="41"/>
        <v>0</v>
      </c>
      <c r="U56" s="76">
        <f t="shared" si="41"/>
        <v>0</v>
      </c>
      <c r="V56" s="76">
        <f t="shared" si="41"/>
        <v>0</v>
      </c>
      <c r="W56" s="76">
        <f t="shared" si="41"/>
        <v>0</v>
      </c>
      <c r="X56" s="76">
        <f t="shared" si="41"/>
        <v>0</v>
      </c>
      <c r="Y56" s="76">
        <f t="shared" si="41"/>
        <v>0</v>
      </c>
      <c r="Z56" s="76">
        <f t="shared" si="41"/>
        <v>0</v>
      </c>
      <c r="AA56" s="76">
        <f t="shared" si="41"/>
        <v>0</v>
      </c>
      <c r="AB56" s="76">
        <f t="shared" si="41"/>
        <v>0</v>
      </c>
      <c r="AC56" s="76">
        <f t="shared" si="41"/>
        <v>0</v>
      </c>
      <c r="AD56" s="76">
        <f t="shared" si="41"/>
        <v>0</v>
      </c>
      <c r="AE56" s="76">
        <f t="shared" si="41"/>
        <v>0</v>
      </c>
      <c r="AF56" s="76">
        <f t="shared" si="41"/>
        <v>0</v>
      </c>
      <c r="AG56" s="76">
        <f t="shared" si="41"/>
        <v>0</v>
      </c>
      <c r="AH56" s="76">
        <f t="shared" si="41"/>
        <v>0</v>
      </c>
      <c r="AI56" s="76">
        <f t="shared" si="41"/>
        <v>0</v>
      </c>
    </row>
    <row r="57" spans="2:35">
      <c r="C57" s="84" t="s">
        <v>196</v>
      </c>
      <c r="D57" s="117"/>
      <c r="E57" s="76"/>
      <c r="F57" s="76">
        <v>1</v>
      </c>
      <c r="G57" s="76"/>
      <c r="H57" s="76"/>
      <c r="I57" s="76"/>
      <c r="J57" s="76">
        <v>2</v>
      </c>
      <c r="K57" s="76"/>
      <c r="L57" s="76">
        <v>2</v>
      </c>
      <c r="M57" s="76">
        <v>2</v>
      </c>
      <c r="N57" s="76">
        <v>2</v>
      </c>
      <c r="O57" s="76">
        <v>6</v>
      </c>
      <c r="P57" s="76">
        <v>6</v>
      </c>
      <c r="Q57" s="76">
        <v>4</v>
      </c>
      <c r="R57" s="76">
        <v>4</v>
      </c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</row>
    <row r="58" spans="2:35">
      <c r="C58" s="84" t="s">
        <v>204</v>
      </c>
      <c r="D58" s="117"/>
      <c r="E58" s="76">
        <f>E57*E56</f>
        <v>0</v>
      </c>
      <c r="F58" s="76">
        <f t="shared" ref="F58:AA58" si="42">F57*F56</f>
        <v>0</v>
      </c>
      <c r="G58" s="76">
        <f t="shared" si="42"/>
        <v>0</v>
      </c>
      <c r="H58" s="76">
        <f t="shared" si="42"/>
        <v>0</v>
      </c>
      <c r="I58" s="76">
        <f t="shared" si="42"/>
        <v>0</v>
      </c>
      <c r="J58" s="76">
        <f t="shared" si="42"/>
        <v>0</v>
      </c>
      <c r="K58" s="76">
        <f t="shared" si="42"/>
        <v>0</v>
      </c>
      <c r="L58" s="76">
        <f t="shared" si="42"/>
        <v>0</v>
      </c>
      <c r="M58" s="76">
        <f t="shared" si="42"/>
        <v>0</v>
      </c>
      <c r="N58" s="76">
        <f t="shared" si="42"/>
        <v>0</v>
      </c>
      <c r="O58" s="76">
        <f t="shared" si="42"/>
        <v>33.800000000000004</v>
      </c>
      <c r="P58" s="76">
        <f t="shared" si="42"/>
        <v>34.9</v>
      </c>
      <c r="Q58" s="76">
        <f t="shared" si="42"/>
        <v>0</v>
      </c>
      <c r="R58" s="76">
        <f t="shared" si="42"/>
        <v>0</v>
      </c>
      <c r="S58" s="76">
        <f t="shared" si="42"/>
        <v>0</v>
      </c>
      <c r="T58" s="76">
        <f t="shared" si="42"/>
        <v>0</v>
      </c>
      <c r="U58" s="76">
        <f t="shared" si="42"/>
        <v>0</v>
      </c>
      <c r="V58" s="76">
        <f t="shared" si="42"/>
        <v>0</v>
      </c>
      <c r="W58" s="76">
        <f t="shared" si="42"/>
        <v>0</v>
      </c>
      <c r="X58" s="76">
        <f t="shared" si="42"/>
        <v>0</v>
      </c>
      <c r="Y58" s="76">
        <f t="shared" si="42"/>
        <v>0</v>
      </c>
      <c r="Z58" s="76">
        <f t="shared" si="42"/>
        <v>0</v>
      </c>
      <c r="AA58" s="76">
        <f t="shared" si="42"/>
        <v>0</v>
      </c>
      <c r="AB58" s="76">
        <f>AB57*AB56</f>
        <v>0</v>
      </c>
      <c r="AC58" s="76">
        <f>AC57*AC56</f>
        <v>0</v>
      </c>
      <c r="AD58" s="76">
        <f t="shared" ref="AD58:AI58" si="43">AD57*AD56</f>
        <v>0</v>
      </c>
      <c r="AE58" s="76">
        <f t="shared" si="43"/>
        <v>0</v>
      </c>
      <c r="AF58" s="76">
        <f t="shared" si="43"/>
        <v>0</v>
      </c>
      <c r="AG58" s="76">
        <f t="shared" si="43"/>
        <v>0</v>
      </c>
      <c r="AH58" s="76">
        <f t="shared" si="43"/>
        <v>0</v>
      </c>
      <c r="AI58" s="76">
        <f t="shared" si="43"/>
        <v>0</v>
      </c>
    </row>
    <row r="59" spans="2:35">
      <c r="C59" s="85" t="s">
        <v>208</v>
      </c>
      <c r="D59" s="117"/>
      <c r="E59" s="77">
        <f>E35/60</f>
        <v>0</v>
      </c>
      <c r="F59" s="77">
        <f t="shared" ref="F59:AI59" si="44">F35/60</f>
        <v>0</v>
      </c>
      <c r="G59" s="77">
        <f t="shared" si="44"/>
        <v>0</v>
      </c>
      <c r="H59" s="77">
        <f t="shared" si="44"/>
        <v>0</v>
      </c>
      <c r="I59" s="77">
        <f t="shared" si="44"/>
        <v>0</v>
      </c>
      <c r="J59" s="77">
        <f t="shared" si="44"/>
        <v>0</v>
      </c>
      <c r="K59" s="77">
        <f t="shared" si="44"/>
        <v>0</v>
      </c>
      <c r="L59" s="77">
        <f t="shared" si="44"/>
        <v>0</v>
      </c>
      <c r="M59" s="77">
        <f t="shared" si="44"/>
        <v>0</v>
      </c>
      <c r="N59" s="77">
        <f t="shared" si="44"/>
        <v>0</v>
      </c>
      <c r="O59" s="77">
        <f t="shared" si="44"/>
        <v>1.35</v>
      </c>
      <c r="P59" s="77">
        <f t="shared" si="44"/>
        <v>0</v>
      </c>
      <c r="Q59" s="77">
        <f t="shared" si="44"/>
        <v>0</v>
      </c>
      <c r="R59" s="77">
        <f t="shared" si="44"/>
        <v>0</v>
      </c>
      <c r="S59" s="77">
        <f t="shared" si="44"/>
        <v>0</v>
      </c>
      <c r="T59" s="77">
        <f t="shared" si="44"/>
        <v>0</v>
      </c>
      <c r="U59" s="77">
        <f t="shared" si="44"/>
        <v>0</v>
      </c>
      <c r="V59" s="77">
        <f t="shared" si="44"/>
        <v>0</v>
      </c>
      <c r="W59" s="77">
        <f t="shared" si="44"/>
        <v>0</v>
      </c>
      <c r="X59" s="77">
        <f t="shared" si="44"/>
        <v>0</v>
      </c>
      <c r="Y59" s="77">
        <f t="shared" si="44"/>
        <v>0</v>
      </c>
      <c r="Z59" s="77">
        <f t="shared" si="44"/>
        <v>0</v>
      </c>
      <c r="AA59" s="77">
        <f t="shared" si="44"/>
        <v>0</v>
      </c>
      <c r="AB59" s="77">
        <f t="shared" si="44"/>
        <v>0</v>
      </c>
      <c r="AC59" s="77">
        <f t="shared" si="44"/>
        <v>0</v>
      </c>
      <c r="AD59" s="77">
        <f t="shared" si="44"/>
        <v>0</v>
      </c>
      <c r="AE59" s="77">
        <f t="shared" si="44"/>
        <v>0</v>
      </c>
      <c r="AF59" s="77">
        <f t="shared" si="44"/>
        <v>0</v>
      </c>
      <c r="AG59" s="77">
        <f t="shared" si="44"/>
        <v>0</v>
      </c>
      <c r="AH59" s="77">
        <f t="shared" si="44"/>
        <v>0</v>
      </c>
      <c r="AI59" s="77">
        <f t="shared" si="44"/>
        <v>0</v>
      </c>
    </row>
    <row r="60" spans="2:35">
      <c r="C60" s="85" t="s">
        <v>196</v>
      </c>
      <c r="D60" s="117"/>
      <c r="E60" s="77"/>
      <c r="F60" s="77">
        <v>4</v>
      </c>
      <c r="G60" s="77"/>
      <c r="H60" s="77"/>
      <c r="I60" s="77"/>
      <c r="J60" s="77">
        <v>4</v>
      </c>
      <c r="K60" s="77">
        <v>4</v>
      </c>
      <c r="L60" s="77">
        <v>4</v>
      </c>
      <c r="M60" s="77">
        <v>2</v>
      </c>
      <c r="N60" s="77">
        <v>3</v>
      </c>
      <c r="O60" s="77">
        <v>4</v>
      </c>
      <c r="P60" s="77">
        <v>3</v>
      </c>
      <c r="Q60" s="77">
        <v>6</v>
      </c>
      <c r="R60" s="77">
        <v>4</v>
      </c>
      <c r="S60" s="77"/>
      <c r="T60" s="77">
        <v>6</v>
      </c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</row>
    <row r="61" spans="2:35">
      <c r="C61" s="85" t="s">
        <v>205</v>
      </c>
      <c r="D61" s="118"/>
      <c r="E61" s="77">
        <f>E60*E59</f>
        <v>0</v>
      </c>
      <c r="F61" s="77">
        <f t="shared" ref="F61:AA61" si="45">F60*F59</f>
        <v>0</v>
      </c>
      <c r="G61" s="77">
        <f t="shared" si="45"/>
        <v>0</v>
      </c>
      <c r="H61" s="77">
        <f t="shared" si="45"/>
        <v>0</v>
      </c>
      <c r="I61" s="77">
        <f t="shared" si="45"/>
        <v>0</v>
      </c>
      <c r="J61" s="77">
        <f t="shared" si="45"/>
        <v>0</v>
      </c>
      <c r="K61" s="77">
        <f t="shared" si="45"/>
        <v>0</v>
      </c>
      <c r="L61" s="77">
        <f t="shared" si="45"/>
        <v>0</v>
      </c>
      <c r="M61" s="77">
        <f t="shared" si="45"/>
        <v>0</v>
      </c>
      <c r="N61" s="77">
        <f t="shared" si="45"/>
        <v>0</v>
      </c>
      <c r="O61" s="77">
        <f t="shared" si="45"/>
        <v>5.4</v>
      </c>
      <c r="P61" s="77">
        <f t="shared" si="45"/>
        <v>0</v>
      </c>
      <c r="Q61" s="77">
        <f t="shared" si="45"/>
        <v>0</v>
      </c>
      <c r="R61" s="77">
        <f t="shared" si="45"/>
        <v>0</v>
      </c>
      <c r="S61" s="77">
        <f t="shared" si="45"/>
        <v>0</v>
      </c>
      <c r="T61" s="77">
        <f t="shared" si="45"/>
        <v>0</v>
      </c>
      <c r="U61" s="77">
        <f t="shared" si="45"/>
        <v>0</v>
      </c>
      <c r="V61" s="77">
        <f t="shared" si="45"/>
        <v>0</v>
      </c>
      <c r="W61" s="77">
        <f t="shared" si="45"/>
        <v>0</v>
      </c>
      <c r="X61" s="77">
        <f t="shared" si="45"/>
        <v>0</v>
      </c>
      <c r="Y61" s="77">
        <f t="shared" si="45"/>
        <v>0</v>
      </c>
      <c r="Z61" s="77">
        <f t="shared" si="45"/>
        <v>0</v>
      </c>
      <c r="AA61" s="77">
        <f t="shared" si="45"/>
        <v>0</v>
      </c>
      <c r="AB61" s="77">
        <f>AB60*AB59</f>
        <v>0</v>
      </c>
      <c r="AC61" s="77">
        <f>AC60*AC59</f>
        <v>0</v>
      </c>
      <c r="AD61" s="77">
        <f t="shared" ref="AD61:AI61" si="46">AD60*AD59</f>
        <v>0</v>
      </c>
      <c r="AE61" s="77">
        <f t="shared" si="46"/>
        <v>0</v>
      </c>
      <c r="AF61" s="77">
        <f t="shared" si="46"/>
        <v>0</v>
      </c>
      <c r="AG61" s="77">
        <f t="shared" si="46"/>
        <v>0</v>
      </c>
      <c r="AH61" s="77">
        <f t="shared" si="46"/>
        <v>0</v>
      </c>
      <c r="AI61" s="77">
        <f t="shared" si="46"/>
        <v>0</v>
      </c>
    </row>
    <row r="62" spans="2:35" ht="26">
      <c r="C62" s="90" t="s">
        <v>217</v>
      </c>
      <c r="D62" s="91"/>
      <c r="E62" s="92">
        <f>E44+E48+E52</f>
        <v>43.666666666666664</v>
      </c>
      <c r="F62" s="92">
        <f t="shared" ref="F62:AI62" si="47">F44+F48+F52</f>
        <v>49.133333333333333</v>
      </c>
      <c r="G62" s="92">
        <f t="shared" si="47"/>
        <v>17.433333333333334</v>
      </c>
      <c r="H62" s="92">
        <f t="shared" si="47"/>
        <v>0</v>
      </c>
      <c r="I62" s="92">
        <f t="shared" si="47"/>
        <v>7.9</v>
      </c>
      <c r="J62" s="92">
        <f t="shared" si="47"/>
        <v>21.533333333333335</v>
      </c>
      <c r="K62" s="92">
        <f t="shared" si="47"/>
        <v>3.6</v>
      </c>
      <c r="L62" s="92">
        <f t="shared" si="47"/>
        <v>21.333333333333332</v>
      </c>
      <c r="M62" s="92">
        <f t="shared" si="47"/>
        <v>23.533333333333331</v>
      </c>
      <c r="N62" s="92">
        <f t="shared" si="47"/>
        <v>31.621666666666666</v>
      </c>
      <c r="O62" s="92">
        <f t="shared" si="47"/>
        <v>32.216666666666669</v>
      </c>
      <c r="P62" s="92">
        <f>P44+P48+P52</f>
        <v>30.3</v>
      </c>
      <c r="Q62" s="92">
        <f t="shared" si="47"/>
        <v>44.116666666666667</v>
      </c>
      <c r="R62" s="92">
        <f t="shared" si="47"/>
        <v>61.466666666666669</v>
      </c>
      <c r="S62" s="92">
        <f t="shared" si="47"/>
        <v>0</v>
      </c>
      <c r="T62" s="92">
        <f t="shared" si="47"/>
        <v>4.0249999999999995</v>
      </c>
      <c r="U62" s="92">
        <f t="shared" si="47"/>
        <v>0</v>
      </c>
      <c r="V62" s="92">
        <f t="shared" si="47"/>
        <v>0</v>
      </c>
      <c r="W62" s="92">
        <f t="shared" si="47"/>
        <v>0</v>
      </c>
      <c r="X62" s="92">
        <f t="shared" si="47"/>
        <v>0</v>
      </c>
      <c r="Y62" s="92">
        <f t="shared" si="47"/>
        <v>0</v>
      </c>
      <c r="Z62" s="92">
        <f t="shared" si="47"/>
        <v>0</v>
      </c>
      <c r="AA62" s="92">
        <f t="shared" si="47"/>
        <v>0</v>
      </c>
      <c r="AB62" s="92">
        <f>AB44+AB48+AB52</f>
        <v>0</v>
      </c>
      <c r="AC62" s="92">
        <f>AC44+AC48+AC52</f>
        <v>0</v>
      </c>
      <c r="AD62" s="92">
        <f t="shared" si="47"/>
        <v>0</v>
      </c>
      <c r="AE62" s="92">
        <f t="shared" si="47"/>
        <v>0</v>
      </c>
      <c r="AF62" s="92">
        <f t="shared" si="47"/>
        <v>0</v>
      </c>
      <c r="AG62" s="92">
        <f t="shared" si="47"/>
        <v>0</v>
      </c>
      <c r="AH62" s="92">
        <f t="shared" si="47"/>
        <v>0</v>
      </c>
      <c r="AI62" s="92">
        <f t="shared" si="47"/>
        <v>0</v>
      </c>
    </row>
    <row r="63" spans="2:35" ht="26">
      <c r="C63" s="90" t="s">
        <v>212</v>
      </c>
      <c r="D63" s="93"/>
      <c r="E63" s="94">
        <f t="shared" ref="E63:AI63" si="48">E43+E47+E51+E55+E58+E61</f>
        <v>0</v>
      </c>
      <c r="F63" s="94">
        <f t="shared" si="48"/>
        <v>0</v>
      </c>
      <c r="G63" s="94">
        <f t="shared" si="48"/>
        <v>0</v>
      </c>
      <c r="H63" s="94">
        <f t="shared" si="48"/>
        <v>0</v>
      </c>
      <c r="I63" s="94">
        <f t="shared" si="48"/>
        <v>0</v>
      </c>
      <c r="J63" s="94">
        <f t="shared" si="48"/>
        <v>16.833333333333332</v>
      </c>
      <c r="K63" s="94">
        <f t="shared" si="48"/>
        <v>29.2</v>
      </c>
      <c r="L63" s="94">
        <f t="shared" si="48"/>
        <v>56</v>
      </c>
      <c r="M63" s="94">
        <f t="shared" si="48"/>
        <v>0</v>
      </c>
      <c r="N63" s="94">
        <f t="shared" si="48"/>
        <v>0</v>
      </c>
      <c r="O63" s="94">
        <f t="shared" si="48"/>
        <v>59.241666666666667</v>
      </c>
      <c r="P63" s="94">
        <f t="shared" si="48"/>
        <v>46.041666666666664</v>
      </c>
      <c r="Q63" s="94">
        <f t="shared" si="48"/>
        <v>8.8666666666666671</v>
      </c>
      <c r="R63" s="94">
        <f t="shared" si="48"/>
        <v>0</v>
      </c>
      <c r="S63" s="94">
        <f t="shared" si="48"/>
        <v>0</v>
      </c>
      <c r="T63" s="94">
        <f t="shared" si="48"/>
        <v>15.516666666666667</v>
      </c>
      <c r="U63" s="94">
        <f t="shared" si="48"/>
        <v>0</v>
      </c>
      <c r="V63" s="94">
        <f t="shared" si="48"/>
        <v>0</v>
      </c>
      <c r="W63" s="94">
        <f t="shared" si="48"/>
        <v>0</v>
      </c>
      <c r="X63" s="94">
        <f t="shared" si="48"/>
        <v>0</v>
      </c>
      <c r="Y63" s="94">
        <f t="shared" si="48"/>
        <v>0</v>
      </c>
      <c r="Z63" s="94">
        <f t="shared" si="48"/>
        <v>0</v>
      </c>
      <c r="AA63" s="94">
        <f t="shared" si="48"/>
        <v>0</v>
      </c>
      <c r="AB63" s="94">
        <f>AB43+AB47+AB51+AB55+AB58+AB61</f>
        <v>0</v>
      </c>
      <c r="AC63" s="94">
        <f>AC43+AC47+AC51+AC55+AC58+AC61</f>
        <v>0</v>
      </c>
      <c r="AD63" s="94">
        <f t="shared" si="48"/>
        <v>0</v>
      </c>
      <c r="AE63" s="94">
        <f t="shared" si="48"/>
        <v>0</v>
      </c>
      <c r="AF63" s="94">
        <f t="shared" si="48"/>
        <v>0</v>
      </c>
      <c r="AG63" s="94">
        <f t="shared" si="48"/>
        <v>0</v>
      </c>
      <c r="AH63" s="94">
        <f t="shared" si="48"/>
        <v>0</v>
      </c>
      <c r="AI63" s="94">
        <f t="shared" si="48"/>
        <v>0</v>
      </c>
    </row>
    <row r="64" spans="2:35" ht="13">
      <c r="C64" s="86" t="s">
        <v>202</v>
      </c>
      <c r="D64" s="89"/>
      <c r="E64" s="78">
        <f>E62+E63</f>
        <v>43.666666666666664</v>
      </c>
      <c r="F64" s="78">
        <f t="shared" ref="F64:AI64" si="49">F62+F63</f>
        <v>49.133333333333333</v>
      </c>
      <c r="G64" s="78">
        <f t="shared" si="49"/>
        <v>17.433333333333334</v>
      </c>
      <c r="H64" s="78">
        <f t="shared" si="49"/>
        <v>0</v>
      </c>
      <c r="I64" s="78">
        <f t="shared" si="49"/>
        <v>7.9</v>
      </c>
      <c r="J64" s="78">
        <f t="shared" si="49"/>
        <v>38.366666666666667</v>
      </c>
      <c r="K64" s="78">
        <f t="shared" si="49"/>
        <v>32.799999999999997</v>
      </c>
      <c r="L64" s="78">
        <f t="shared" si="49"/>
        <v>77.333333333333329</v>
      </c>
      <c r="M64" s="78">
        <f t="shared" si="49"/>
        <v>23.533333333333331</v>
      </c>
      <c r="N64" s="78">
        <f t="shared" si="49"/>
        <v>31.621666666666666</v>
      </c>
      <c r="O64" s="78">
        <f t="shared" si="49"/>
        <v>91.458333333333343</v>
      </c>
      <c r="P64" s="78">
        <f t="shared" si="49"/>
        <v>76.341666666666669</v>
      </c>
      <c r="Q64" s="78">
        <f t="shared" si="49"/>
        <v>52.983333333333334</v>
      </c>
      <c r="R64" s="78">
        <f t="shared" si="49"/>
        <v>61.466666666666669</v>
      </c>
      <c r="S64" s="78">
        <f t="shared" si="49"/>
        <v>0</v>
      </c>
      <c r="T64" s="78">
        <f t="shared" si="49"/>
        <v>19.541666666666668</v>
      </c>
      <c r="U64" s="78">
        <f t="shared" si="49"/>
        <v>0</v>
      </c>
      <c r="V64" s="78">
        <f t="shared" si="49"/>
        <v>0</v>
      </c>
      <c r="W64" s="78">
        <f t="shared" si="49"/>
        <v>0</v>
      </c>
      <c r="X64" s="78">
        <f t="shared" si="49"/>
        <v>0</v>
      </c>
      <c r="Y64" s="78">
        <f t="shared" si="49"/>
        <v>0</v>
      </c>
      <c r="Z64" s="78">
        <f t="shared" si="49"/>
        <v>0</v>
      </c>
      <c r="AA64" s="78">
        <f>AA62+AA63</f>
        <v>0</v>
      </c>
      <c r="AB64" s="78">
        <f t="shared" si="49"/>
        <v>0</v>
      </c>
      <c r="AC64" s="78">
        <f>AC62+AC63</f>
        <v>0</v>
      </c>
      <c r="AD64" s="78">
        <f t="shared" si="49"/>
        <v>0</v>
      </c>
      <c r="AE64" s="78">
        <f t="shared" si="49"/>
        <v>0</v>
      </c>
      <c r="AF64" s="78">
        <f t="shared" si="49"/>
        <v>0</v>
      </c>
      <c r="AG64" s="78">
        <f t="shared" si="49"/>
        <v>0</v>
      </c>
      <c r="AH64" s="78">
        <f t="shared" si="49"/>
        <v>0</v>
      </c>
      <c r="AI64" s="78">
        <f t="shared" si="49"/>
        <v>0</v>
      </c>
    </row>
    <row r="65" spans="3:35">
      <c r="C65" s="83" t="s">
        <v>198</v>
      </c>
      <c r="D65" s="119" t="s">
        <v>206</v>
      </c>
      <c r="E65" s="79"/>
      <c r="F65" s="79">
        <f t="shared" ref="F65:M65" si="50">F42*8</f>
        <v>32</v>
      </c>
      <c r="G65" s="79">
        <f t="shared" si="50"/>
        <v>12</v>
      </c>
      <c r="H65" s="79">
        <f t="shared" si="50"/>
        <v>0</v>
      </c>
      <c r="I65" s="79">
        <f t="shared" si="50"/>
        <v>24</v>
      </c>
      <c r="J65" s="79">
        <f t="shared" si="50"/>
        <v>32</v>
      </c>
      <c r="K65" s="79">
        <f t="shared" si="50"/>
        <v>32</v>
      </c>
      <c r="L65" s="79">
        <f t="shared" si="50"/>
        <v>28</v>
      </c>
      <c r="M65" s="79">
        <f t="shared" si="50"/>
        <v>32</v>
      </c>
      <c r="N65" s="79">
        <f t="shared" ref="N65:AI65" si="51">N42*8</f>
        <v>14.4</v>
      </c>
      <c r="O65" s="79">
        <f t="shared" si="51"/>
        <v>28</v>
      </c>
      <c r="P65" s="79">
        <f>P42*10</f>
        <v>35</v>
      </c>
      <c r="Q65" s="79">
        <f t="shared" si="51"/>
        <v>28</v>
      </c>
      <c r="R65" s="79">
        <f t="shared" si="51"/>
        <v>28</v>
      </c>
      <c r="S65" s="79">
        <f t="shared" si="51"/>
        <v>0</v>
      </c>
      <c r="T65" s="79">
        <f t="shared" si="51"/>
        <v>28</v>
      </c>
      <c r="U65" s="79">
        <f t="shared" si="51"/>
        <v>0</v>
      </c>
      <c r="V65" s="79">
        <f t="shared" si="51"/>
        <v>0</v>
      </c>
      <c r="W65" s="79">
        <f t="shared" si="51"/>
        <v>0</v>
      </c>
      <c r="X65" s="79">
        <f t="shared" si="51"/>
        <v>0</v>
      </c>
      <c r="Y65" s="79">
        <f t="shared" si="51"/>
        <v>0</v>
      </c>
      <c r="Z65" s="79">
        <f t="shared" si="51"/>
        <v>0</v>
      </c>
      <c r="AA65" s="79">
        <f t="shared" si="51"/>
        <v>32</v>
      </c>
      <c r="AB65" s="79">
        <f t="shared" si="51"/>
        <v>12</v>
      </c>
      <c r="AC65" s="79">
        <f t="shared" si="51"/>
        <v>20</v>
      </c>
      <c r="AD65" s="79">
        <f t="shared" si="51"/>
        <v>16</v>
      </c>
      <c r="AE65" s="79">
        <f t="shared" si="51"/>
        <v>32</v>
      </c>
      <c r="AF65" s="79">
        <f t="shared" si="51"/>
        <v>24</v>
      </c>
      <c r="AG65" s="79">
        <f t="shared" si="51"/>
        <v>0</v>
      </c>
      <c r="AH65" s="79">
        <f t="shared" si="51"/>
        <v>0</v>
      </c>
      <c r="AI65" s="79">
        <f t="shared" si="51"/>
        <v>0</v>
      </c>
    </row>
    <row r="66" spans="3:35">
      <c r="C66" s="83" t="s">
        <v>199</v>
      </c>
      <c r="D66" s="120"/>
      <c r="E66" s="79"/>
      <c r="F66" s="79">
        <f t="shared" ref="F66:M66" si="52">F46*8</f>
        <v>32</v>
      </c>
      <c r="G66" s="79">
        <f t="shared" si="52"/>
        <v>20</v>
      </c>
      <c r="H66" s="79">
        <f t="shared" si="52"/>
        <v>0</v>
      </c>
      <c r="I66" s="79">
        <f t="shared" si="52"/>
        <v>0</v>
      </c>
      <c r="J66" s="79">
        <f t="shared" si="52"/>
        <v>32</v>
      </c>
      <c r="K66" s="79">
        <f t="shared" si="52"/>
        <v>32</v>
      </c>
      <c r="L66" s="79">
        <f t="shared" si="52"/>
        <v>28</v>
      </c>
      <c r="M66" s="79">
        <f t="shared" si="52"/>
        <v>32</v>
      </c>
      <c r="N66" s="79">
        <f t="shared" ref="N66:AI66" si="53">N46*8</f>
        <v>28</v>
      </c>
      <c r="O66" s="79">
        <f t="shared" si="53"/>
        <v>28</v>
      </c>
      <c r="P66" s="79">
        <f t="shared" si="53"/>
        <v>28</v>
      </c>
      <c r="Q66" s="79">
        <f t="shared" si="53"/>
        <v>28</v>
      </c>
      <c r="R66" s="79">
        <f t="shared" si="53"/>
        <v>28</v>
      </c>
      <c r="S66" s="79">
        <f t="shared" si="53"/>
        <v>0</v>
      </c>
      <c r="T66" s="79">
        <f t="shared" si="53"/>
        <v>28</v>
      </c>
      <c r="U66" s="79">
        <f t="shared" si="53"/>
        <v>0</v>
      </c>
      <c r="V66" s="79">
        <f t="shared" si="53"/>
        <v>0</v>
      </c>
      <c r="W66" s="79">
        <f t="shared" si="53"/>
        <v>0</v>
      </c>
      <c r="X66" s="79">
        <f t="shared" si="53"/>
        <v>0</v>
      </c>
      <c r="Y66" s="79">
        <f t="shared" si="53"/>
        <v>0</v>
      </c>
      <c r="Z66" s="79">
        <f t="shared" si="53"/>
        <v>0</v>
      </c>
      <c r="AA66" s="79">
        <f t="shared" si="53"/>
        <v>0</v>
      </c>
      <c r="AB66" s="79">
        <f t="shared" si="53"/>
        <v>0</v>
      </c>
      <c r="AC66" s="79">
        <f t="shared" si="53"/>
        <v>0</v>
      </c>
      <c r="AD66" s="79">
        <f t="shared" si="53"/>
        <v>0</v>
      </c>
      <c r="AE66" s="79">
        <f t="shared" si="53"/>
        <v>0</v>
      </c>
      <c r="AF66" s="79">
        <f t="shared" si="53"/>
        <v>0</v>
      </c>
      <c r="AG66" s="79">
        <f t="shared" si="53"/>
        <v>0</v>
      </c>
      <c r="AH66" s="79">
        <f t="shared" si="53"/>
        <v>0</v>
      </c>
      <c r="AI66" s="79">
        <f t="shared" si="53"/>
        <v>0</v>
      </c>
    </row>
    <row r="67" spans="3:35">
      <c r="C67" s="83" t="s">
        <v>200</v>
      </c>
      <c r="D67" s="121"/>
      <c r="E67" s="79">
        <f>5*7.5</f>
        <v>37.5</v>
      </c>
      <c r="F67" s="79">
        <f>F50*8</f>
        <v>32</v>
      </c>
      <c r="G67" s="79">
        <f t="shared" ref="G67:AI67" si="54">G50*8</f>
        <v>24</v>
      </c>
      <c r="H67" s="79">
        <f t="shared" si="54"/>
        <v>0</v>
      </c>
      <c r="I67" s="79">
        <f t="shared" si="54"/>
        <v>32</v>
      </c>
      <c r="J67" s="79">
        <f t="shared" si="54"/>
        <v>32</v>
      </c>
      <c r="K67" s="79">
        <f t="shared" si="54"/>
        <v>32</v>
      </c>
      <c r="L67" s="79">
        <f t="shared" si="54"/>
        <v>32</v>
      </c>
      <c r="M67" s="79">
        <f t="shared" si="54"/>
        <v>32</v>
      </c>
      <c r="N67" s="79">
        <f t="shared" si="54"/>
        <v>24</v>
      </c>
      <c r="O67" s="79">
        <f t="shared" si="54"/>
        <v>32</v>
      </c>
      <c r="P67" s="79">
        <f t="shared" si="54"/>
        <v>32</v>
      </c>
      <c r="Q67" s="79">
        <f t="shared" si="54"/>
        <v>24</v>
      </c>
      <c r="R67" s="79">
        <f t="shared" si="54"/>
        <v>32</v>
      </c>
      <c r="S67" s="79">
        <f t="shared" si="54"/>
        <v>0</v>
      </c>
      <c r="T67" s="79">
        <f t="shared" si="54"/>
        <v>32</v>
      </c>
      <c r="U67" s="79">
        <f t="shared" si="54"/>
        <v>0</v>
      </c>
      <c r="V67" s="79">
        <f t="shared" si="54"/>
        <v>0</v>
      </c>
      <c r="W67" s="79">
        <f t="shared" si="54"/>
        <v>0</v>
      </c>
      <c r="X67" s="79">
        <f t="shared" si="54"/>
        <v>0</v>
      </c>
      <c r="Y67" s="79">
        <f t="shared" si="54"/>
        <v>0</v>
      </c>
      <c r="Z67" s="79">
        <f t="shared" si="54"/>
        <v>0</v>
      </c>
      <c r="AA67" s="79">
        <f t="shared" si="54"/>
        <v>0</v>
      </c>
      <c r="AB67" s="79">
        <f t="shared" si="54"/>
        <v>0</v>
      </c>
      <c r="AC67" s="79">
        <f t="shared" si="54"/>
        <v>0</v>
      </c>
      <c r="AD67" s="79">
        <f t="shared" si="54"/>
        <v>0</v>
      </c>
      <c r="AE67" s="79">
        <f t="shared" si="54"/>
        <v>0</v>
      </c>
      <c r="AF67" s="79">
        <f t="shared" si="54"/>
        <v>0</v>
      </c>
      <c r="AG67" s="79">
        <f t="shared" si="54"/>
        <v>0</v>
      </c>
      <c r="AH67" s="79">
        <f t="shared" si="54"/>
        <v>0</v>
      </c>
      <c r="AI67" s="79">
        <f t="shared" si="54"/>
        <v>0</v>
      </c>
    </row>
    <row r="68" spans="3:35">
      <c r="C68" s="87" t="s">
        <v>198</v>
      </c>
      <c r="D68" s="122" t="s">
        <v>207</v>
      </c>
      <c r="E68" s="80"/>
      <c r="F68" s="80">
        <f t="shared" ref="F68:Q68" si="55">+F54*4</f>
        <v>4</v>
      </c>
      <c r="G68" s="80">
        <f t="shared" si="55"/>
        <v>0</v>
      </c>
      <c r="H68" s="80">
        <f t="shared" si="55"/>
        <v>0</v>
      </c>
      <c r="I68" s="80">
        <f t="shared" si="55"/>
        <v>0</v>
      </c>
      <c r="J68" s="80">
        <f t="shared" si="55"/>
        <v>8</v>
      </c>
      <c r="K68" s="80">
        <f t="shared" si="55"/>
        <v>0</v>
      </c>
      <c r="L68" s="80">
        <f t="shared" si="55"/>
        <v>8</v>
      </c>
      <c r="M68" s="80">
        <f t="shared" si="55"/>
        <v>8</v>
      </c>
      <c r="N68" s="80">
        <f t="shared" si="55"/>
        <v>0</v>
      </c>
      <c r="O68" s="80">
        <f t="shared" si="55"/>
        <v>8</v>
      </c>
      <c r="P68" s="80">
        <f t="shared" si="55"/>
        <v>0</v>
      </c>
      <c r="Q68" s="80">
        <f t="shared" si="55"/>
        <v>0</v>
      </c>
      <c r="R68" s="80">
        <f>+R54*8</f>
        <v>24</v>
      </c>
      <c r="S68" s="80">
        <f t="shared" ref="S68:AI68" si="56">+S54*8</f>
        <v>0</v>
      </c>
      <c r="T68" s="80">
        <f t="shared" si="56"/>
        <v>28</v>
      </c>
      <c r="U68" s="80">
        <f t="shared" si="56"/>
        <v>0</v>
      </c>
      <c r="V68" s="80">
        <f t="shared" si="56"/>
        <v>0</v>
      </c>
      <c r="W68" s="80">
        <f t="shared" si="56"/>
        <v>0</v>
      </c>
      <c r="X68" s="80">
        <f t="shared" si="56"/>
        <v>0</v>
      </c>
      <c r="Y68" s="80">
        <f t="shared" si="56"/>
        <v>0</v>
      </c>
      <c r="Z68" s="80">
        <f t="shared" si="56"/>
        <v>0</v>
      </c>
      <c r="AA68" s="80">
        <f t="shared" si="56"/>
        <v>0</v>
      </c>
      <c r="AB68" s="80">
        <f t="shared" si="56"/>
        <v>0</v>
      </c>
      <c r="AC68" s="80">
        <f t="shared" si="56"/>
        <v>0</v>
      </c>
      <c r="AD68" s="80">
        <f t="shared" si="56"/>
        <v>0</v>
      </c>
      <c r="AE68" s="80">
        <f t="shared" si="56"/>
        <v>0</v>
      </c>
      <c r="AF68" s="80">
        <f t="shared" si="56"/>
        <v>0</v>
      </c>
      <c r="AG68" s="80">
        <f t="shared" si="56"/>
        <v>0</v>
      </c>
      <c r="AH68" s="80">
        <f t="shared" si="56"/>
        <v>0</v>
      </c>
      <c r="AI68" s="80">
        <f t="shared" si="56"/>
        <v>0</v>
      </c>
    </row>
    <row r="69" spans="3:35">
      <c r="C69" s="87" t="s">
        <v>199</v>
      </c>
      <c r="D69" s="123"/>
      <c r="E69" s="80"/>
      <c r="F69" s="80">
        <f t="shared" ref="F69:L69" si="57">F57*4</f>
        <v>4</v>
      </c>
      <c r="G69" s="80">
        <f t="shared" si="57"/>
        <v>0</v>
      </c>
      <c r="H69" s="80">
        <f t="shared" si="57"/>
        <v>0</v>
      </c>
      <c r="I69" s="80">
        <f t="shared" si="57"/>
        <v>0</v>
      </c>
      <c r="J69" s="80">
        <f t="shared" si="57"/>
        <v>8</v>
      </c>
      <c r="K69" s="80">
        <f t="shared" si="57"/>
        <v>0</v>
      </c>
      <c r="L69" s="80">
        <f t="shared" si="57"/>
        <v>8</v>
      </c>
      <c r="M69" s="80">
        <f>M57*8</f>
        <v>16</v>
      </c>
      <c r="N69" s="80">
        <f>N57*12</f>
        <v>24</v>
      </c>
      <c r="O69" s="80">
        <f>O57*12</f>
        <v>72</v>
      </c>
      <c r="P69" s="80">
        <f>P57*12</f>
        <v>72</v>
      </c>
      <c r="Q69" s="80">
        <f>Q57*8</f>
        <v>32</v>
      </c>
      <c r="R69" s="80">
        <f>R57*8</f>
        <v>32</v>
      </c>
      <c r="S69" s="80">
        <f t="shared" ref="S69:AI69" si="58">S57*8</f>
        <v>0</v>
      </c>
      <c r="T69" s="80">
        <f t="shared" si="58"/>
        <v>0</v>
      </c>
      <c r="U69" s="80">
        <f t="shared" si="58"/>
        <v>0</v>
      </c>
      <c r="V69" s="80">
        <f t="shared" si="58"/>
        <v>0</v>
      </c>
      <c r="W69" s="80">
        <f t="shared" si="58"/>
        <v>0</v>
      </c>
      <c r="X69" s="80">
        <f t="shared" si="58"/>
        <v>0</v>
      </c>
      <c r="Y69" s="80">
        <f t="shared" si="58"/>
        <v>0</v>
      </c>
      <c r="Z69" s="80">
        <f t="shared" si="58"/>
        <v>0</v>
      </c>
      <c r="AA69" s="80">
        <f t="shared" si="58"/>
        <v>0</v>
      </c>
      <c r="AB69" s="80">
        <f t="shared" si="58"/>
        <v>0</v>
      </c>
      <c r="AC69" s="80">
        <f t="shared" si="58"/>
        <v>0</v>
      </c>
      <c r="AD69" s="80">
        <f t="shared" si="58"/>
        <v>0</v>
      </c>
      <c r="AE69" s="80">
        <f t="shared" si="58"/>
        <v>0</v>
      </c>
      <c r="AF69" s="80">
        <f t="shared" si="58"/>
        <v>0</v>
      </c>
      <c r="AG69" s="80">
        <f t="shared" si="58"/>
        <v>0</v>
      </c>
      <c r="AH69" s="80">
        <f t="shared" si="58"/>
        <v>0</v>
      </c>
      <c r="AI69" s="80">
        <f t="shared" si="58"/>
        <v>0</v>
      </c>
    </row>
    <row r="70" spans="3:35">
      <c r="C70" s="87" t="s">
        <v>200</v>
      </c>
      <c r="D70" s="124"/>
      <c r="E70" s="80">
        <f>5*7.5</f>
        <v>37.5</v>
      </c>
      <c r="F70" s="80">
        <f t="shared" ref="F70:O70" si="59">F60*8</f>
        <v>32</v>
      </c>
      <c r="G70" s="80">
        <f t="shared" si="59"/>
        <v>0</v>
      </c>
      <c r="H70" s="80">
        <f t="shared" si="59"/>
        <v>0</v>
      </c>
      <c r="I70" s="80">
        <f t="shared" si="59"/>
        <v>0</v>
      </c>
      <c r="J70" s="80">
        <f t="shared" si="59"/>
        <v>32</v>
      </c>
      <c r="K70" s="80">
        <f t="shared" si="59"/>
        <v>32</v>
      </c>
      <c r="L70" s="80">
        <f t="shared" si="59"/>
        <v>32</v>
      </c>
      <c r="M70" s="80">
        <f t="shared" si="59"/>
        <v>16</v>
      </c>
      <c r="N70" s="80">
        <f t="shared" si="59"/>
        <v>24</v>
      </c>
      <c r="O70" s="80">
        <f t="shared" si="59"/>
        <v>32</v>
      </c>
      <c r="P70" s="80">
        <f>P60*12</f>
        <v>36</v>
      </c>
      <c r="Q70" s="80">
        <f>Q60*12</f>
        <v>72</v>
      </c>
      <c r="R70" s="80">
        <f>R60*8</f>
        <v>32</v>
      </c>
      <c r="S70" s="80">
        <f t="shared" ref="S70:AI70" si="60">S60*8</f>
        <v>0</v>
      </c>
      <c r="T70" s="80">
        <f t="shared" si="60"/>
        <v>48</v>
      </c>
      <c r="U70" s="80">
        <f t="shared" si="60"/>
        <v>0</v>
      </c>
      <c r="V70" s="80">
        <f t="shared" si="60"/>
        <v>0</v>
      </c>
      <c r="W70" s="80">
        <f t="shared" si="60"/>
        <v>0</v>
      </c>
      <c r="X70" s="80">
        <f t="shared" si="60"/>
        <v>0</v>
      </c>
      <c r="Y70" s="80">
        <f t="shared" si="60"/>
        <v>0</v>
      </c>
      <c r="Z70" s="80">
        <f t="shared" si="60"/>
        <v>0</v>
      </c>
      <c r="AA70" s="80">
        <f t="shared" si="60"/>
        <v>0</v>
      </c>
      <c r="AB70" s="80">
        <f t="shared" si="60"/>
        <v>0</v>
      </c>
      <c r="AC70" s="80">
        <f t="shared" si="60"/>
        <v>0</v>
      </c>
      <c r="AD70" s="80">
        <f t="shared" si="60"/>
        <v>0</v>
      </c>
      <c r="AE70" s="80">
        <f t="shared" si="60"/>
        <v>0</v>
      </c>
      <c r="AF70" s="80">
        <f t="shared" si="60"/>
        <v>0</v>
      </c>
      <c r="AG70" s="80">
        <f t="shared" si="60"/>
        <v>0</v>
      </c>
      <c r="AH70" s="80">
        <f t="shared" si="60"/>
        <v>0</v>
      </c>
      <c r="AI70" s="80">
        <f t="shared" si="60"/>
        <v>0</v>
      </c>
    </row>
    <row r="71" spans="3:35" ht="13">
      <c r="C71" s="86" t="s">
        <v>195</v>
      </c>
      <c r="D71" s="73"/>
      <c r="E71" s="81">
        <f>SUM(E65:E70)</f>
        <v>75</v>
      </c>
      <c r="F71" s="81">
        <f t="shared" ref="F71:AI71" si="61">SUM(F65:F70)</f>
        <v>136</v>
      </c>
      <c r="G71" s="81">
        <f t="shared" si="61"/>
        <v>56</v>
      </c>
      <c r="H71" s="81">
        <f t="shared" si="61"/>
        <v>0</v>
      </c>
      <c r="I71" s="81">
        <f t="shared" si="61"/>
        <v>56</v>
      </c>
      <c r="J71" s="81">
        <f t="shared" si="61"/>
        <v>144</v>
      </c>
      <c r="K71" s="81">
        <f t="shared" si="61"/>
        <v>128</v>
      </c>
      <c r="L71" s="81">
        <f t="shared" si="61"/>
        <v>136</v>
      </c>
      <c r="M71" s="81">
        <f t="shared" si="61"/>
        <v>136</v>
      </c>
      <c r="N71" s="81">
        <f t="shared" si="61"/>
        <v>114.4</v>
      </c>
      <c r="O71" s="81">
        <f t="shared" si="61"/>
        <v>200</v>
      </c>
      <c r="P71" s="81">
        <f t="shared" si="61"/>
        <v>203</v>
      </c>
      <c r="Q71" s="81">
        <f t="shared" si="61"/>
        <v>184</v>
      </c>
      <c r="R71" s="81">
        <f t="shared" si="61"/>
        <v>176</v>
      </c>
      <c r="S71" s="81">
        <f t="shared" si="61"/>
        <v>0</v>
      </c>
      <c r="T71" s="81">
        <f t="shared" si="61"/>
        <v>164</v>
      </c>
      <c r="U71" s="81">
        <f t="shared" si="61"/>
        <v>0</v>
      </c>
      <c r="V71" s="81">
        <f t="shared" si="61"/>
        <v>0</v>
      </c>
      <c r="W71" s="81">
        <f t="shared" si="61"/>
        <v>0</v>
      </c>
      <c r="X71" s="81">
        <f t="shared" si="61"/>
        <v>0</v>
      </c>
      <c r="Y71" s="81">
        <f t="shared" si="61"/>
        <v>0</v>
      </c>
      <c r="Z71" s="81">
        <f t="shared" si="61"/>
        <v>0</v>
      </c>
      <c r="AA71" s="81">
        <f t="shared" si="61"/>
        <v>32</v>
      </c>
      <c r="AB71" s="81">
        <f t="shared" si="61"/>
        <v>12</v>
      </c>
      <c r="AC71" s="81">
        <f t="shared" si="61"/>
        <v>20</v>
      </c>
      <c r="AD71" s="81">
        <f t="shared" si="61"/>
        <v>16</v>
      </c>
      <c r="AE71" s="81">
        <f t="shared" si="61"/>
        <v>32</v>
      </c>
      <c r="AF71" s="81">
        <f t="shared" si="61"/>
        <v>24</v>
      </c>
      <c r="AG71" s="81">
        <f t="shared" si="61"/>
        <v>0</v>
      </c>
      <c r="AH71" s="81">
        <f t="shared" si="61"/>
        <v>0</v>
      </c>
      <c r="AI71" s="81">
        <f t="shared" si="61"/>
        <v>0</v>
      </c>
    </row>
    <row r="72" spans="3:35" ht="13">
      <c r="C72" s="88" t="s">
        <v>197</v>
      </c>
      <c r="D72" s="74"/>
      <c r="E72" s="82">
        <f t="shared" ref="E72:Y72" si="62">E64/E71</f>
        <v>0.5822222222222222</v>
      </c>
      <c r="F72" s="82">
        <f t="shared" si="62"/>
        <v>0.36127450980392156</v>
      </c>
      <c r="G72" s="82">
        <f t="shared" si="62"/>
        <v>0.31130952380952381</v>
      </c>
      <c r="H72" s="82">
        <v>0</v>
      </c>
      <c r="I72" s="82">
        <f t="shared" si="62"/>
        <v>0.14107142857142857</v>
      </c>
      <c r="J72" s="82">
        <f t="shared" si="62"/>
        <v>0.26643518518518516</v>
      </c>
      <c r="K72" s="82">
        <f t="shared" si="62"/>
        <v>0.25624999999999998</v>
      </c>
      <c r="L72" s="82">
        <f t="shared" si="62"/>
        <v>0.56862745098039214</v>
      </c>
      <c r="M72" s="82">
        <f t="shared" si="62"/>
        <v>0.17303921568627451</v>
      </c>
      <c r="N72" s="82">
        <f t="shared" si="62"/>
        <v>0.27641317016317013</v>
      </c>
      <c r="O72" s="82">
        <f t="shared" si="62"/>
        <v>0.45729166666666671</v>
      </c>
      <c r="P72" s="82">
        <f t="shared" si="62"/>
        <v>0.3760673234811166</v>
      </c>
      <c r="Q72" s="82">
        <f t="shared" si="62"/>
        <v>0.28795289855072465</v>
      </c>
      <c r="R72" s="82">
        <f t="shared" si="62"/>
        <v>0.34924242424242424</v>
      </c>
      <c r="S72" s="82" t="e">
        <f t="shared" si="62"/>
        <v>#DIV/0!</v>
      </c>
      <c r="T72" s="82">
        <f t="shared" si="62"/>
        <v>0.11915650406504066</v>
      </c>
      <c r="U72" s="82" t="e">
        <f t="shared" si="62"/>
        <v>#DIV/0!</v>
      </c>
      <c r="V72" s="82" t="e">
        <f t="shared" si="62"/>
        <v>#DIV/0!</v>
      </c>
      <c r="W72" s="82" t="e">
        <f t="shared" si="62"/>
        <v>#DIV/0!</v>
      </c>
      <c r="X72" s="82" t="e">
        <f t="shared" si="62"/>
        <v>#DIV/0!</v>
      </c>
      <c r="Y72" s="82" t="e">
        <f t="shared" si="62"/>
        <v>#DIV/0!</v>
      </c>
      <c r="Z72" s="82">
        <v>0</v>
      </c>
      <c r="AA72" s="82">
        <f>AA64/AA71</f>
        <v>0</v>
      </c>
      <c r="AB72" s="82">
        <f t="shared" ref="AB72:AI72" si="63">AB64/AB71</f>
        <v>0</v>
      </c>
      <c r="AC72" s="82">
        <f>AC64/AC71</f>
        <v>0</v>
      </c>
      <c r="AD72" s="82">
        <f t="shared" si="63"/>
        <v>0</v>
      </c>
      <c r="AE72" s="82">
        <f t="shared" si="63"/>
        <v>0</v>
      </c>
      <c r="AF72" s="82">
        <f t="shared" si="63"/>
        <v>0</v>
      </c>
      <c r="AG72" s="82" t="e">
        <f t="shared" si="63"/>
        <v>#DIV/0!</v>
      </c>
      <c r="AH72" s="82" t="e">
        <f t="shared" si="63"/>
        <v>#DIV/0!</v>
      </c>
      <c r="AI72" s="82" t="e">
        <f t="shared" si="63"/>
        <v>#DIV/0!</v>
      </c>
    </row>
  </sheetData>
  <mergeCells count="25">
    <mergeCell ref="D53:D61"/>
    <mergeCell ref="D65:D67"/>
    <mergeCell ref="D68:D70"/>
    <mergeCell ref="D41:D52"/>
    <mergeCell ref="A18:A27"/>
    <mergeCell ref="B18:B19"/>
    <mergeCell ref="B20:B21"/>
    <mergeCell ref="B22:B23"/>
    <mergeCell ref="B26:C26"/>
    <mergeCell ref="B24:C24"/>
    <mergeCell ref="B25:C25"/>
    <mergeCell ref="A28:A37"/>
    <mergeCell ref="B28:B29"/>
    <mergeCell ref="B30:B31"/>
    <mergeCell ref="B32:B33"/>
    <mergeCell ref="B36:C36"/>
    <mergeCell ref="B34:C34"/>
    <mergeCell ref="B35:C35"/>
    <mergeCell ref="A8:A17"/>
    <mergeCell ref="B8:B9"/>
    <mergeCell ref="B10:B11"/>
    <mergeCell ref="B12:B13"/>
    <mergeCell ref="B16:C16"/>
    <mergeCell ref="B14:C14"/>
    <mergeCell ref="B15:C15"/>
  </mergeCells>
  <hyperlinks>
    <hyperlink ref="A1" location="Summary!A1" display="Index" xr:uid="{214A0CE9-A7DC-4B77-ABDF-D3F8B085418E}"/>
  </hyperlinks>
  <pageMargins left="0.7" right="0.7" top="0.75" bottom="0.75" header="0.3" footer="0.3"/>
  <pageSetup paperSize="9" orientation="portrait" r:id="rId1"/>
  <headerFooter>
    <oddFooter>&amp;L_x000D_&amp;1#&amp;"Calibri Light"&amp;8&amp;K000000 Classified as Public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C1F1-F71F-47BE-A2DA-10C791EF111D}">
  <dimension ref="A1:AI61"/>
  <sheetViews>
    <sheetView tabSelected="1" zoomScale="60" zoomScaleNormal="60" workbookViewId="0">
      <pane xSplit="4" topLeftCell="M1" activePane="topRight" state="frozen"/>
      <selection pane="topRight" activeCell="R3" sqref="R3"/>
    </sheetView>
  </sheetViews>
  <sheetFormatPr defaultRowHeight="12.5"/>
  <cols>
    <col min="1" max="1" width="31.7265625" style="2" bestFit="1" customWidth="1"/>
    <col min="2" max="2" width="18.90625" style="2" customWidth="1"/>
    <col min="3" max="3" width="29.08984375" style="2" customWidth="1"/>
    <col min="4" max="4" width="12.6328125" style="18" bestFit="1" customWidth="1"/>
    <col min="5" max="21" width="12.81640625" style="2" customWidth="1"/>
    <col min="22" max="23" width="16.453125" style="2" bestFit="1" customWidth="1"/>
    <col min="24" max="26" width="15" style="2" customWidth="1"/>
    <col min="27" max="31" width="12.81640625" style="2" customWidth="1"/>
    <col min="32" max="32" width="18.453125" style="2" bestFit="1" customWidth="1"/>
    <col min="33" max="35" width="12.81640625" style="2" customWidth="1"/>
    <col min="36" max="36" width="8.7265625" style="2"/>
    <col min="37" max="37" width="9.453125" style="2" bestFit="1" customWidth="1"/>
    <col min="38" max="16384" width="8.7265625" style="2"/>
  </cols>
  <sheetData>
    <row r="1" spans="1:35">
      <c r="A1" s="1" t="s">
        <v>0</v>
      </c>
      <c r="D1" s="96">
        <f t="shared" ref="D1:P1" si="0">D61</f>
        <v>0</v>
      </c>
      <c r="E1" s="96">
        <f t="shared" si="0"/>
        <v>0.37291666666666673</v>
      </c>
      <c r="F1" s="96">
        <f t="shared" si="0"/>
        <v>0.70691287878787878</v>
      </c>
      <c r="G1" s="96" t="e">
        <f t="shared" si="0"/>
        <v>#DIV/0!</v>
      </c>
      <c r="H1" s="96">
        <f t="shared" si="0"/>
        <v>0.21388888888888891</v>
      </c>
      <c r="I1" s="96">
        <f t="shared" si="0"/>
        <v>0.45694444444444443</v>
      </c>
      <c r="J1" s="96">
        <f t="shared" si="0"/>
        <v>0.33489583333333334</v>
      </c>
      <c r="K1" s="96">
        <f t="shared" si="0"/>
        <v>0.25250000000000006</v>
      </c>
      <c r="L1" s="96">
        <f t="shared" si="0"/>
        <v>0.24930555555555556</v>
      </c>
      <c r="M1" s="96">
        <f t="shared" si="0"/>
        <v>0.33048611111111109</v>
      </c>
      <c r="N1" s="96">
        <f t="shared" si="0"/>
        <v>0.5</v>
      </c>
      <c r="O1" s="96">
        <f t="shared" si="0"/>
        <v>0.32250000000000001</v>
      </c>
      <c r="P1" s="96">
        <f t="shared" si="0"/>
        <v>0.33184523809523808</v>
      </c>
      <c r="Q1" s="96">
        <f t="shared" ref="Q1:AI1" si="1">Q61</f>
        <v>0.32421875</v>
      </c>
      <c r="R1" s="96">
        <f t="shared" si="1"/>
        <v>0.13014705882352939</v>
      </c>
      <c r="S1" s="96" t="e">
        <f t="shared" si="1"/>
        <v>#DIV/0!</v>
      </c>
      <c r="T1" s="96" t="e">
        <f t="shared" si="1"/>
        <v>#DIV/0!</v>
      </c>
      <c r="U1" s="96" t="e">
        <f t="shared" si="1"/>
        <v>#DIV/0!</v>
      </c>
      <c r="V1" s="96" t="e">
        <f t="shared" si="1"/>
        <v>#DIV/0!</v>
      </c>
      <c r="W1" s="96" t="e">
        <f t="shared" si="1"/>
        <v>#DIV/0!</v>
      </c>
      <c r="X1" s="96" t="e">
        <f t="shared" si="1"/>
        <v>#DIV/0!</v>
      </c>
      <c r="Y1" s="96" t="e">
        <f t="shared" si="1"/>
        <v>#DIV/0!</v>
      </c>
      <c r="Z1" s="96" t="e">
        <f t="shared" si="1"/>
        <v>#DIV/0!</v>
      </c>
      <c r="AA1" s="96" t="e">
        <f t="shared" si="1"/>
        <v>#DIV/0!</v>
      </c>
      <c r="AB1" s="96" t="e">
        <f t="shared" si="1"/>
        <v>#DIV/0!</v>
      </c>
      <c r="AC1" s="96" t="e">
        <f t="shared" si="1"/>
        <v>#DIV/0!</v>
      </c>
      <c r="AD1" s="96" t="e">
        <f t="shared" si="1"/>
        <v>#DIV/0!</v>
      </c>
      <c r="AE1" s="96" t="e">
        <f t="shared" si="1"/>
        <v>#DIV/0!</v>
      </c>
      <c r="AF1" s="96" t="e">
        <f t="shared" si="1"/>
        <v>#DIV/0!</v>
      </c>
      <c r="AG1" s="96" t="e">
        <f t="shared" si="1"/>
        <v>#DIV/0!</v>
      </c>
      <c r="AH1" s="96" t="e">
        <f t="shared" si="1"/>
        <v>#DIV/0!</v>
      </c>
      <c r="AI1" s="96" t="e">
        <f t="shared" si="1"/>
        <v>#DIV/0!</v>
      </c>
    </row>
    <row r="2" spans="1:35" ht="27" customHeight="1">
      <c r="A2" s="29" t="s">
        <v>21</v>
      </c>
      <c r="B2" s="29" t="s">
        <v>22</v>
      </c>
      <c r="C2" s="5"/>
      <c r="D2" s="24" t="s">
        <v>18</v>
      </c>
      <c r="E2" s="8">
        <v>46143</v>
      </c>
      <c r="F2" s="8">
        <f>E2+1</f>
        <v>46144</v>
      </c>
      <c r="G2" s="9">
        <f>F2+1</f>
        <v>46145</v>
      </c>
      <c r="H2" s="8">
        <f>G2+1</f>
        <v>46146</v>
      </c>
      <c r="I2" s="8">
        <f>H2+1</f>
        <v>46147</v>
      </c>
      <c r="J2" s="8">
        <f>I2+1</f>
        <v>46148</v>
      </c>
      <c r="K2" s="8">
        <f t="shared" ref="K2:M2" si="2">J2+1</f>
        <v>46149</v>
      </c>
      <c r="L2" s="8">
        <f t="shared" si="2"/>
        <v>46150</v>
      </c>
      <c r="M2" s="8">
        <f t="shared" si="2"/>
        <v>46151</v>
      </c>
      <c r="N2" s="9">
        <f>M2+1</f>
        <v>46152</v>
      </c>
      <c r="O2" s="8">
        <f>N2+1</f>
        <v>46153</v>
      </c>
      <c r="P2" s="8">
        <f t="shared" ref="P2:T2" si="3">O2+1</f>
        <v>46154</v>
      </c>
      <c r="Q2" s="8">
        <f t="shared" si="3"/>
        <v>46155</v>
      </c>
      <c r="R2" s="8">
        <f t="shared" si="3"/>
        <v>46156</v>
      </c>
      <c r="S2" s="8">
        <f t="shared" si="3"/>
        <v>46157</v>
      </c>
      <c r="T2" s="8">
        <f t="shared" si="3"/>
        <v>46158</v>
      </c>
      <c r="U2" s="9">
        <f>T2+1</f>
        <v>46159</v>
      </c>
      <c r="V2" s="8">
        <f>U2+1</f>
        <v>46160</v>
      </c>
      <c r="W2" s="8">
        <f t="shared" ref="W2:AA2" si="4">V2+1</f>
        <v>46161</v>
      </c>
      <c r="X2" s="8">
        <f t="shared" si="4"/>
        <v>46162</v>
      </c>
      <c r="Y2" s="8">
        <f t="shared" si="4"/>
        <v>46163</v>
      </c>
      <c r="Z2" s="8">
        <f t="shared" si="4"/>
        <v>46164</v>
      </c>
      <c r="AA2" s="8">
        <f t="shared" si="4"/>
        <v>46165</v>
      </c>
      <c r="AB2" s="9">
        <f>AA2+1</f>
        <v>46166</v>
      </c>
      <c r="AC2" s="8">
        <f>AB2+1</f>
        <v>46167</v>
      </c>
      <c r="AD2" s="8">
        <f t="shared" ref="AD2:AH2" si="5">AC2+1</f>
        <v>46168</v>
      </c>
      <c r="AE2" s="8">
        <f t="shared" si="5"/>
        <v>46169</v>
      </c>
      <c r="AF2" s="8">
        <f t="shared" si="5"/>
        <v>46170</v>
      </c>
      <c r="AG2" s="8">
        <f t="shared" si="5"/>
        <v>46171</v>
      </c>
      <c r="AH2" s="8">
        <f t="shared" si="5"/>
        <v>46172</v>
      </c>
      <c r="AI2" s="9">
        <f>AH2+1</f>
        <v>46173</v>
      </c>
    </row>
    <row r="3" spans="1:35" ht="20">
      <c r="A3" s="27">
        <f ca="1">TODAY()-1</f>
        <v>46156</v>
      </c>
      <c r="B3" s="28" t="str">
        <f ca="1">HLOOKUP(A3,E2:AI3,2,0)</f>
        <v>270/330</v>
      </c>
      <c r="C3" s="5"/>
      <c r="D3" s="19" t="str">
        <f>CONCATENATE(D5,"/",D4)</f>
        <v>3053/5084</v>
      </c>
      <c r="E3" s="19" t="str">
        <f>CONCATENATE(E5,"/",E4)</f>
        <v>353/560</v>
      </c>
      <c r="F3" s="19" t="str">
        <f>CONCATENATE(F5,"/",F4)</f>
        <v>140/456</v>
      </c>
      <c r="G3" s="34" t="str">
        <f t="shared" ref="G3:AI3" si="6">CONCATENATE(G5,"/",G4)</f>
        <v>0/0</v>
      </c>
      <c r="H3" s="19" t="str">
        <f t="shared" si="6"/>
        <v>316/450</v>
      </c>
      <c r="I3" s="19" t="str">
        <f t="shared" si="6"/>
        <v>328/552</v>
      </c>
      <c r="J3" s="19" t="str">
        <f t="shared" si="6"/>
        <v>228/440</v>
      </c>
      <c r="K3" s="19" t="str">
        <f t="shared" si="6"/>
        <v>268/392</v>
      </c>
      <c r="L3" s="19" t="str">
        <f t="shared" si="6"/>
        <v>223/344</v>
      </c>
      <c r="M3" s="19" t="str">
        <f t="shared" si="6"/>
        <v>297/526</v>
      </c>
      <c r="N3" s="34" t="str">
        <f t="shared" si="6"/>
        <v>56/112</v>
      </c>
      <c r="O3" s="19" t="str">
        <f t="shared" si="6"/>
        <v>204/410</v>
      </c>
      <c r="P3" s="19" t="str">
        <f t="shared" si="6"/>
        <v>158/208</v>
      </c>
      <c r="Q3" s="19" t="str">
        <f t="shared" si="6"/>
        <v>212/304</v>
      </c>
      <c r="R3" s="19" t="str">
        <f t="shared" si="6"/>
        <v>270/330</v>
      </c>
      <c r="S3" s="19" t="str">
        <f t="shared" si="6"/>
        <v>0/0</v>
      </c>
      <c r="T3" s="19" t="str">
        <f t="shared" si="6"/>
        <v>0/0</v>
      </c>
      <c r="U3" s="34" t="str">
        <f t="shared" si="6"/>
        <v>0/0</v>
      </c>
      <c r="V3" s="19" t="str">
        <f t="shared" si="6"/>
        <v>0/0</v>
      </c>
      <c r="W3" s="19" t="str">
        <f t="shared" si="6"/>
        <v>0/0</v>
      </c>
      <c r="X3" s="19" t="str">
        <f t="shared" si="6"/>
        <v>0/0</v>
      </c>
      <c r="Y3" s="19" t="str">
        <f t="shared" si="6"/>
        <v>0/0</v>
      </c>
      <c r="Z3" s="19" t="str">
        <f t="shared" si="6"/>
        <v>0/0</v>
      </c>
      <c r="AA3" s="19" t="str">
        <f t="shared" si="6"/>
        <v>0/0</v>
      </c>
      <c r="AB3" s="34" t="str">
        <f t="shared" si="6"/>
        <v>0/0</v>
      </c>
      <c r="AC3" s="19" t="str">
        <f t="shared" si="6"/>
        <v>0/0</v>
      </c>
      <c r="AD3" s="19" t="str">
        <f t="shared" si="6"/>
        <v>0/0</v>
      </c>
      <c r="AE3" s="19" t="str">
        <f t="shared" si="6"/>
        <v>0/0</v>
      </c>
      <c r="AF3" s="19" t="str">
        <f t="shared" si="6"/>
        <v>0/0</v>
      </c>
      <c r="AG3" s="19" t="str">
        <f t="shared" si="6"/>
        <v>0/0</v>
      </c>
      <c r="AH3" s="19" t="str">
        <f t="shared" si="6"/>
        <v>0/0</v>
      </c>
      <c r="AI3" s="34" t="str">
        <f t="shared" si="6"/>
        <v>0/0</v>
      </c>
    </row>
    <row r="4" spans="1:35" ht="20">
      <c r="A4" s="28" t="s">
        <v>28</v>
      </c>
      <c r="B4" s="28" t="str">
        <f>D3</f>
        <v>3053/5084</v>
      </c>
      <c r="C4" s="23" t="s">
        <v>1</v>
      </c>
      <c r="D4" s="19">
        <f t="shared" ref="D4:AI4" si="7">D12+D20+D28</f>
        <v>5084</v>
      </c>
      <c r="E4" s="19">
        <f t="shared" si="7"/>
        <v>560</v>
      </c>
      <c r="F4" s="19">
        <f t="shared" si="7"/>
        <v>456</v>
      </c>
      <c r="G4" s="34">
        <f t="shared" si="7"/>
        <v>0</v>
      </c>
      <c r="H4" s="19">
        <f t="shared" si="7"/>
        <v>450</v>
      </c>
      <c r="I4" s="19">
        <f t="shared" si="7"/>
        <v>552</v>
      </c>
      <c r="J4" s="19">
        <f t="shared" si="7"/>
        <v>440</v>
      </c>
      <c r="K4" s="19">
        <f t="shared" si="7"/>
        <v>392</v>
      </c>
      <c r="L4" s="19">
        <f t="shared" si="7"/>
        <v>344</v>
      </c>
      <c r="M4" s="19">
        <f t="shared" si="7"/>
        <v>526</v>
      </c>
      <c r="N4" s="34">
        <f t="shared" si="7"/>
        <v>112</v>
      </c>
      <c r="O4" s="19">
        <f t="shared" si="7"/>
        <v>410</v>
      </c>
      <c r="P4" s="19">
        <f t="shared" si="7"/>
        <v>208</v>
      </c>
      <c r="Q4" s="19">
        <f t="shared" si="7"/>
        <v>304</v>
      </c>
      <c r="R4" s="19">
        <f t="shared" si="7"/>
        <v>330</v>
      </c>
      <c r="S4" s="19">
        <f t="shared" si="7"/>
        <v>0</v>
      </c>
      <c r="T4" s="19">
        <f t="shared" si="7"/>
        <v>0</v>
      </c>
      <c r="U4" s="34">
        <f t="shared" si="7"/>
        <v>0</v>
      </c>
      <c r="V4" s="19">
        <f t="shared" si="7"/>
        <v>0</v>
      </c>
      <c r="W4" s="19">
        <f t="shared" si="7"/>
        <v>0</v>
      </c>
      <c r="X4" s="19">
        <f t="shared" si="7"/>
        <v>0</v>
      </c>
      <c r="Y4" s="19">
        <f t="shared" si="7"/>
        <v>0</v>
      </c>
      <c r="Z4" s="19">
        <f t="shared" si="7"/>
        <v>0</v>
      </c>
      <c r="AA4" s="19">
        <f t="shared" si="7"/>
        <v>0</v>
      </c>
      <c r="AB4" s="34">
        <f t="shared" si="7"/>
        <v>0</v>
      </c>
      <c r="AC4" s="19">
        <f t="shared" si="7"/>
        <v>0</v>
      </c>
      <c r="AD4" s="19">
        <f t="shared" si="7"/>
        <v>0</v>
      </c>
      <c r="AE4" s="19">
        <f t="shared" si="7"/>
        <v>0</v>
      </c>
      <c r="AF4" s="19">
        <f t="shared" si="7"/>
        <v>0</v>
      </c>
      <c r="AG4" s="19">
        <f t="shared" si="7"/>
        <v>0</v>
      </c>
      <c r="AH4" s="19">
        <f t="shared" si="7"/>
        <v>0</v>
      </c>
      <c r="AI4" s="34">
        <f t="shared" si="7"/>
        <v>0</v>
      </c>
    </row>
    <row r="5" spans="1:35" ht="20">
      <c r="A5" s="28" t="s">
        <v>19</v>
      </c>
      <c r="B5" s="43">
        <f>D5/D4</f>
        <v>0.60051140833988981</v>
      </c>
      <c r="C5" s="23" t="s">
        <v>2</v>
      </c>
      <c r="D5" s="19">
        <f t="shared" ref="D5:AI5" si="8">D13+D21+D29</f>
        <v>3053</v>
      </c>
      <c r="E5" s="19">
        <f t="shared" si="8"/>
        <v>353</v>
      </c>
      <c r="F5" s="19">
        <f t="shared" si="8"/>
        <v>140</v>
      </c>
      <c r="G5" s="34">
        <f t="shared" si="8"/>
        <v>0</v>
      </c>
      <c r="H5" s="19">
        <f t="shared" si="8"/>
        <v>316</v>
      </c>
      <c r="I5" s="19">
        <f t="shared" si="8"/>
        <v>328</v>
      </c>
      <c r="J5" s="19">
        <f t="shared" si="8"/>
        <v>228</v>
      </c>
      <c r="K5" s="19">
        <f t="shared" si="8"/>
        <v>268</v>
      </c>
      <c r="L5" s="19">
        <f t="shared" si="8"/>
        <v>223</v>
      </c>
      <c r="M5" s="19">
        <f t="shared" si="8"/>
        <v>297</v>
      </c>
      <c r="N5" s="34">
        <f t="shared" si="8"/>
        <v>56</v>
      </c>
      <c r="O5" s="19">
        <f t="shared" si="8"/>
        <v>204</v>
      </c>
      <c r="P5" s="19">
        <f t="shared" si="8"/>
        <v>158</v>
      </c>
      <c r="Q5" s="19">
        <f t="shared" si="8"/>
        <v>212</v>
      </c>
      <c r="R5" s="19">
        <f t="shared" si="8"/>
        <v>270</v>
      </c>
      <c r="S5" s="19">
        <f t="shared" si="8"/>
        <v>0</v>
      </c>
      <c r="T5" s="19">
        <f t="shared" si="8"/>
        <v>0</v>
      </c>
      <c r="U5" s="34">
        <f t="shared" si="8"/>
        <v>0</v>
      </c>
      <c r="V5" s="19">
        <f t="shared" si="8"/>
        <v>0</v>
      </c>
      <c r="W5" s="19">
        <f t="shared" si="8"/>
        <v>0</v>
      </c>
      <c r="X5" s="19">
        <f t="shared" si="8"/>
        <v>0</v>
      </c>
      <c r="Y5" s="19">
        <f t="shared" si="8"/>
        <v>0</v>
      </c>
      <c r="Z5" s="19">
        <f t="shared" si="8"/>
        <v>0</v>
      </c>
      <c r="AA5" s="19">
        <f t="shared" si="8"/>
        <v>0</v>
      </c>
      <c r="AB5" s="34">
        <f t="shared" si="8"/>
        <v>0</v>
      </c>
      <c r="AC5" s="19">
        <f t="shared" si="8"/>
        <v>0</v>
      </c>
      <c r="AD5" s="19">
        <f t="shared" si="8"/>
        <v>0</v>
      </c>
      <c r="AE5" s="19">
        <f t="shared" si="8"/>
        <v>0</v>
      </c>
      <c r="AF5" s="19">
        <f t="shared" si="8"/>
        <v>0</v>
      </c>
      <c r="AG5" s="19">
        <f t="shared" si="8"/>
        <v>0</v>
      </c>
      <c r="AH5" s="19">
        <f t="shared" si="8"/>
        <v>0</v>
      </c>
      <c r="AI5" s="34">
        <f t="shared" si="8"/>
        <v>0</v>
      </c>
    </row>
    <row r="6" spans="1:35" s="17" customFormat="1" ht="13">
      <c r="C6" s="6" t="s">
        <v>3</v>
      </c>
      <c r="D6" s="6"/>
      <c r="E6" s="6" t="str">
        <f t="shared" ref="E6:AI6" si="9">TEXT(E7,"ddd")</f>
        <v>Fri</v>
      </c>
      <c r="F6" s="6" t="str">
        <f>TEXT(F7,"ddd")</f>
        <v>Sat</v>
      </c>
      <c r="G6" s="34" t="str">
        <f t="shared" si="9"/>
        <v>Sun</v>
      </c>
      <c r="H6" s="6" t="str">
        <f t="shared" si="9"/>
        <v>Mon</v>
      </c>
      <c r="I6" s="6" t="str">
        <f t="shared" si="9"/>
        <v>Tue</v>
      </c>
      <c r="J6" s="6" t="str">
        <f t="shared" si="9"/>
        <v>Wed</v>
      </c>
      <c r="K6" s="6" t="str">
        <f t="shared" si="9"/>
        <v>Thu</v>
      </c>
      <c r="L6" s="6" t="str">
        <f t="shared" si="9"/>
        <v>Fri</v>
      </c>
      <c r="M6" s="6" t="str">
        <f t="shared" si="9"/>
        <v>Sat</v>
      </c>
      <c r="N6" s="34" t="str">
        <f t="shared" si="9"/>
        <v>Sun</v>
      </c>
      <c r="O6" s="6" t="str">
        <f t="shared" si="9"/>
        <v>Mon</v>
      </c>
      <c r="P6" s="6" t="str">
        <f t="shared" si="9"/>
        <v>Tue</v>
      </c>
      <c r="Q6" s="6" t="str">
        <f t="shared" si="9"/>
        <v>Wed</v>
      </c>
      <c r="R6" s="6" t="str">
        <f t="shared" si="9"/>
        <v>Thu</v>
      </c>
      <c r="S6" s="6" t="str">
        <f t="shared" si="9"/>
        <v>Fri</v>
      </c>
      <c r="T6" s="6" t="str">
        <f t="shared" si="9"/>
        <v>Sat</v>
      </c>
      <c r="U6" s="34" t="str">
        <f t="shared" si="9"/>
        <v>Sun</v>
      </c>
      <c r="V6" s="6" t="str">
        <f t="shared" si="9"/>
        <v>Mon</v>
      </c>
      <c r="W6" s="6" t="str">
        <f t="shared" si="9"/>
        <v>Tue</v>
      </c>
      <c r="X6" s="6" t="str">
        <f t="shared" si="9"/>
        <v>Wed</v>
      </c>
      <c r="Y6" s="6" t="str">
        <f t="shared" si="9"/>
        <v>Thu</v>
      </c>
      <c r="Z6" s="6" t="str">
        <f t="shared" si="9"/>
        <v>Fri</v>
      </c>
      <c r="AA6" s="6" t="str">
        <f t="shared" si="9"/>
        <v>Sat</v>
      </c>
      <c r="AB6" s="34" t="str">
        <f t="shared" si="9"/>
        <v>Sun</v>
      </c>
      <c r="AC6" s="6" t="str">
        <f t="shared" si="9"/>
        <v>Mon</v>
      </c>
      <c r="AD6" s="6" t="str">
        <f t="shared" si="9"/>
        <v>Tue</v>
      </c>
      <c r="AE6" s="6" t="str">
        <f t="shared" si="9"/>
        <v>Wed</v>
      </c>
      <c r="AF6" s="6" t="str">
        <f t="shared" si="9"/>
        <v>Thu</v>
      </c>
      <c r="AG6" s="6" t="str">
        <f t="shared" si="9"/>
        <v>Fri</v>
      </c>
      <c r="AH6" s="6" t="str">
        <f t="shared" si="9"/>
        <v>Sat</v>
      </c>
      <c r="AI6" s="34" t="str">
        <f t="shared" si="9"/>
        <v>Sun</v>
      </c>
    </row>
    <row r="7" spans="1:35" s="17" customFormat="1" ht="13">
      <c r="A7" s="6" t="s">
        <v>4</v>
      </c>
      <c r="B7" s="6" t="s">
        <v>5</v>
      </c>
      <c r="C7" s="6" t="s">
        <v>6</v>
      </c>
      <c r="D7" s="6"/>
      <c r="E7" s="8">
        <v>46143</v>
      </c>
      <c r="F7" s="8">
        <f>E7+1</f>
        <v>46144</v>
      </c>
      <c r="G7" s="9">
        <f>F7+1</f>
        <v>46145</v>
      </c>
      <c r="H7" s="8">
        <f>G7+1</f>
        <v>46146</v>
      </c>
      <c r="I7" s="8">
        <f t="shared" ref="I7:M7" si="10">H7+1</f>
        <v>46147</v>
      </c>
      <c r="J7" s="8">
        <f t="shared" si="10"/>
        <v>46148</v>
      </c>
      <c r="K7" s="8">
        <f t="shared" si="10"/>
        <v>46149</v>
      </c>
      <c r="L7" s="8">
        <f t="shared" si="10"/>
        <v>46150</v>
      </c>
      <c r="M7" s="8">
        <f t="shared" si="10"/>
        <v>46151</v>
      </c>
      <c r="N7" s="9">
        <f>M7+1</f>
        <v>46152</v>
      </c>
      <c r="O7" s="8">
        <f>N7+1</f>
        <v>46153</v>
      </c>
      <c r="P7" s="8">
        <f t="shared" ref="P7:T7" si="11">O7+1</f>
        <v>46154</v>
      </c>
      <c r="Q7" s="8">
        <f t="shared" si="11"/>
        <v>46155</v>
      </c>
      <c r="R7" s="8">
        <f t="shared" si="11"/>
        <v>46156</v>
      </c>
      <c r="S7" s="8">
        <f t="shared" si="11"/>
        <v>46157</v>
      </c>
      <c r="T7" s="8">
        <f t="shared" si="11"/>
        <v>46158</v>
      </c>
      <c r="U7" s="9">
        <f>T7+1</f>
        <v>46159</v>
      </c>
      <c r="V7" s="8">
        <f>U7+1</f>
        <v>46160</v>
      </c>
      <c r="W7" s="8">
        <f t="shared" ref="W7:AA7" si="12">V7+1</f>
        <v>46161</v>
      </c>
      <c r="X7" s="8">
        <f t="shared" si="12"/>
        <v>46162</v>
      </c>
      <c r="Y7" s="8">
        <f t="shared" si="12"/>
        <v>46163</v>
      </c>
      <c r="Z7" s="8">
        <f t="shared" si="12"/>
        <v>46164</v>
      </c>
      <c r="AA7" s="8">
        <f t="shared" si="12"/>
        <v>46165</v>
      </c>
      <c r="AB7" s="9">
        <f>AA7+1</f>
        <v>46166</v>
      </c>
      <c r="AC7" s="8">
        <f>AB7+1</f>
        <v>46167</v>
      </c>
      <c r="AD7" s="8">
        <f t="shared" ref="AD7:AH7" si="13">AC7+1</f>
        <v>46168</v>
      </c>
      <c r="AE7" s="8">
        <f t="shared" si="13"/>
        <v>46169</v>
      </c>
      <c r="AF7" s="8">
        <f t="shared" si="13"/>
        <v>46170</v>
      </c>
      <c r="AG7" s="8">
        <f t="shared" si="13"/>
        <v>46171</v>
      </c>
      <c r="AH7" s="8">
        <f t="shared" si="13"/>
        <v>46172</v>
      </c>
      <c r="AI7" s="9">
        <f>AH7+1</f>
        <v>46173</v>
      </c>
    </row>
    <row r="8" spans="1:35" ht="13">
      <c r="A8" s="111" t="s">
        <v>7</v>
      </c>
      <c r="B8" s="112" t="s">
        <v>8</v>
      </c>
      <c r="C8" s="4" t="s">
        <v>9</v>
      </c>
      <c r="D8" s="22">
        <f t="shared" ref="D8:D11" si="14">SUM(E8:AI8)</f>
        <v>1024</v>
      </c>
      <c r="E8" s="10">
        <v>112</v>
      </c>
      <c r="F8" s="10">
        <v>112</v>
      </c>
      <c r="G8" s="11"/>
      <c r="H8" s="10">
        <v>16</v>
      </c>
      <c r="I8" s="10">
        <v>112</v>
      </c>
      <c r="J8" s="10">
        <v>0</v>
      </c>
      <c r="K8" s="10">
        <v>0</v>
      </c>
      <c r="L8" s="10">
        <v>0</v>
      </c>
      <c r="M8" s="10">
        <v>112</v>
      </c>
      <c r="N8" s="11">
        <v>112</v>
      </c>
      <c r="O8" s="10">
        <v>112</v>
      </c>
      <c r="P8" s="10">
        <v>112</v>
      </c>
      <c r="Q8" s="10">
        <v>112</v>
      </c>
      <c r="R8" s="10">
        <v>112</v>
      </c>
      <c r="S8" s="10"/>
      <c r="T8" s="10"/>
      <c r="U8" s="11"/>
      <c r="V8" s="10"/>
      <c r="W8" s="10"/>
      <c r="X8" s="10"/>
      <c r="Y8" s="10"/>
      <c r="Z8" s="10"/>
      <c r="AA8" s="10"/>
      <c r="AB8" s="11"/>
      <c r="AC8" s="13"/>
      <c r="AD8" s="13"/>
      <c r="AE8" s="13"/>
      <c r="AF8" s="13"/>
      <c r="AG8" s="13"/>
      <c r="AH8" s="13"/>
      <c r="AI8" s="11"/>
    </row>
    <row r="9" spans="1:35" ht="13">
      <c r="A9" s="111"/>
      <c r="B9" s="112"/>
      <c r="C9" s="4" t="s">
        <v>10</v>
      </c>
      <c r="D9" s="22">
        <f t="shared" si="14"/>
        <v>617</v>
      </c>
      <c r="E9" s="10">
        <v>48</v>
      </c>
      <c r="F9" s="10">
        <v>32</v>
      </c>
      <c r="G9" s="11"/>
      <c r="H9" s="10">
        <v>16</v>
      </c>
      <c r="I9" s="10">
        <v>16</v>
      </c>
      <c r="J9" s="10">
        <v>0</v>
      </c>
      <c r="K9" s="10">
        <v>0</v>
      </c>
      <c r="L9" s="10">
        <v>0</v>
      </c>
      <c r="M9" s="10">
        <v>104</v>
      </c>
      <c r="N9" s="11">
        <v>56</v>
      </c>
      <c r="O9" s="10">
        <v>112</v>
      </c>
      <c r="P9" s="10">
        <v>70</v>
      </c>
      <c r="Q9" s="10">
        <v>76</v>
      </c>
      <c r="R9" s="10">
        <v>87</v>
      </c>
      <c r="S9" s="95"/>
      <c r="T9" s="13"/>
      <c r="U9" s="11"/>
      <c r="V9" s="13"/>
      <c r="W9" s="13"/>
      <c r="X9" s="13"/>
      <c r="Y9" s="13"/>
      <c r="Z9" s="13"/>
      <c r="AA9" s="13"/>
      <c r="AB9" s="11"/>
      <c r="AC9" s="13"/>
      <c r="AD9" s="13"/>
      <c r="AE9" s="13"/>
      <c r="AF9" s="13"/>
      <c r="AG9" s="13"/>
      <c r="AH9" s="13"/>
      <c r="AI9" s="11"/>
    </row>
    <row r="10" spans="1:35">
      <c r="A10" s="111"/>
      <c r="B10" s="113" t="s">
        <v>11</v>
      </c>
      <c r="C10" s="5" t="s">
        <v>9</v>
      </c>
      <c r="D10" s="19">
        <f t="shared" si="14"/>
        <v>182</v>
      </c>
      <c r="E10" s="12">
        <v>56</v>
      </c>
      <c r="F10" s="12"/>
      <c r="G10" s="11"/>
      <c r="H10" s="12">
        <v>42</v>
      </c>
      <c r="I10" s="12"/>
      <c r="J10" s="12"/>
      <c r="K10" s="12"/>
      <c r="L10" s="12"/>
      <c r="M10" s="12">
        <v>70</v>
      </c>
      <c r="N10" s="11"/>
      <c r="O10" s="12">
        <v>14</v>
      </c>
      <c r="P10" s="12"/>
      <c r="Q10" s="12"/>
      <c r="R10" s="12"/>
      <c r="S10" s="12"/>
      <c r="T10" s="12"/>
      <c r="U10" s="11"/>
      <c r="V10" s="12"/>
      <c r="W10" s="12"/>
      <c r="X10" s="12"/>
      <c r="Y10" s="12"/>
      <c r="Z10" s="12"/>
      <c r="AA10" s="12"/>
      <c r="AB10" s="11"/>
      <c r="AC10" s="12"/>
      <c r="AD10" s="12"/>
      <c r="AE10" s="12"/>
      <c r="AF10" s="12"/>
      <c r="AG10" s="12"/>
      <c r="AH10" s="12"/>
      <c r="AI10" s="11"/>
    </row>
    <row r="11" spans="1:35">
      <c r="A11" s="111"/>
      <c r="B11" s="113"/>
      <c r="C11" s="5" t="s">
        <v>10</v>
      </c>
      <c r="D11" s="19">
        <f t="shared" si="14"/>
        <v>140</v>
      </c>
      <c r="E11" s="12">
        <v>44</v>
      </c>
      <c r="F11" s="12"/>
      <c r="G11" s="11"/>
      <c r="H11" s="12">
        <v>28</v>
      </c>
      <c r="I11" s="12"/>
      <c r="J11" s="12"/>
      <c r="K11" s="12"/>
      <c r="L11" s="12"/>
      <c r="M11" s="12">
        <v>56</v>
      </c>
      <c r="N11" s="11"/>
      <c r="O11" s="12">
        <v>12</v>
      </c>
      <c r="P11" s="12"/>
      <c r="Q11" s="12"/>
      <c r="R11" s="12"/>
      <c r="S11" s="12"/>
      <c r="T11" s="12"/>
      <c r="U11" s="11"/>
      <c r="V11" s="12"/>
      <c r="W11" s="12"/>
      <c r="X11" s="12"/>
      <c r="Y11" s="12"/>
      <c r="Z11" s="12"/>
      <c r="AA11" s="12"/>
      <c r="AB11" s="11"/>
      <c r="AC11" s="12"/>
      <c r="AD11" s="12"/>
      <c r="AE11" s="12"/>
      <c r="AF11" s="12"/>
      <c r="AG11" s="12"/>
      <c r="AH11" s="12"/>
      <c r="AI11" s="11"/>
    </row>
    <row r="12" spans="1:35" ht="13">
      <c r="A12" s="111"/>
      <c r="B12" s="112" t="s">
        <v>12</v>
      </c>
      <c r="C12" s="4" t="s">
        <v>9</v>
      </c>
      <c r="D12" s="22">
        <f t="shared" ref="D12:D31" si="15">SUM(E12:AI12)</f>
        <v>1206</v>
      </c>
      <c r="E12" s="13">
        <f>E8+E10</f>
        <v>168</v>
      </c>
      <c r="F12" s="13">
        <f t="shared" ref="F12:AI13" si="16">F8+F10</f>
        <v>112</v>
      </c>
      <c r="G12" s="7">
        <f>G8+G10</f>
        <v>0</v>
      </c>
      <c r="H12" s="13">
        <f t="shared" si="16"/>
        <v>58</v>
      </c>
      <c r="I12" s="13">
        <f t="shared" si="16"/>
        <v>112</v>
      </c>
      <c r="J12" s="13">
        <f t="shared" si="16"/>
        <v>0</v>
      </c>
      <c r="K12" s="13">
        <f t="shared" si="16"/>
        <v>0</v>
      </c>
      <c r="L12" s="13">
        <f t="shared" si="16"/>
        <v>0</v>
      </c>
      <c r="M12" s="13">
        <f t="shared" si="16"/>
        <v>182</v>
      </c>
      <c r="N12" s="7">
        <f t="shared" si="16"/>
        <v>112</v>
      </c>
      <c r="O12" s="13">
        <f t="shared" si="16"/>
        <v>126</v>
      </c>
      <c r="P12" s="13">
        <f t="shared" si="16"/>
        <v>112</v>
      </c>
      <c r="Q12" s="13">
        <f t="shared" si="16"/>
        <v>112</v>
      </c>
      <c r="R12" s="13">
        <f t="shared" si="16"/>
        <v>112</v>
      </c>
      <c r="S12" s="13">
        <f>S8+S10</f>
        <v>0</v>
      </c>
      <c r="T12" s="13">
        <f t="shared" si="16"/>
        <v>0</v>
      </c>
      <c r="U12" s="7">
        <f t="shared" si="16"/>
        <v>0</v>
      </c>
      <c r="V12" s="13">
        <f t="shared" si="16"/>
        <v>0</v>
      </c>
      <c r="W12" s="13">
        <f t="shared" si="16"/>
        <v>0</v>
      </c>
      <c r="X12" s="13">
        <f t="shared" si="16"/>
        <v>0</v>
      </c>
      <c r="Y12" s="13">
        <f t="shared" si="16"/>
        <v>0</v>
      </c>
      <c r="Z12" s="13">
        <f t="shared" si="16"/>
        <v>0</v>
      </c>
      <c r="AA12" s="13">
        <f t="shared" si="16"/>
        <v>0</v>
      </c>
      <c r="AB12" s="7">
        <f t="shared" si="16"/>
        <v>0</v>
      </c>
      <c r="AC12" s="13">
        <f t="shared" si="16"/>
        <v>0</v>
      </c>
      <c r="AD12" s="13">
        <f t="shared" si="16"/>
        <v>0</v>
      </c>
      <c r="AE12" s="13">
        <f t="shared" si="16"/>
        <v>0</v>
      </c>
      <c r="AF12" s="13">
        <f t="shared" si="16"/>
        <v>0</v>
      </c>
      <c r="AG12" s="13">
        <f t="shared" si="16"/>
        <v>0</v>
      </c>
      <c r="AH12" s="13">
        <f t="shared" si="16"/>
        <v>0</v>
      </c>
      <c r="AI12" s="7">
        <f t="shared" si="16"/>
        <v>0</v>
      </c>
    </row>
    <row r="13" spans="1:35" ht="13">
      <c r="A13" s="111"/>
      <c r="B13" s="112"/>
      <c r="C13" s="4" t="s">
        <v>10</v>
      </c>
      <c r="D13" s="22">
        <f t="shared" si="15"/>
        <v>757</v>
      </c>
      <c r="E13" s="13">
        <f>E9+E11</f>
        <v>92</v>
      </c>
      <c r="F13" s="13">
        <f t="shared" si="16"/>
        <v>32</v>
      </c>
      <c r="G13" s="7">
        <f>G9+G11</f>
        <v>0</v>
      </c>
      <c r="H13" s="13">
        <f t="shared" si="16"/>
        <v>44</v>
      </c>
      <c r="I13" s="13">
        <f t="shared" si="16"/>
        <v>16</v>
      </c>
      <c r="J13" s="13">
        <f t="shared" si="16"/>
        <v>0</v>
      </c>
      <c r="K13" s="13">
        <f t="shared" si="16"/>
        <v>0</v>
      </c>
      <c r="L13" s="13">
        <f t="shared" si="16"/>
        <v>0</v>
      </c>
      <c r="M13" s="13">
        <f t="shared" si="16"/>
        <v>160</v>
      </c>
      <c r="N13" s="7">
        <f t="shared" si="16"/>
        <v>56</v>
      </c>
      <c r="O13" s="13">
        <f t="shared" si="16"/>
        <v>124</v>
      </c>
      <c r="P13" s="13">
        <f t="shared" si="16"/>
        <v>70</v>
      </c>
      <c r="Q13" s="13">
        <f t="shared" si="16"/>
        <v>76</v>
      </c>
      <c r="R13" s="13">
        <f t="shared" si="16"/>
        <v>87</v>
      </c>
      <c r="S13" s="13">
        <f>S9+S11</f>
        <v>0</v>
      </c>
      <c r="T13" s="13">
        <f t="shared" si="16"/>
        <v>0</v>
      </c>
      <c r="U13" s="7">
        <f t="shared" si="16"/>
        <v>0</v>
      </c>
      <c r="V13" s="13">
        <f t="shared" si="16"/>
        <v>0</v>
      </c>
      <c r="W13" s="13">
        <f t="shared" si="16"/>
        <v>0</v>
      </c>
      <c r="X13" s="13">
        <f t="shared" si="16"/>
        <v>0</v>
      </c>
      <c r="Y13" s="13">
        <f t="shared" si="16"/>
        <v>0</v>
      </c>
      <c r="Z13" s="13">
        <f t="shared" si="16"/>
        <v>0</v>
      </c>
      <c r="AA13" s="13">
        <f t="shared" si="16"/>
        <v>0</v>
      </c>
      <c r="AB13" s="7">
        <f t="shared" si="16"/>
        <v>0</v>
      </c>
      <c r="AC13" s="13">
        <f t="shared" si="16"/>
        <v>0</v>
      </c>
      <c r="AD13" s="13">
        <f t="shared" si="16"/>
        <v>0</v>
      </c>
      <c r="AE13" s="13">
        <f t="shared" si="16"/>
        <v>0</v>
      </c>
      <c r="AF13" s="13">
        <f t="shared" si="16"/>
        <v>0</v>
      </c>
      <c r="AG13" s="13">
        <f t="shared" si="16"/>
        <v>0</v>
      </c>
      <c r="AH13" s="13">
        <f t="shared" si="16"/>
        <v>0</v>
      </c>
      <c r="AI13" s="7">
        <f t="shared" si="16"/>
        <v>0</v>
      </c>
    </row>
    <row r="14" spans="1:35" ht="13">
      <c r="A14" s="111"/>
      <c r="B14" s="114" t="s">
        <v>209</v>
      </c>
      <c r="C14" s="115"/>
      <c r="D14" s="25">
        <f t="shared" si="15"/>
        <v>1829</v>
      </c>
      <c r="E14" s="35">
        <v>274</v>
      </c>
      <c r="F14" s="35">
        <v>343</v>
      </c>
      <c r="G14" s="35"/>
      <c r="H14" s="35">
        <v>60</v>
      </c>
      <c r="I14" s="35">
        <v>411</v>
      </c>
      <c r="J14" s="35"/>
      <c r="K14" s="35"/>
      <c r="L14" s="35"/>
      <c r="M14" s="35">
        <v>34</v>
      </c>
      <c r="N14" s="35">
        <v>240</v>
      </c>
      <c r="O14" s="35"/>
      <c r="P14" s="35">
        <v>180</v>
      </c>
      <c r="Q14" s="35">
        <v>180</v>
      </c>
      <c r="R14" s="35">
        <v>107</v>
      </c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ht="13">
      <c r="A15" s="111"/>
      <c r="B15" s="114" t="s">
        <v>210</v>
      </c>
      <c r="C15" s="115"/>
      <c r="D15" s="25">
        <f t="shared" si="15"/>
        <v>180</v>
      </c>
      <c r="E15" s="35">
        <v>51</v>
      </c>
      <c r="F15" s="35"/>
      <c r="G15" s="35"/>
      <c r="H15" s="35">
        <v>60</v>
      </c>
      <c r="I15" s="35"/>
      <c r="J15" s="35"/>
      <c r="K15" s="35"/>
      <c r="L15" s="35"/>
      <c r="M15" s="35">
        <v>60</v>
      </c>
      <c r="N15" s="35"/>
      <c r="O15" s="35">
        <v>9</v>
      </c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ht="13">
      <c r="A16" s="111" t="s">
        <v>16</v>
      </c>
      <c r="B16" s="125" t="s">
        <v>8</v>
      </c>
      <c r="C16" s="4" t="s">
        <v>9</v>
      </c>
      <c r="D16" s="22">
        <f t="shared" ref="D16:D19" si="17">SUM(E16:AI16)</f>
        <v>948</v>
      </c>
      <c r="E16" s="10">
        <v>96</v>
      </c>
      <c r="F16" s="10">
        <v>96</v>
      </c>
      <c r="G16" s="11"/>
      <c r="H16" s="10">
        <v>84</v>
      </c>
      <c r="I16" s="10">
        <v>96</v>
      </c>
      <c r="J16" s="10">
        <v>96</v>
      </c>
      <c r="K16" s="10">
        <v>96</v>
      </c>
      <c r="L16" s="10">
        <v>96</v>
      </c>
      <c r="M16" s="10">
        <v>96</v>
      </c>
      <c r="N16" s="11"/>
      <c r="O16" s="10"/>
      <c r="P16" s="10"/>
      <c r="Q16" s="10">
        <v>96</v>
      </c>
      <c r="R16" s="10">
        <v>96</v>
      </c>
      <c r="S16" s="10"/>
      <c r="T16" s="10"/>
      <c r="U16" s="11"/>
      <c r="V16" s="13"/>
      <c r="W16" s="13"/>
      <c r="X16" s="10"/>
      <c r="Y16" s="10"/>
      <c r="Z16" s="10"/>
      <c r="AA16" s="10"/>
      <c r="AB16" s="11"/>
      <c r="AC16" s="10"/>
      <c r="AD16" s="10"/>
      <c r="AE16" s="10"/>
      <c r="AF16" s="10"/>
      <c r="AG16" s="10"/>
      <c r="AH16" s="10"/>
      <c r="AI16" s="11"/>
    </row>
    <row r="17" spans="1:35" ht="13">
      <c r="A17" s="111"/>
      <c r="B17" s="126"/>
      <c r="C17" s="4" t="s">
        <v>10</v>
      </c>
      <c r="D17" s="22">
        <f t="shared" si="17"/>
        <v>595</v>
      </c>
      <c r="E17" s="22">
        <v>40</v>
      </c>
      <c r="F17" s="22">
        <v>24</v>
      </c>
      <c r="G17" s="11"/>
      <c r="H17" s="22">
        <v>60</v>
      </c>
      <c r="I17" s="22">
        <v>67</v>
      </c>
      <c r="J17" s="10">
        <v>60</v>
      </c>
      <c r="K17" s="10">
        <v>76</v>
      </c>
      <c r="L17" s="10">
        <v>55</v>
      </c>
      <c r="M17" s="10">
        <v>53</v>
      </c>
      <c r="N17" s="11"/>
      <c r="O17" s="10"/>
      <c r="P17" s="10"/>
      <c r="Q17" s="10">
        <v>72</v>
      </c>
      <c r="R17" s="10">
        <v>88</v>
      </c>
      <c r="S17" s="10"/>
      <c r="T17" s="13"/>
      <c r="U17" s="11"/>
      <c r="V17" s="10"/>
      <c r="W17" s="10"/>
      <c r="X17" s="10"/>
      <c r="Y17" s="10"/>
      <c r="Z17" s="10"/>
      <c r="AA17" s="10"/>
      <c r="AB17" s="11"/>
      <c r="AC17" s="10"/>
      <c r="AD17" s="10"/>
      <c r="AE17" s="10"/>
      <c r="AF17" s="10"/>
      <c r="AG17" s="10"/>
      <c r="AH17" s="10"/>
      <c r="AI17" s="11"/>
    </row>
    <row r="18" spans="1:35" ht="12.5" customHeight="1">
      <c r="A18" s="111"/>
      <c r="B18" s="127" t="s">
        <v>11</v>
      </c>
      <c r="C18" s="5" t="s">
        <v>9</v>
      </c>
      <c r="D18" s="19">
        <f t="shared" si="17"/>
        <v>636</v>
      </c>
      <c r="E18" s="12">
        <v>48</v>
      </c>
      <c r="F18" s="12"/>
      <c r="G18" s="11"/>
      <c r="H18" s="12">
        <v>60</v>
      </c>
      <c r="I18" s="12">
        <v>96</v>
      </c>
      <c r="J18" s="12">
        <v>96</v>
      </c>
      <c r="K18" s="12">
        <v>48</v>
      </c>
      <c r="L18" s="12"/>
      <c r="M18" s="12"/>
      <c r="N18" s="11"/>
      <c r="O18" s="12">
        <v>36</v>
      </c>
      <c r="P18" s="12">
        <v>96</v>
      </c>
      <c r="Q18" s="12">
        <v>96</v>
      </c>
      <c r="R18" s="12">
        <v>60</v>
      </c>
      <c r="S18" s="12"/>
      <c r="T18" s="12"/>
      <c r="U18" s="11"/>
      <c r="V18" s="12"/>
      <c r="W18" s="12"/>
      <c r="X18" s="12"/>
      <c r="Y18" s="12"/>
      <c r="Z18" s="12"/>
      <c r="AA18" s="12"/>
      <c r="AB18" s="11"/>
      <c r="AC18" s="12"/>
      <c r="AD18" s="12"/>
      <c r="AE18" s="12"/>
      <c r="AF18" s="12"/>
      <c r="AG18" s="12"/>
      <c r="AH18" s="12"/>
      <c r="AI18" s="11"/>
    </row>
    <row r="19" spans="1:35" ht="12.5" customHeight="1">
      <c r="A19" s="111"/>
      <c r="B19" s="128"/>
      <c r="C19" s="5" t="s">
        <v>10</v>
      </c>
      <c r="D19" s="19">
        <f t="shared" si="17"/>
        <v>445</v>
      </c>
      <c r="E19" s="12">
        <v>20</v>
      </c>
      <c r="F19" s="12"/>
      <c r="G19" s="11"/>
      <c r="H19" s="12">
        <v>44</v>
      </c>
      <c r="I19" s="12">
        <v>49</v>
      </c>
      <c r="J19" s="12">
        <v>56</v>
      </c>
      <c r="K19" s="12">
        <v>44</v>
      </c>
      <c r="L19" s="12"/>
      <c r="M19" s="12"/>
      <c r="N19" s="11"/>
      <c r="O19" s="12">
        <v>32</v>
      </c>
      <c r="P19" s="12">
        <v>88</v>
      </c>
      <c r="Q19" s="12">
        <v>64</v>
      </c>
      <c r="R19" s="12">
        <v>48</v>
      </c>
      <c r="S19" s="12"/>
      <c r="T19" s="12"/>
      <c r="U19" s="11"/>
      <c r="V19" s="12"/>
      <c r="W19" s="12"/>
      <c r="X19" s="12"/>
      <c r="Y19" s="12"/>
      <c r="Z19" s="12"/>
      <c r="AA19" s="12"/>
      <c r="AB19" s="11"/>
      <c r="AC19" s="12"/>
      <c r="AD19" s="12"/>
      <c r="AE19" s="12"/>
      <c r="AF19" s="12"/>
      <c r="AG19" s="12"/>
      <c r="AH19" s="12"/>
      <c r="AI19" s="11"/>
    </row>
    <row r="20" spans="1:35" ht="13">
      <c r="A20" s="111"/>
      <c r="B20" s="125" t="s">
        <v>12</v>
      </c>
      <c r="C20" s="4" t="s">
        <v>9</v>
      </c>
      <c r="D20" s="22">
        <f t="shared" si="15"/>
        <v>1584</v>
      </c>
      <c r="E20" s="13">
        <f>E16+E18</f>
        <v>144</v>
      </c>
      <c r="F20" s="13">
        <f t="shared" ref="F20:K20" si="18">F16+F18</f>
        <v>96</v>
      </c>
      <c r="G20" s="7">
        <f t="shared" si="18"/>
        <v>0</v>
      </c>
      <c r="H20" s="13">
        <f t="shared" si="18"/>
        <v>144</v>
      </c>
      <c r="I20" s="13">
        <f t="shared" si="18"/>
        <v>192</v>
      </c>
      <c r="J20" s="13">
        <f t="shared" si="18"/>
        <v>192</v>
      </c>
      <c r="K20" s="13">
        <f t="shared" si="18"/>
        <v>144</v>
      </c>
      <c r="L20" s="13">
        <f t="shared" ref="L20:AI21" si="19">L16+L18</f>
        <v>96</v>
      </c>
      <c r="M20" s="13">
        <f t="shared" si="19"/>
        <v>96</v>
      </c>
      <c r="N20" s="7">
        <f t="shared" si="19"/>
        <v>0</v>
      </c>
      <c r="O20" s="13">
        <f t="shared" si="19"/>
        <v>36</v>
      </c>
      <c r="P20" s="13">
        <f t="shared" si="19"/>
        <v>96</v>
      </c>
      <c r="Q20" s="13">
        <f t="shared" si="19"/>
        <v>192</v>
      </c>
      <c r="R20" s="13">
        <f t="shared" si="19"/>
        <v>156</v>
      </c>
      <c r="S20" s="13">
        <f t="shared" si="19"/>
        <v>0</v>
      </c>
      <c r="T20" s="13">
        <f t="shared" si="19"/>
        <v>0</v>
      </c>
      <c r="U20" s="7">
        <f t="shared" si="19"/>
        <v>0</v>
      </c>
      <c r="V20" s="13">
        <f t="shared" si="19"/>
        <v>0</v>
      </c>
      <c r="W20" s="13">
        <f t="shared" si="19"/>
        <v>0</v>
      </c>
      <c r="X20" s="13">
        <f t="shared" si="19"/>
        <v>0</v>
      </c>
      <c r="Y20" s="13">
        <f t="shared" si="19"/>
        <v>0</v>
      </c>
      <c r="Z20" s="13">
        <f t="shared" si="19"/>
        <v>0</v>
      </c>
      <c r="AA20" s="13">
        <f t="shared" si="19"/>
        <v>0</v>
      </c>
      <c r="AB20" s="7">
        <f t="shared" si="19"/>
        <v>0</v>
      </c>
      <c r="AC20" s="13">
        <f t="shared" si="19"/>
        <v>0</v>
      </c>
      <c r="AD20" s="13">
        <f t="shared" si="19"/>
        <v>0</v>
      </c>
      <c r="AE20" s="13">
        <f t="shared" si="19"/>
        <v>0</v>
      </c>
      <c r="AF20" s="13">
        <f t="shared" si="19"/>
        <v>0</v>
      </c>
      <c r="AG20" s="13">
        <f t="shared" si="19"/>
        <v>0</v>
      </c>
      <c r="AH20" s="13">
        <f t="shared" si="19"/>
        <v>0</v>
      </c>
      <c r="AI20" s="7">
        <f t="shared" si="19"/>
        <v>0</v>
      </c>
    </row>
    <row r="21" spans="1:35" ht="13">
      <c r="A21" s="111"/>
      <c r="B21" s="126"/>
      <c r="C21" s="4" t="s">
        <v>10</v>
      </c>
      <c r="D21" s="22">
        <f t="shared" si="15"/>
        <v>1040</v>
      </c>
      <c r="E21" s="13">
        <f>E17+E19</f>
        <v>60</v>
      </c>
      <c r="F21" s="13">
        <f t="shared" ref="F21:K21" si="20">F17+F19</f>
        <v>24</v>
      </c>
      <c r="G21" s="7">
        <f t="shared" si="20"/>
        <v>0</v>
      </c>
      <c r="H21" s="13">
        <f t="shared" si="20"/>
        <v>104</v>
      </c>
      <c r="I21" s="13">
        <f t="shared" si="20"/>
        <v>116</v>
      </c>
      <c r="J21" s="13">
        <f t="shared" si="20"/>
        <v>116</v>
      </c>
      <c r="K21" s="13">
        <f t="shared" si="20"/>
        <v>120</v>
      </c>
      <c r="L21" s="13">
        <f t="shared" si="19"/>
        <v>55</v>
      </c>
      <c r="M21" s="13">
        <f t="shared" si="19"/>
        <v>53</v>
      </c>
      <c r="N21" s="7">
        <f t="shared" si="19"/>
        <v>0</v>
      </c>
      <c r="O21" s="13">
        <f t="shared" si="19"/>
        <v>32</v>
      </c>
      <c r="P21" s="13">
        <f t="shared" si="19"/>
        <v>88</v>
      </c>
      <c r="Q21" s="13">
        <f t="shared" si="19"/>
        <v>136</v>
      </c>
      <c r="R21" s="13">
        <f t="shared" si="19"/>
        <v>136</v>
      </c>
      <c r="S21" s="13">
        <f t="shared" si="19"/>
        <v>0</v>
      </c>
      <c r="T21" s="13">
        <f t="shared" si="19"/>
        <v>0</v>
      </c>
      <c r="U21" s="7">
        <f t="shared" si="19"/>
        <v>0</v>
      </c>
      <c r="V21" s="13">
        <f t="shared" si="19"/>
        <v>0</v>
      </c>
      <c r="W21" s="13">
        <f t="shared" si="19"/>
        <v>0</v>
      </c>
      <c r="X21" s="13">
        <f t="shared" si="19"/>
        <v>0</v>
      </c>
      <c r="Y21" s="13">
        <f t="shared" si="19"/>
        <v>0</v>
      </c>
      <c r="Z21" s="13">
        <f t="shared" si="19"/>
        <v>0</v>
      </c>
      <c r="AA21" s="13">
        <f t="shared" si="19"/>
        <v>0</v>
      </c>
      <c r="AB21" s="7">
        <f t="shared" si="19"/>
        <v>0</v>
      </c>
      <c r="AC21" s="13">
        <f t="shared" si="19"/>
        <v>0</v>
      </c>
      <c r="AD21" s="13">
        <f t="shared" si="19"/>
        <v>0</v>
      </c>
      <c r="AE21" s="13">
        <f t="shared" si="19"/>
        <v>0</v>
      </c>
      <c r="AF21" s="13">
        <f t="shared" si="19"/>
        <v>0</v>
      </c>
      <c r="AG21" s="13">
        <f t="shared" si="19"/>
        <v>0</v>
      </c>
      <c r="AH21" s="13">
        <f t="shared" si="19"/>
        <v>0</v>
      </c>
      <c r="AI21" s="7">
        <f t="shared" si="19"/>
        <v>0</v>
      </c>
    </row>
    <row r="22" spans="1:35" ht="13">
      <c r="A22" s="111"/>
      <c r="B22" s="114" t="s">
        <v>209</v>
      </c>
      <c r="C22" s="115"/>
      <c r="D22" s="25">
        <f t="shared" si="15"/>
        <v>1765</v>
      </c>
      <c r="E22" s="35">
        <v>280</v>
      </c>
      <c r="F22" s="35">
        <v>360</v>
      </c>
      <c r="G22" s="26"/>
      <c r="H22" s="26">
        <v>120</v>
      </c>
      <c r="I22" s="26">
        <v>145</v>
      </c>
      <c r="J22" s="26">
        <v>180</v>
      </c>
      <c r="K22" s="26">
        <v>100</v>
      </c>
      <c r="L22" s="26">
        <v>205</v>
      </c>
      <c r="M22" s="26">
        <v>215</v>
      </c>
      <c r="N22" s="26"/>
      <c r="O22" s="26"/>
      <c r="P22" s="26"/>
      <c r="Q22" s="26">
        <v>120</v>
      </c>
      <c r="R22" s="26">
        <v>40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</row>
    <row r="23" spans="1:35" ht="13">
      <c r="A23" s="111"/>
      <c r="B23" s="114" t="s">
        <v>210</v>
      </c>
      <c r="C23" s="115"/>
      <c r="D23" s="25">
        <f t="shared" si="15"/>
        <v>955</v>
      </c>
      <c r="E23" s="26">
        <v>140</v>
      </c>
      <c r="F23" s="26"/>
      <c r="G23" s="26"/>
      <c r="H23" s="26">
        <v>80</v>
      </c>
      <c r="I23" s="26">
        <v>235</v>
      </c>
      <c r="J23" s="26">
        <v>200</v>
      </c>
      <c r="K23" s="26">
        <v>20</v>
      </c>
      <c r="L23" s="26"/>
      <c r="M23" s="26"/>
      <c r="N23" s="26"/>
      <c r="O23" s="26">
        <v>20</v>
      </c>
      <c r="P23" s="26">
        <v>40</v>
      </c>
      <c r="Q23" s="26">
        <v>160</v>
      </c>
      <c r="R23" s="26">
        <v>60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</row>
    <row r="24" spans="1:35" ht="13">
      <c r="A24" s="111" t="s">
        <v>17</v>
      </c>
      <c r="B24" s="112" t="s">
        <v>8</v>
      </c>
      <c r="C24" s="4" t="s">
        <v>9</v>
      </c>
      <c r="D24" s="22">
        <f t="shared" ref="D24:D27" si="21">SUM(E24:AI24)</f>
        <v>2294</v>
      </c>
      <c r="E24" s="13">
        <v>248</v>
      </c>
      <c r="F24" s="13">
        <v>248</v>
      </c>
      <c r="G24" s="11"/>
      <c r="H24" s="13">
        <v>248</v>
      </c>
      <c r="I24" s="13">
        <v>248</v>
      </c>
      <c r="J24" s="13">
        <v>248</v>
      </c>
      <c r="K24" s="13">
        <v>248</v>
      </c>
      <c r="L24" s="13">
        <v>248</v>
      </c>
      <c r="M24" s="13">
        <v>248</v>
      </c>
      <c r="N24" s="11"/>
      <c r="O24" s="13">
        <v>248</v>
      </c>
      <c r="P24" s="13"/>
      <c r="Q24" s="13"/>
      <c r="R24" s="13">
        <v>62</v>
      </c>
      <c r="S24" s="13"/>
      <c r="T24" s="10"/>
      <c r="U24" s="11"/>
      <c r="V24" s="10"/>
      <c r="W24" s="10"/>
      <c r="X24" s="10"/>
      <c r="Y24" s="10"/>
      <c r="Z24" s="10"/>
      <c r="AA24" s="10"/>
      <c r="AB24" s="11"/>
      <c r="AC24" s="10"/>
      <c r="AD24" s="10"/>
      <c r="AE24" s="10"/>
      <c r="AF24" s="10"/>
      <c r="AG24" s="10"/>
      <c r="AH24" s="10"/>
      <c r="AI24" s="11"/>
    </row>
    <row r="25" spans="1:35" ht="13">
      <c r="A25" s="111"/>
      <c r="B25" s="112"/>
      <c r="C25" s="4" t="s">
        <v>10</v>
      </c>
      <c r="D25" s="22">
        <f t="shared" si="21"/>
        <v>1256</v>
      </c>
      <c r="E25" s="13">
        <v>201</v>
      </c>
      <c r="F25" s="13">
        <v>84</v>
      </c>
      <c r="G25" s="11"/>
      <c r="H25" s="13">
        <v>168</v>
      </c>
      <c r="I25" s="13">
        <v>196</v>
      </c>
      <c r="J25" s="10">
        <v>112</v>
      </c>
      <c r="K25" s="10">
        <f>98+50</f>
        <v>148</v>
      </c>
      <c r="L25" s="10">
        <v>168</v>
      </c>
      <c r="M25" s="10">
        <v>84</v>
      </c>
      <c r="N25" s="11"/>
      <c r="O25" s="10">
        <v>48</v>
      </c>
      <c r="P25" s="10"/>
      <c r="Q25" s="10"/>
      <c r="R25" s="10">
        <v>47</v>
      </c>
      <c r="S25" s="10"/>
      <c r="T25" s="10"/>
      <c r="U25" s="11"/>
      <c r="V25" s="10"/>
      <c r="W25" s="10"/>
      <c r="X25" s="10"/>
      <c r="Y25" s="10"/>
      <c r="Z25" s="10"/>
      <c r="AA25" s="10"/>
      <c r="AB25" s="11"/>
      <c r="AC25" s="10"/>
      <c r="AD25" s="10"/>
      <c r="AE25" s="10"/>
      <c r="AF25" s="10"/>
      <c r="AG25" s="10"/>
      <c r="AH25" s="10"/>
      <c r="AI25" s="11"/>
    </row>
    <row r="26" spans="1:35">
      <c r="A26" s="111"/>
      <c r="B26" s="113" t="s">
        <v>11</v>
      </c>
      <c r="C26" s="5" t="s">
        <v>9</v>
      </c>
      <c r="D26" s="19">
        <f t="shared" si="21"/>
        <v>0</v>
      </c>
      <c r="E26" s="12"/>
      <c r="F26" s="12"/>
      <c r="G26" s="11"/>
      <c r="H26" s="12"/>
      <c r="I26" s="12"/>
      <c r="J26" s="12"/>
      <c r="K26" s="12"/>
      <c r="L26" s="12"/>
      <c r="M26" s="12"/>
      <c r="N26" s="11"/>
      <c r="O26" s="12"/>
      <c r="P26" s="12"/>
      <c r="Q26" s="12"/>
      <c r="R26" s="12"/>
      <c r="S26" s="12"/>
      <c r="T26" s="12"/>
      <c r="U26" s="11"/>
      <c r="V26" s="12"/>
      <c r="W26" s="12"/>
      <c r="X26" s="12"/>
      <c r="Y26" s="12"/>
      <c r="Z26" s="12"/>
      <c r="AA26" s="12"/>
      <c r="AB26" s="11"/>
      <c r="AC26" s="12"/>
      <c r="AD26" s="12"/>
      <c r="AE26" s="12"/>
      <c r="AF26" s="12"/>
      <c r="AG26" s="12"/>
      <c r="AH26" s="12"/>
      <c r="AI26" s="11"/>
    </row>
    <row r="27" spans="1:35">
      <c r="A27" s="111"/>
      <c r="B27" s="113"/>
      <c r="C27" s="5" t="s">
        <v>10</v>
      </c>
      <c r="D27" s="19">
        <f t="shared" si="21"/>
        <v>0</v>
      </c>
      <c r="E27" s="12"/>
      <c r="F27" s="12"/>
      <c r="G27" s="11"/>
      <c r="H27" s="12"/>
      <c r="I27" s="12"/>
      <c r="J27" s="12"/>
      <c r="K27" s="12"/>
      <c r="L27" s="12"/>
      <c r="M27" s="12"/>
      <c r="N27" s="11"/>
      <c r="O27" s="12"/>
      <c r="P27" s="12"/>
      <c r="Q27" s="12"/>
      <c r="R27" s="12"/>
      <c r="S27" s="12"/>
      <c r="T27" s="12"/>
      <c r="U27" s="11"/>
      <c r="V27" s="12"/>
      <c r="W27" s="12"/>
      <c r="X27" s="12"/>
      <c r="Y27" s="12"/>
      <c r="Z27" s="12"/>
      <c r="AA27" s="12"/>
      <c r="AB27" s="11"/>
      <c r="AC27" s="12"/>
      <c r="AD27" s="12"/>
      <c r="AE27" s="12"/>
      <c r="AF27" s="12"/>
      <c r="AG27" s="12"/>
      <c r="AH27" s="12"/>
      <c r="AI27" s="11"/>
    </row>
    <row r="28" spans="1:35" ht="13">
      <c r="A28" s="111"/>
      <c r="B28" s="112" t="s">
        <v>12</v>
      </c>
      <c r="C28" s="4" t="s">
        <v>9</v>
      </c>
      <c r="D28" s="22">
        <f t="shared" si="15"/>
        <v>2294</v>
      </c>
      <c r="E28" s="13">
        <f t="shared" ref="E28:AI29" si="22">E24+E26</f>
        <v>248</v>
      </c>
      <c r="F28" s="13">
        <f t="shared" si="22"/>
        <v>248</v>
      </c>
      <c r="G28" s="7">
        <f t="shared" si="22"/>
        <v>0</v>
      </c>
      <c r="H28" s="13">
        <f t="shared" si="22"/>
        <v>248</v>
      </c>
      <c r="I28" s="13">
        <f t="shared" si="22"/>
        <v>248</v>
      </c>
      <c r="J28" s="13">
        <f t="shared" si="22"/>
        <v>248</v>
      </c>
      <c r="K28" s="13">
        <f t="shared" si="22"/>
        <v>248</v>
      </c>
      <c r="L28" s="13">
        <f t="shared" si="22"/>
        <v>248</v>
      </c>
      <c r="M28" s="13">
        <f t="shared" si="22"/>
        <v>248</v>
      </c>
      <c r="N28" s="7">
        <f t="shared" si="22"/>
        <v>0</v>
      </c>
      <c r="O28" s="13">
        <f t="shared" si="22"/>
        <v>248</v>
      </c>
      <c r="P28" s="13">
        <f t="shared" si="22"/>
        <v>0</v>
      </c>
      <c r="Q28" s="13">
        <f t="shared" si="22"/>
        <v>0</v>
      </c>
      <c r="R28" s="13">
        <f t="shared" si="22"/>
        <v>62</v>
      </c>
      <c r="S28" s="13">
        <f t="shared" si="22"/>
        <v>0</v>
      </c>
      <c r="T28" s="13">
        <f t="shared" si="22"/>
        <v>0</v>
      </c>
      <c r="U28" s="7">
        <f t="shared" si="22"/>
        <v>0</v>
      </c>
      <c r="V28" s="13">
        <f t="shared" si="22"/>
        <v>0</v>
      </c>
      <c r="W28" s="13">
        <f t="shared" si="22"/>
        <v>0</v>
      </c>
      <c r="X28" s="13">
        <f t="shared" si="22"/>
        <v>0</v>
      </c>
      <c r="Y28" s="13">
        <f t="shared" si="22"/>
        <v>0</v>
      </c>
      <c r="Z28" s="13">
        <f t="shared" si="22"/>
        <v>0</v>
      </c>
      <c r="AA28" s="13">
        <f t="shared" si="22"/>
        <v>0</v>
      </c>
      <c r="AB28" s="7">
        <f t="shared" si="22"/>
        <v>0</v>
      </c>
      <c r="AC28" s="13">
        <f t="shared" si="22"/>
        <v>0</v>
      </c>
      <c r="AD28" s="13">
        <f t="shared" si="22"/>
        <v>0</v>
      </c>
      <c r="AE28" s="13">
        <f t="shared" si="22"/>
        <v>0</v>
      </c>
      <c r="AF28" s="13">
        <f t="shared" si="22"/>
        <v>0</v>
      </c>
      <c r="AG28" s="13">
        <f t="shared" si="22"/>
        <v>0</v>
      </c>
      <c r="AH28" s="13">
        <f t="shared" si="22"/>
        <v>0</v>
      </c>
      <c r="AI28" s="7">
        <f t="shared" si="22"/>
        <v>0</v>
      </c>
    </row>
    <row r="29" spans="1:35" ht="13">
      <c r="A29" s="111"/>
      <c r="B29" s="112"/>
      <c r="C29" s="4" t="s">
        <v>10</v>
      </c>
      <c r="D29" s="22">
        <f t="shared" si="15"/>
        <v>1256</v>
      </c>
      <c r="E29" s="13">
        <f t="shared" si="22"/>
        <v>201</v>
      </c>
      <c r="F29" s="13">
        <f t="shared" si="22"/>
        <v>84</v>
      </c>
      <c r="G29" s="7">
        <f t="shared" si="22"/>
        <v>0</v>
      </c>
      <c r="H29" s="13">
        <f t="shared" si="22"/>
        <v>168</v>
      </c>
      <c r="I29" s="13">
        <f t="shared" si="22"/>
        <v>196</v>
      </c>
      <c r="J29" s="13">
        <f t="shared" si="22"/>
        <v>112</v>
      </c>
      <c r="K29" s="13">
        <f t="shared" si="22"/>
        <v>148</v>
      </c>
      <c r="L29" s="13">
        <f t="shared" si="22"/>
        <v>168</v>
      </c>
      <c r="M29" s="13">
        <f t="shared" si="22"/>
        <v>84</v>
      </c>
      <c r="N29" s="7">
        <f t="shared" si="22"/>
        <v>0</v>
      </c>
      <c r="O29" s="13">
        <f t="shared" si="22"/>
        <v>48</v>
      </c>
      <c r="P29" s="13">
        <f t="shared" si="22"/>
        <v>0</v>
      </c>
      <c r="Q29" s="13">
        <f t="shared" si="22"/>
        <v>0</v>
      </c>
      <c r="R29" s="13">
        <f t="shared" si="22"/>
        <v>47</v>
      </c>
      <c r="S29" s="13">
        <f t="shared" si="22"/>
        <v>0</v>
      </c>
      <c r="T29" s="13">
        <f t="shared" si="22"/>
        <v>0</v>
      </c>
      <c r="U29" s="7">
        <f t="shared" si="22"/>
        <v>0</v>
      </c>
      <c r="V29" s="13">
        <f t="shared" si="22"/>
        <v>0</v>
      </c>
      <c r="W29" s="13">
        <f t="shared" si="22"/>
        <v>0</v>
      </c>
      <c r="X29" s="13">
        <f t="shared" si="22"/>
        <v>0</v>
      </c>
      <c r="Y29" s="13">
        <f t="shared" si="22"/>
        <v>0</v>
      </c>
      <c r="Z29" s="13">
        <f t="shared" si="22"/>
        <v>0</v>
      </c>
      <c r="AA29" s="13">
        <f t="shared" si="22"/>
        <v>0</v>
      </c>
      <c r="AB29" s="7">
        <f t="shared" si="22"/>
        <v>0</v>
      </c>
      <c r="AC29" s="13">
        <f t="shared" si="22"/>
        <v>0</v>
      </c>
      <c r="AD29" s="13">
        <f t="shared" si="22"/>
        <v>0</v>
      </c>
      <c r="AE29" s="13">
        <f t="shared" si="22"/>
        <v>0</v>
      </c>
      <c r="AF29" s="13">
        <f t="shared" si="22"/>
        <v>0</v>
      </c>
      <c r="AG29" s="13">
        <f t="shared" si="22"/>
        <v>0</v>
      </c>
      <c r="AH29" s="13">
        <f t="shared" si="22"/>
        <v>0</v>
      </c>
      <c r="AI29" s="7">
        <f t="shared" si="22"/>
        <v>0</v>
      </c>
    </row>
    <row r="30" spans="1:35" ht="13">
      <c r="A30" s="111"/>
      <c r="B30" s="114" t="s">
        <v>209</v>
      </c>
      <c r="C30" s="115"/>
      <c r="D30" s="25">
        <f t="shared" si="15"/>
        <v>2968</v>
      </c>
      <c r="E30" s="26">
        <v>91</v>
      </c>
      <c r="F30" s="26">
        <v>318</v>
      </c>
      <c r="G30" s="26"/>
      <c r="H30" s="26">
        <v>155</v>
      </c>
      <c r="I30" s="26">
        <v>101</v>
      </c>
      <c r="J30" s="26">
        <v>263</v>
      </c>
      <c r="K30" s="26">
        <v>193</v>
      </c>
      <c r="L30" s="26">
        <v>154</v>
      </c>
      <c r="M30" s="26">
        <v>317</v>
      </c>
      <c r="N30" s="26"/>
      <c r="O30" s="26">
        <v>387</v>
      </c>
      <c r="P30" s="26">
        <v>480</v>
      </c>
      <c r="Q30" s="26">
        <v>480</v>
      </c>
      <c r="R30" s="26">
        <v>29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</row>
    <row r="31" spans="1:35" ht="13">
      <c r="A31" s="111"/>
      <c r="B31" s="114" t="s">
        <v>210</v>
      </c>
      <c r="C31" s="115"/>
      <c r="D31" s="25">
        <f t="shared" si="15"/>
        <v>300</v>
      </c>
      <c r="E31" s="26"/>
      <c r="F31" s="26"/>
      <c r="G31" s="26"/>
      <c r="H31" s="26"/>
      <c r="I31" s="26"/>
      <c r="J31" s="26">
        <f>I31*60</f>
        <v>0</v>
      </c>
      <c r="K31" s="26"/>
      <c r="L31" s="26"/>
      <c r="M31" s="26"/>
      <c r="N31" s="26"/>
      <c r="O31" s="26"/>
      <c r="P31" s="26"/>
      <c r="Q31" s="26"/>
      <c r="R31" s="26">
        <v>300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</row>
    <row r="32" spans="1:35">
      <c r="A32" s="36"/>
    </row>
    <row r="33" spans="1:35" ht="14">
      <c r="A33" s="37"/>
      <c r="B33" s="38"/>
      <c r="C33" s="38"/>
      <c r="D33" s="39"/>
      <c r="E33" s="39"/>
      <c r="F33" s="39"/>
      <c r="G33" s="39"/>
      <c r="H33" s="39"/>
      <c r="I33" s="39"/>
      <c r="J33" s="39"/>
      <c r="K33" s="39"/>
      <c r="L33" s="39"/>
      <c r="M33" s="42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42"/>
      <c r="AD33" s="42"/>
      <c r="AE33" s="39"/>
      <c r="AF33" s="39"/>
      <c r="AG33" s="39"/>
      <c r="AH33" s="39"/>
      <c r="AI33" s="39"/>
    </row>
    <row r="34" spans="1:35" ht="13">
      <c r="C34" s="5"/>
      <c r="D34" s="24" t="s">
        <v>18</v>
      </c>
      <c r="E34" s="8">
        <v>46143</v>
      </c>
      <c r="F34" s="8">
        <f>E34+1</f>
        <v>46144</v>
      </c>
      <c r="G34" s="31">
        <f>F34+1</f>
        <v>46145</v>
      </c>
      <c r="H34" s="8">
        <f t="shared" ref="H34:AI34" si="23">G34+1</f>
        <v>46146</v>
      </c>
      <c r="I34" s="8">
        <f t="shared" si="23"/>
        <v>46147</v>
      </c>
      <c r="J34" s="8">
        <f t="shared" si="23"/>
        <v>46148</v>
      </c>
      <c r="K34" s="8">
        <f t="shared" si="23"/>
        <v>46149</v>
      </c>
      <c r="L34" s="8">
        <f t="shared" si="23"/>
        <v>46150</v>
      </c>
      <c r="M34" s="8">
        <f t="shared" si="23"/>
        <v>46151</v>
      </c>
      <c r="N34" s="31">
        <f t="shared" si="23"/>
        <v>46152</v>
      </c>
      <c r="O34" s="8">
        <f t="shared" si="23"/>
        <v>46153</v>
      </c>
      <c r="P34" s="8">
        <f t="shared" si="23"/>
        <v>46154</v>
      </c>
      <c r="Q34" s="8">
        <f t="shared" si="23"/>
        <v>46155</v>
      </c>
      <c r="R34" s="8">
        <f t="shared" si="23"/>
        <v>46156</v>
      </c>
      <c r="S34" s="8">
        <f t="shared" si="23"/>
        <v>46157</v>
      </c>
      <c r="T34" s="8">
        <f t="shared" si="23"/>
        <v>46158</v>
      </c>
      <c r="U34" s="31">
        <f t="shared" si="23"/>
        <v>46159</v>
      </c>
      <c r="V34" s="8">
        <f t="shared" si="23"/>
        <v>46160</v>
      </c>
      <c r="W34" s="8">
        <f t="shared" si="23"/>
        <v>46161</v>
      </c>
      <c r="X34" s="8">
        <f t="shared" si="23"/>
        <v>46162</v>
      </c>
      <c r="Y34" s="8">
        <f t="shared" si="23"/>
        <v>46163</v>
      </c>
      <c r="Z34" s="8">
        <f t="shared" si="23"/>
        <v>46164</v>
      </c>
      <c r="AA34" s="8">
        <f t="shared" si="23"/>
        <v>46165</v>
      </c>
      <c r="AB34" s="31">
        <f t="shared" si="23"/>
        <v>46166</v>
      </c>
      <c r="AC34" s="8">
        <f t="shared" si="23"/>
        <v>46167</v>
      </c>
      <c r="AD34" s="8">
        <f t="shared" si="23"/>
        <v>46168</v>
      </c>
      <c r="AE34" s="8">
        <f t="shared" si="23"/>
        <v>46169</v>
      </c>
      <c r="AF34" s="8">
        <f t="shared" si="23"/>
        <v>46170</v>
      </c>
      <c r="AG34" s="8">
        <f t="shared" si="23"/>
        <v>46171</v>
      </c>
      <c r="AH34" s="8">
        <f t="shared" si="23"/>
        <v>46172</v>
      </c>
      <c r="AI34" s="31">
        <f t="shared" si="23"/>
        <v>46173</v>
      </c>
    </row>
    <row r="35" spans="1:35">
      <c r="C35" s="83" t="s">
        <v>208</v>
      </c>
      <c r="D35" s="116" t="s">
        <v>206</v>
      </c>
      <c r="E35" s="75">
        <f t="shared" ref="E35:AI35" si="24">E14/60</f>
        <v>4.5666666666666664</v>
      </c>
      <c r="F35" s="75">
        <f t="shared" si="24"/>
        <v>5.7166666666666668</v>
      </c>
      <c r="G35" s="75">
        <f t="shared" si="24"/>
        <v>0</v>
      </c>
      <c r="H35" s="75">
        <f t="shared" si="24"/>
        <v>1</v>
      </c>
      <c r="I35" s="75">
        <f t="shared" si="24"/>
        <v>6.85</v>
      </c>
      <c r="J35" s="75">
        <f t="shared" si="24"/>
        <v>0</v>
      </c>
      <c r="K35" s="75">
        <f t="shared" si="24"/>
        <v>0</v>
      </c>
      <c r="L35" s="75">
        <f t="shared" si="24"/>
        <v>0</v>
      </c>
      <c r="M35" s="75">
        <f t="shared" si="24"/>
        <v>0.56666666666666665</v>
      </c>
      <c r="N35" s="75">
        <f t="shared" si="24"/>
        <v>4</v>
      </c>
      <c r="O35" s="75">
        <f t="shared" si="24"/>
        <v>0</v>
      </c>
      <c r="P35" s="75">
        <f t="shared" si="24"/>
        <v>3</v>
      </c>
      <c r="Q35" s="75">
        <f t="shared" si="24"/>
        <v>3</v>
      </c>
      <c r="R35" s="75">
        <f t="shared" si="24"/>
        <v>1.7833333333333334</v>
      </c>
      <c r="S35" s="75">
        <f t="shared" si="24"/>
        <v>0</v>
      </c>
      <c r="T35" s="75">
        <f t="shared" si="24"/>
        <v>0</v>
      </c>
      <c r="U35" s="75">
        <f t="shared" si="24"/>
        <v>0</v>
      </c>
      <c r="V35" s="75">
        <f t="shared" si="24"/>
        <v>0</v>
      </c>
      <c r="W35" s="75">
        <f t="shared" si="24"/>
        <v>0</v>
      </c>
      <c r="X35" s="75">
        <f t="shared" si="24"/>
        <v>0</v>
      </c>
      <c r="Y35" s="75">
        <f t="shared" si="24"/>
        <v>0</v>
      </c>
      <c r="Z35" s="75">
        <f t="shared" si="24"/>
        <v>0</v>
      </c>
      <c r="AA35" s="75">
        <f t="shared" si="24"/>
        <v>0</v>
      </c>
      <c r="AB35" s="75">
        <f t="shared" si="24"/>
        <v>0</v>
      </c>
      <c r="AC35" s="75">
        <f t="shared" si="24"/>
        <v>0</v>
      </c>
      <c r="AD35" s="75">
        <f t="shared" si="24"/>
        <v>0</v>
      </c>
      <c r="AE35" s="75">
        <f t="shared" si="24"/>
        <v>0</v>
      </c>
      <c r="AF35" s="75">
        <f t="shared" si="24"/>
        <v>0</v>
      </c>
      <c r="AG35" s="75">
        <f t="shared" si="24"/>
        <v>0</v>
      </c>
      <c r="AH35" s="75">
        <f t="shared" si="24"/>
        <v>0</v>
      </c>
      <c r="AI35" s="75">
        <f t="shared" si="24"/>
        <v>0</v>
      </c>
    </row>
    <row r="36" spans="1:35">
      <c r="C36" s="83" t="s">
        <v>196</v>
      </c>
      <c r="D36" s="116"/>
      <c r="E36" s="75">
        <v>3.5</v>
      </c>
      <c r="F36" s="75">
        <v>3.5</v>
      </c>
      <c r="G36" s="75"/>
      <c r="H36" s="75">
        <v>3.5</v>
      </c>
      <c r="I36" s="75">
        <v>3.5</v>
      </c>
      <c r="J36" s="75"/>
      <c r="K36" s="75"/>
      <c r="L36" s="75"/>
      <c r="M36" s="75">
        <v>3.5</v>
      </c>
      <c r="N36" s="75">
        <v>4</v>
      </c>
      <c r="O36" s="75">
        <v>4</v>
      </c>
      <c r="P36" s="75">
        <v>3.5</v>
      </c>
      <c r="Q36" s="75">
        <v>3.5</v>
      </c>
      <c r="R36" s="75">
        <v>5</v>
      </c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</row>
    <row r="37" spans="1:35">
      <c r="C37" s="83" t="s">
        <v>203</v>
      </c>
      <c r="D37" s="116"/>
      <c r="E37" s="75">
        <f>E36*E35</f>
        <v>15.983333333333333</v>
      </c>
      <c r="F37" s="75">
        <f t="shared" ref="F37:AI37" si="25">F36*F35</f>
        <v>20.008333333333333</v>
      </c>
      <c r="G37" s="75">
        <f t="shared" si="25"/>
        <v>0</v>
      </c>
      <c r="H37" s="75">
        <f>H36*H35</f>
        <v>3.5</v>
      </c>
      <c r="I37" s="75">
        <f t="shared" si="25"/>
        <v>23.974999999999998</v>
      </c>
      <c r="J37" s="75">
        <f t="shared" si="25"/>
        <v>0</v>
      </c>
      <c r="K37" s="75">
        <f t="shared" si="25"/>
        <v>0</v>
      </c>
      <c r="L37" s="75">
        <f t="shared" si="25"/>
        <v>0</v>
      </c>
      <c r="M37" s="75">
        <f t="shared" si="25"/>
        <v>1.9833333333333334</v>
      </c>
      <c r="N37" s="75">
        <f t="shared" si="25"/>
        <v>16</v>
      </c>
      <c r="O37" s="75">
        <f t="shared" si="25"/>
        <v>0</v>
      </c>
      <c r="P37" s="75">
        <f t="shared" si="25"/>
        <v>10.5</v>
      </c>
      <c r="Q37" s="75">
        <f t="shared" si="25"/>
        <v>10.5</v>
      </c>
      <c r="R37" s="75">
        <f t="shared" si="25"/>
        <v>8.9166666666666679</v>
      </c>
      <c r="S37" s="75">
        <f t="shared" si="25"/>
        <v>0</v>
      </c>
      <c r="T37" s="75">
        <f t="shared" si="25"/>
        <v>0</v>
      </c>
      <c r="U37" s="75">
        <f t="shared" si="25"/>
        <v>0</v>
      </c>
      <c r="V37" s="75">
        <f t="shared" si="25"/>
        <v>0</v>
      </c>
      <c r="W37" s="75">
        <f t="shared" si="25"/>
        <v>0</v>
      </c>
      <c r="X37" s="75">
        <f t="shared" si="25"/>
        <v>0</v>
      </c>
      <c r="Y37" s="75">
        <f t="shared" si="25"/>
        <v>0</v>
      </c>
      <c r="Z37" s="75">
        <f t="shared" si="25"/>
        <v>0</v>
      </c>
      <c r="AA37" s="75">
        <f t="shared" si="25"/>
        <v>0</v>
      </c>
      <c r="AB37" s="75">
        <f>AB36*AB35</f>
        <v>0</v>
      </c>
      <c r="AC37" s="75">
        <f>AC36*AC35</f>
        <v>0</v>
      </c>
      <c r="AD37" s="75">
        <f t="shared" si="25"/>
        <v>0</v>
      </c>
      <c r="AE37" s="75">
        <f t="shared" si="25"/>
        <v>0</v>
      </c>
      <c r="AF37" s="75">
        <f t="shared" si="25"/>
        <v>0</v>
      </c>
      <c r="AG37" s="75">
        <f t="shared" si="25"/>
        <v>0</v>
      </c>
      <c r="AH37" s="75">
        <f t="shared" si="25"/>
        <v>0</v>
      </c>
      <c r="AI37" s="75">
        <f t="shared" si="25"/>
        <v>0</v>
      </c>
    </row>
    <row r="38" spans="1:35">
      <c r="C38" s="84" t="s">
        <v>208</v>
      </c>
      <c r="D38" s="116"/>
      <c r="E38" s="76">
        <f t="shared" ref="E38:AI38" si="26">E22/60</f>
        <v>4.666666666666667</v>
      </c>
      <c r="F38" s="76">
        <f t="shared" si="26"/>
        <v>6</v>
      </c>
      <c r="G38" s="76">
        <f t="shared" si="26"/>
        <v>0</v>
      </c>
      <c r="H38" s="76">
        <f t="shared" si="26"/>
        <v>2</v>
      </c>
      <c r="I38" s="76">
        <f t="shared" si="26"/>
        <v>2.4166666666666665</v>
      </c>
      <c r="J38" s="76">
        <f t="shared" si="26"/>
        <v>3</v>
      </c>
      <c r="K38" s="76">
        <f t="shared" si="26"/>
        <v>1.6666666666666667</v>
      </c>
      <c r="L38" s="76">
        <f t="shared" si="26"/>
        <v>3.4166666666666665</v>
      </c>
      <c r="M38" s="76">
        <f t="shared" si="26"/>
        <v>3.5833333333333335</v>
      </c>
      <c r="N38" s="76">
        <f t="shared" si="26"/>
        <v>0</v>
      </c>
      <c r="O38" s="76">
        <f t="shared" si="26"/>
        <v>0</v>
      </c>
      <c r="P38" s="76">
        <f t="shared" si="26"/>
        <v>0</v>
      </c>
      <c r="Q38" s="76">
        <f t="shared" si="26"/>
        <v>2</v>
      </c>
      <c r="R38" s="76">
        <f t="shared" si="26"/>
        <v>0.66666666666666663</v>
      </c>
      <c r="S38" s="76">
        <f t="shared" si="26"/>
        <v>0</v>
      </c>
      <c r="T38" s="76">
        <f t="shared" si="26"/>
        <v>0</v>
      </c>
      <c r="U38" s="76">
        <f t="shared" si="26"/>
        <v>0</v>
      </c>
      <c r="V38" s="76">
        <f t="shared" si="26"/>
        <v>0</v>
      </c>
      <c r="W38" s="76">
        <f t="shared" si="26"/>
        <v>0</v>
      </c>
      <c r="X38" s="76">
        <f t="shared" si="26"/>
        <v>0</v>
      </c>
      <c r="Y38" s="76">
        <f t="shared" si="26"/>
        <v>0</v>
      </c>
      <c r="Z38" s="76">
        <f t="shared" si="26"/>
        <v>0</v>
      </c>
      <c r="AA38" s="76">
        <f t="shared" si="26"/>
        <v>0</v>
      </c>
      <c r="AB38" s="76">
        <f t="shared" si="26"/>
        <v>0</v>
      </c>
      <c r="AC38" s="76">
        <f t="shared" si="26"/>
        <v>0</v>
      </c>
      <c r="AD38" s="76">
        <f t="shared" si="26"/>
        <v>0</v>
      </c>
      <c r="AE38" s="76">
        <f t="shared" si="26"/>
        <v>0</v>
      </c>
      <c r="AF38" s="76">
        <f t="shared" si="26"/>
        <v>0</v>
      </c>
      <c r="AG38" s="76">
        <f t="shared" si="26"/>
        <v>0</v>
      </c>
      <c r="AH38" s="76">
        <f t="shared" si="26"/>
        <v>0</v>
      </c>
      <c r="AI38" s="76">
        <f t="shared" si="26"/>
        <v>0</v>
      </c>
    </row>
    <row r="39" spans="1:35">
      <c r="C39" s="84" t="s">
        <v>196</v>
      </c>
      <c r="D39" s="116"/>
      <c r="E39" s="76">
        <v>3.5</v>
      </c>
      <c r="F39" s="76">
        <v>3.5</v>
      </c>
      <c r="G39" s="76"/>
      <c r="H39" s="76">
        <v>3.5</v>
      </c>
      <c r="I39" s="76">
        <v>3.5</v>
      </c>
      <c r="J39" s="76">
        <v>4</v>
      </c>
      <c r="K39" s="76">
        <v>4</v>
      </c>
      <c r="L39" s="76">
        <v>4</v>
      </c>
      <c r="M39" s="76">
        <v>3.5</v>
      </c>
      <c r="N39" s="76"/>
      <c r="O39" s="76">
        <v>2</v>
      </c>
      <c r="P39" s="76">
        <v>3.5</v>
      </c>
      <c r="Q39" s="76">
        <v>3.5</v>
      </c>
      <c r="R39" s="76">
        <v>5</v>
      </c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</row>
    <row r="40" spans="1:35">
      <c r="C40" s="84" t="s">
        <v>204</v>
      </c>
      <c r="D40" s="116"/>
      <c r="E40" s="76">
        <f t="shared" ref="E40:AA40" si="27">E39*E38</f>
        <v>16.333333333333336</v>
      </c>
      <c r="F40" s="76">
        <f t="shared" si="27"/>
        <v>21</v>
      </c>
      <c r="G40" s="76">
        <f t="shared" si="27"/>
        <v>0</v>
      </c>
      <c r="H40" s="76">
        <f t="shared" si="27"/>
        <v>7</v>
      </c>
      <c r="I40" s="76">
        <f t="shared" si="27"/>
        <v>8.4583333333333321</v>
      </c>
      <c r="J40" s="76">
        <f t="shared" si="27"/>
        <v>12</v>
      </c>
      <c r="K40" s="76">
        <f t="shared" si="27"/>
        <v>6.666666666666667</v>
      </c>
      <c r="L40" s="76">
        <f t="shared" si="27"/>
        <v>13.666666666666666</v>
      </c>
      <c r="M40" s="76">
        <f t="shared" si="27"/>
        <v>12.541666666666668</v>
      </c>
      <c r="N40" s="76">
        <f t="shared" si="27"/>
        <v>0</v>
      </c>
      <c r="O40" s="76">
        <f t="shared" si="27"/>
        <v>0</v>
      </c>
      <c r="P40" s="76">
        <f t="shared" si="27"/>
        <v>0</v>
      </c>
      <c r="Q40" s="76">
        <f t="shared" si="27"/>
        <v>7</v>
      </c>
      <c r="R40" s="76">
        <f t="shared" si="27"/>
        <v>3.333333333333333</v>
      </c>
      <c r="S40" s="76">
        <f t="shared" si="27"/>
        <v>0</v>
      </c>
      <c r="T40" s="76">
        <f t="shared" si="27"/>
        <v>0</v>
      </c>
      <c r="U40" s="76">
        <f t="shared" si="27"/>
        <v>0</v>
      </c>
      <c r="V40" s="76">
        <f t="shared" si="27"/>
        <v>0</v>
      </c>
      <c r="W40" s="76">
        <f t="shared" si="27"/>
        <v>0</v>
      </c>
      <c r="X40" s="76">
        <f t="shared" si="27"/>
        <v>0</v>
      </c>
      <c r="Y40" s="76">
        <f t="shared" si="27"/>
        <v>0</v>
      </c>
      <c r="Z40" s="76">
        <f t="shared" si="27"/>
        <v>0</v>
      </c>
      <c r="AA40" s="76">
        <f t="shared" si="27"/>
        <v>0</v>
      </c>
      <c r="AB40" s="76">
        <f>AB39*AB38</f>
        <v>0</v>
      </c>
      <c r="AC40" s="76">
        <f>AC39*AC38</f>
        <v>0</v>
      </c>
      <c r="AD40" s="76">
        <f t="shared" ref="AD40:AI40" si="28">AD39*AD38</f>
        <v>0</v>
      </c>
      <c r="AE40" s="76">
        <f t="shared" si="28"/>
        <v>0</v>
      </c>
      <c r="AF40" s="76">
        <f t="shared" si="28"/>
        <v>0</v>
      </c>
      <c r="AG40" s="76">
        <f t="shared" si="28"/>
        <v>0</v>
      </c>
      <c r="AH40" s="76">
        <f t="shared" si="28"/>
        <v>0</v>
      </c>
      <c r="AI40" s="76">
        <f t="shared" si="28"/>
        <v>0</v>
      </c>
    </row>
    <row r="41" spans="1:35">
      <c r="B41" s="68" t="s">
        <v>211</v>
      </c>
      <c r="C41" s="85" t="s">
        <v>208</v>
      </c>
      <c r="D41" s="116"/>
      <c r="E41" s="77">
        <f t="shared" ref="E41:AI41" si="29">E30/60</f>
        <v>1.5166666666666666</v>
      </c>
      <c r="F41" s="77">
        <f t="shared" si="29"/>
        <v>5.3</v>
      </c>
      <c r="G41" s="77">
        <f t="shared" si="29"/>
        <v>0</v>
      </c>
      <c r="H41" s="77">
        <f t="shared" si="29"/>
        <v>2.5833333333333335</v>
      </c>
      <c r="I41" s="77">
        <f t="shared" si="29"/>
        <v>1.6833333333333333</v>
      </c>
      <c r="J41" s="77">
        <f t="shared" si="29"/>
        <v>4.3833333333333337</v>
      </c>
      <c r="K41" s="77">
        <f t="shared" si="29"/>
        <v>3.2166666666666668</v>
      </c>
      <c r="L41" s="77">
        <f t="shared" si="29"/>
        <v>2.5666666666666669</v>
      </c>
      <c r="M41" s="77">
        <f t="shared" si="29"/>
        <v>5.2833333333333332</v>
      </c>
      <c r="N41" s="77">
        <f t="shared" si="29"/>
        <v>0</v>
      </c>
      <c r="O41" s="77">
        <f t="shared" si="29"/>
        <v>6.45</v>
      </c>
      <c r="P41" s="77">
        <f t="shared" si="29"/>
        <v>8</v>
      </c>
      <c r="Q41" s="77">
        <f t="shared" si="29"/>
        <v>8</v>
      </c>
      <c r="R41" s="77">
        <f t="shared" si="29"/>
        <v>0.48333333333333334</v>
      </c>
      <c r="S41" s="77">
        <f t="shared" si="29"/>
        <v>0</v>
      </c>
      <c r="T41" s="77">
        <f t="shared" si="29"/>
        <v>0</v>
      </c>
      <c r="U41" s="77">
        <f t="shared" si="29"/>
        <v>0</v>
      </c>
      <c r="V41" s="77">
        <f t="shared" si="29"/>
        <v>0</v>
      </c>
      <c r="W41" s="77">
        <f t="shared" si="29"/>
        <v>0</v>
      </c>
      <c r="X41" s="77">
        <f t="shared" si="29"/>
        <v>0</v>
      </c>
      <c r="Y41" s="77">
        <f t="shared" si="29"/>
        <v>0</v>
      </c>
      <c r="Z41" s="77">
        <f t="shared" si="29"/>
        <v>0</v>
      </c>
      <c r="AA41" s="77">
        <f t="shared" si="29"/>
        <v>0</v>
      </c>
      <c r="AB41" s="77">
        <f t="shared" si="29"/>
        <v>0</v>
      </c>
      <c r="AC41" s="77">
        <f t="shared" si="29"/>
        <v>0</v>
      </c>
      <c r="AD41" s="77">
        <f t="shared" si="29"/>
        <v>0</v>
      </c>
      <c r="AE41" s="77">
        <f t="shared" si="29"/>
        <v>0</v>
      </c>
      <c r="AF41" s="77">
        <f t="shared" si="29"/>
        <v>0</v>
      </c>
      <c r="AG41" s="77">
        <f t="shared" si="29"/>
        <v>0</v>
      </c>
      <c r="AH41" s="77">
        <f t="shared" si="29"/>
        <v>0</v>
      </c>
      <c r="AI41" s="77">
        <f t="shared" si="29"/>
        <v>0</v>
      </c>
    </row>
    <row r="42" spans="1:35">
      <c r="C42" s="85" t="s">
        <v>196</v>
      </c>
      <c r="D42" s="116"/>
      <c r="E42" s="77">
        <v>4</v>
      </c>
      <c r="F42" s="77">
        <v>4</v>
      </c>
      <c r="G42" s="77"/>
      <c r="H42" s="77">
        <v>4</v>
      </c>
      <c r="I42" s="77">
        <v>4</v>
      </c>
      <c r="J42" s="77">
        <v>4</v>
      </c>
      <c r="K42" s="77">
        <v>4</v>
      </c>
      <c r="L42" s="77">
        <v>4</v>
      </c>
      <c r="M42" s="77">
        <v>4</v>
      </c>
      <c r="N42" s="77"/>
      <c r="O42" s="77">
        <v>4</v>
      </c>
      <c r="P42" s="77">
        <v>3</v>
      </c>
      <c r="Q42" s="77">
        <v>3</v>
      </c>
      <c r="R42" s="77">
        <v>3</v>
      </c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</row>
    <row r="43" spans="1:35">
      <c r="C43" s="85" t="s">
        <v>205</v>
      </c>
      <c r="D43" s="116"/>
      <c r="E43" s="77">
        <f>E42*E41</f>
        <v>6.0666666666666664</v>
      </c>
      <c r="F43" s="77">
        <f t="shared" ref="F43:AA43" si="30">F42*F41</f>
        <v>21.2</v>
      </c>
      <c r="G43" s="77">
        <f t="shared" si="30"/>
        <v>0</v>
      </c>
      <c r="H43" s="77">
        <f t="shared" si="30"/>
        <v>10.333333333333334</v>
      </c>
      <c r="I43" s="77">
        <f t="shared" si="30"/>
        <v>6.7333333333333334</v>
      </c>
      <c r="J43" s="77">
        <f t="shared" si="30"/>
        <v>17.533333333333335</v>
      </c>
      <c r="K43" s="77">
        <f t="shared" si="30"/>
        <v>12.866666666666667</v>
      </c>
      <c r="L43" s="77">
        <f t="shared" si="30"/>
        <v>10.266666666666667</v>
      </c>
      <c r="M43" s="77">
        <f t="shared" si="30"/>
        <v>21.133333333333333</v>
      </c>
      <c r="N43" s="77">
        <f t="shared" si="30"/>
        <v>0</v>
      </c>
      <c r="O43" s="77">
        <f t="shared" si="30"/>
        <v>25.8</v>
      </c>
      <c r="P43" s="77">
        <f t="shared" si="30"/>
        <v>24</v>
      </c>
      <c r="Q43" s="77">
        <f t="shared" si="30"/>
        <v>24</v>
      </c>
      <c r="R43" s="77">
        <f t="shared" si="30"/>
        <v>1.45</v>
      </c>
      <c r="S43" s="77">
        <f t="shared" si="30"/>
        <v>0</v>
      </c>
      <c r="T43" s="77">
        <f t="shared" si="30"/>
        <v>0</v>
      </c>
      <c r="U43" s="77">
        <f t="shared" si="30"/>
        <v>0</v>
      </c>
      <c r="V43" s="77">
        <f t="shared" si="30"/>
        <v>0</v>
      </c>
      <c r="W43" s="77">
        <f t="shared" si="30"/>
        <v>0</v>
      </c>
      <c r="X43" s="77">
        <f t="shared" si="30"/>
        <v>0</v>
      </c>
      <c r="Y43" s="77">
        <f t="shared" si="30"/>
        <v>0</v>
      </c>
      <c r="Z43" s="77">
        <f t="shared" si="30"/>
        <v>0</v>
      </c>
      <c r="AA43" s="77">
        <f t="shared" si="30"/>
        <v>0</v>
      </c>
      <c r="AB43" s="77">
        <f>AB42*AB41</f>
        <v>0</v>
      </c>
      <c r="AC43" s="77">
        <f>AC42*AC41</f>
        <v>0</v>
      </c>
      <c r="AD43" s="77">
        <f t="shared" ref="AD43:AI43" si="31">AD42*AD41</f>
        <v>0</v>
      </c>
      <c r="AE43" s="77">
        <f t="shared" si="31"/>
        <v>0</v>
      </c>
      <c r="AF43" s="77">
        <f t="shared" si="31"/>
        <v>0</v>
      </c>
      <c r="AG43" s="77">
        <f t="shared" si="31"/>
        <v>0</v>
      </c>
      <c r="AH43" s="77">
        <f t="shared" si="31"/>
        <v>0</v>
      </c>
      <c r="AI43" s="77">
        <f t="shared" si="31"/>
        <v>0</v>
      </c>
    </row>
    <row r="44" spans="1:35">
      <c r="C44" s="83" t="s">
        <v>208</v>
      </c>
      <c r="D44" s="117" t="s">
        <v>207</v>
      </c>
      <c r="E44" s="75">
        <f t="shared" ref="E44:AI44" si="32">E15/60</f>
        <v>0.85</v>
      </c>
      <c r="F44" s="75">
        <f t="shared" si="32"/>
        <v>0</v>
      </c>
      <c r="G44" s="75">
        <f t="shared" si="32"/>
        <v>0</v>
      </c>
      <c r="H44" s="75">
        <f t="shared" si="32"/>
        <v>1</v>
      </c>
      <c r="I44" s="75">
        <f t="shared" si="32"/>
        <v>0</v>
      </c>
      <c r="J44" s="75">
        <f t="shared" si="32"/>
        <v>0</v>
      </c>
      <c r="K44" s="75">
        <f t="shared" si="32"/>
        <v>0</v>
      </c>
      <c r="L44" s="75">
        <f t="shared" si="32"/>
        <v>0</v>
      </c>
      <c r="M44" s="75">
        <f t="shared" si="32"/>
        <v>1</v>
      </c>
      <c r="N44" s="75">
        <f t="shared" si="32"/>
        <v>0</v>
      </c>
      <c r="O44" s="75">
        <f t="shared" si="32"/>
        <v>0.15</v>
      </c>
      <c r="P44" s="75">
        <f t="shared" si="32"/>
        <v>0</v>
      </c>
      <c r="Q44" s="75">
        <f t="shared" si="32"/>
        <v>0</v>
      </c>
      <c r="R44" s="75">
        <f t="shared" si="32"/>
        <v>0</v>
      </c>
      <c r="S44" s="75">
        <f t="shared" si="32"/>
        <v>0</v>
      </c>
      <c r="T44" s="75">
        <f t="shared" si="32"/>
        <v>0</v>
      </c>
      <c r="U44" s="75">
        <f t="shared" si="32"/>
        <v>0</v>
      </c>
      <c r="V44" s="75">
        <f t="shared" si="32"/>
        <v>0</v>
      </c>
      <c r="W44" s="75">
        <f t="shared" si="32"/>
        <v>0</v>
      </c>
      <c r="X44" s="75">
        <f t="shared" si="32"/>
        <v>0</v>
      </c>
      <c r="Y44" s="75">
        <f t="shared" si="32"/>
        <v>0</v>
      </c>
      <c r="Z44" s="75">
        <f t="shared" si="32"/>
        <v>0</v>
      </c>
      <c r="AA44" s="75">
        <f t="shared" si="32"/>
        <v>0</v>
      </c>
      <c r="AB44" s="75">
        <f t="shared" si="32"/>
        <v>0</v>
      </c>
      <c r="AC44" s="75">
        <f t="shared" si="32"/>
        <v>0</v>
      </c>
      <c r="AD44" s="75">
        <f t="shared" si="32"/>
        <v>0</v>
      </c>
      <c r="AE44" s="75">
        <f t="shared" si="32"/>
        <v>0</v>
      </c>
      <c r="AF44" s="75">
        <f t="shared" si="32"/>
        <v>0</v>
      </c>
      <c r="AG44" s="75">
        <f t="shared" si="32"/>
        <v>0</v>
      </c>
      <c r="AH44" s="75">
        <f t="shared" si="32"/>
        <v>0</v>
      </c>
      <c r="AI44" s="75">
        <f t="shared" si="32"/>
        <v>0</v>
      </c>
    </row>
    <row r="45" spans="1:35">
      <c r="C45" s="83" t="s">
        <v>196</v>
      </c>
      <c r="D45" s="117"/>
      <c r="E45" s="75">
        <v>2</v>
      </c>
      <c r="F45" s="75"/>
      <c r="G45" s="75"/>
      <c r="H45" s="75">
        <v>1.5</v>
      </c>
      <c r="I45" s="75"/>
      <c r="J45" s="75"/>
      <c r="K45" s="75"/>
      <c r="L45" s="75"/>
      <c r="M45" s="75">
        <v>4</v>
      </c>
      <c r="N45" s="75"/>
      <c r="O45" s="75"/>
      <c r="P45" s="75"/>
      <c r="Q45" s="75">
        <v>4</v>
      </c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</row>
    <row r="46" spans="1:35">
      <c r="C46" s="83" t="s">
        <v>203</v>
      </c>
      <c r="D46" s="117"/>
      <c r="E46" s="75">
        <f>E45*E44</f>
        <v>1.7</v>
      </c>
      <c r="F46" s="75">
        <f t="shared" ref="F46:AI46" si="33">F45*F44</f>
        <v>0</v>
      </c>
      <c r="G46" s="75">
        <f t="shared" si="33"/>
        <v>0</v>
      </c>
      <c r="H46" s="75">
        <f t="shared" si="33"/>
        <v>1.5</v>
      </c>
      <c r="I46" s="75">
        <f t="shared" si="33"/>
        <v>0</v>
      </c>
      <c r="J46" s="75">
        <f t="shared" si="33"/>
        <v>0</v>
      </c>
      <c r="K46" s="75">
        <f t="shared" si="33"/>
        <v>0</v>
      </c>
      <c r="L46" s="75">
        <f t="shared" si="33"/>
        <v>0</v>
      </c>
      <c r="M46" s="75">
        <f t="shared" si="33"/>
        <v>4</v>
      </c>
      <c r="N46" s="75">
        <f t="shared" si="33"/>
        <v>0</v>
      </c>
      <c r="O46" s="75">
        <f t="shared" si="33"/>
        <v>0</v>
      </c>
      <c r="P46" s="75">
        <f t="shared" si="33"/>
        <v>0</v>
      </c>
      <c r="Q46" s="75">
        <f t="shared" si="33"/>
        <v>0</v>
      </c>
      <c r="R46" s="75">
        <f t="shared" si="33"/>
        <v>0</v>
      </c>
      <c r="S46" s="75">
        <f t="shared" si="33"/>
        <v>0</v>
      </c>
      <c r="T46" s="75">
        <f t="shared" si="33"/>
        <v>0</v>
      </c>
      <c r="U46" s="75">
        <f t="shared" si="33"/>
        <v>0</v>
      </c>
      <c r="V46" s="75">
        <f t="shared" si="33"/>
        <v>0</v>
      </c>
      <c r="W46" s="75">
        <f t="shared" si="33"/>
        <v>0</v>
      </c>
      <c r="X46" s="75">
        <f t="shared" si="33"/>
        <v>0</v>
      </c>
      <c r="Y46" s="75">
        <f t="shared" si="33"/>
        <v>0</v>
      </c>
      <c r="Z46" s="75">
        <f t="shared" si="33"/>
        <v>0</v>
      </c>
      <c r="AA46" s="75">
        <f t="shared" si="33"/>
        <v>0</v>
      </c>
      <c r="AB46" s="75">
        <f>AB45*AB44</f>
        <v>0</v>
      </c>
      <c r="AC46" s="75">
        <f>AC45*AC44</f>
        <v>0</v>
      </c>
      <c r="AD46" s="75">
        <f t="shared" si="33"/>
        <v>0</v>
      </c>
      <c r="AE46" s="75">
        <f t="shared" si="33"/>
        <v>0</v>
      </c>
      <c r="AF46" s="75">
        <f t="shared" si="33"/>
        <v>0</v>
      </c>
      <c r="AG46" s="75">
        <f t="shared" si="33"/>
        <v>0</v>
      </c>
      <c r="AH46" s="75">
        <f t="shared" si="33"/>
        <v>0</v>
      </c>
      <c r="AI46" s="75">
        <f t="shared" si="33"/>
        <v>0</v>
      </c>
    </row>
    <row r="47" spans="1:35">
      <c r="C47" s="84" t="s">
        <v>208</v>
      </c>
      <c r="D47" s="117"/>
      <c r="E47" s="76">
        <f t="shared" ref="E47:AI47" si="34">E23/60</f>
        <v>2.3333333333333335</v>
      </c>
      <c r="F47" s="76">
        <f t="shared" si="34"/>
        <v>0</v>
      </c>
      <c r="G47" s="76">
        <f t="shared" si="34"/>
        <v>0</v>
      </c>
      <c r="H47" s="76">
        <f t="shared" si="34"/>
        <v>1.3333333333333333</v>
      </c>
      <c r="I47" s="76">
        <f t="shared" si="34"/>
        <v>3.9166666666666665</v>
      </c>
      <c r="J47" s="76">
        <f t="shared" si="34"/>
        <v>3.3333333333333335</v>
      </c>
      <c r="K47" s="76">
        <f t="shared" si="34"/>
        <v>0.33333333333333331</v>
      </c>
      <c r="L47" s="76">
        <f t="shared" si="34"/>
        <v>0</v>
      </c>
      <c r="M47" s="76">
        <f t="shared" si="34"/>
        <v>0</v>
      </c>
      <c r="N47" s="76">
        <f t="shared" si="34"/>
        <v>0</v>
      </c>
      <c r="O47" s="76">
        <f t="shared" si="34"/>
        <v>0.33333333333333331</v>
      </c>
      <c r="P47" s="76">
        <f t="shared" si="34"/>
        <v>0.66666666666666663</v>
      </c>
      <c r="Q47" s="76">
        <f t="shared" si="34"/>
        <v>2.6666666666666665</v>
      </c>
      <c r="R47" s="76">
        <f t="shared" si="34"/>
        <v>1</v>
      </c>
      <c r="S47" s="76">
        <f t="shared" si="34"/>
        <v>0</v>
      </c>
      <c r="T47" s="76">
        <f t="shared" si="34"/>
        <v>0</v>
      </c>
      <c r="U47" s="76">
        <f t="shared" si="34"/>
        <v>0</v>
      </c>
      <c r="V47" s="76">
        <f t="shared" si="34"/>
        <v>0</v>
      </c>
      <c r="W47" s="76">
        <f t="shared" si="34"/>
        <v>0</v>
      </c>
      <c r="X47" s="76">
        <f t="shared" si="34"/>
        <v>0</v>
      </c>
      <c r="Y47" s="76">
        <f t="shared" si="34"/>
        <v>0</v>
      </c>
      <c r="Z47" s="76">
        <f t="shared" si="34"/>
        <v>0</v>
      </c>
      <c r="AA47" s="76">
        <f t="shared" si="34"/>
        <v>0</v>
      </c>
      <c r="AB47" s="76">
        <f t="shared" si="34"/>
        <v>0</v>
      </c>
      <c r="AC47" s="76">
        <f t="shared" si="34"/>
        <v>0</v>
      </c>
      <c r="AD47" s="76">
        <f t="shared" si="34"/>
        <v>0</v>
      </c>
      <c r="AE47" s="76">
        <f t="shared" si="34"/>
        <v>0</v>
      </c>
      <c r="AF47" s="76">
        <f t="shared" si="34"/>
        <v>0</v>
      </c>
      <c r="AG47" s="76">
        <f t="shared" si="34"/>
        <v>0</v>
      </c>
      <c r="AH47" s="76">
        <f t="shared" si="34"/>
        <v>0</v>
      </c>
      <c r="AI47" s="76">
        <f t="shared" si="34"/>
        <v>0</v>
      </c>
    </row>
    <row r="48" spans="1:35">
      <c r="C48" s="84" t="s">
        <v>196</v>
      </c>
      <c r="D48" s="117"/>
      <c r="E48" s="76">
        <v>2</v>
      </c>
      <c r="F48" s="76"/>
      <c r="G48" s="76"/>
      <c r="H48" s="76">
        <v>2.5</v>
      </c>
      <c r="I48" s="76">
        <v>4</v>
      </c>
      <c r="J48" s="76">
        <v>4</v>
      </c>
      <c r="K48" s="76">
        <v>2</v>
      </c>
      <c r="L48" s="76">
        <v>4</v>
      </c>
      <c r="M48" s="76"/>
      <c r="N48" s="76"/>
      <c r="O48" s="76"/>
      <c r="P48" s="76">
        <v>4</v>
      </c>
      <c r="Q48" s="76"/>
      <c r="R48" s="76">
        <v>4</v>
      </c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</row>
    <row r="49" spans="3:35">
      <c r="C49" s="84" t="s">
        <v>204</v>
      </c>
      <c r="D49" s="117"/>
      <c r="E49" s="76">
        <f>E48*E47</f>
        <v>4.666666666666667</v>
      </c>
      <c r="F49" s="76">
        <f t="shared" ref="F49:AA49" si="35">F48*F47</f>
        <v>0</v>
      </c>
      <c r="G49" s="76">
        <f t="shared" si="35"/>
        <v>0</v>
      </c>
      <c r="H49" s="76">
        <f t="shared" si="35"/>
        <v>3.333333333333333</v>
      </c>
      <c r="I49" s="76">
        <f t="shared" si="35"/>
        <v>15.666666666666666</v>
      </c>
      <c r="J49" s="76">
        <f t="shared" si="35"/>
        <v>13.333333333333334</v>
      </c>
      <c r="K49" s="76">
        <f t="shared" si="35"/>
        <v>0.66666666666666663</v>
      </c>
      <c r="L49" s="76">
        <f t="shared" si="35"/>
        <v>0</v>
      </c>
      <c r="M49" s="76">
        <f t="shared" si="35"/>
        <v>0</v>
      </c>
      <c r="N49" s="76">
        <f t="shared" si="35"/>
        <v>0</v>
      </c>
      <c r="O49" s="76">
        <f t="shared" si="35"/>
        <v>0</v>
      </c>
      <c r="P49" s="76">
        <f t="shared" si="35"/>
        <v>2.6666666666666665</v>
      </c>
      <c r="Q49" s="76">
        <f t="shared" si="35"/>
        <v>0</v>
      </c>
      <c r="R49" s="76">
        <f t="shared" si="35"/>
        <v>4</v>
      </c>
      <c r="S49" s="76">
        <f t="shared" si="35"/>
        <v>0</v>
      </c>
      <c r="T49" s="76">
        <f t="shared" si="35"/>
        <v>0</v>
      </c>
      <c r="U49" s="76">
        <f t="shared" si="35"/>
        <v>0</v>
      </c>
      <c r="V49" s="76">
        <f t="shared" si="35"/>
        <v>0</v>
      </c>
      <c r="W49" s="76">
        <f t="shared" si="35"/>
        <v>0</v>
      </c>
      <c r="X49" s="76">
        <f t="shared" si="35"/>
        <v>0</v>
      </c>
      <c r="Y49" s="76">
        <f t="shared" si="35"/>
        <v>0</v>
      </c>
      <c r="Z49" s="76">
        <f t="shared" si="35"/>
        <v>0</v>
      </c>
      <c r="AA49" s="76">
        <f t="shared" si="35"/>
        <v>0</v>
      </c>
      <c r="AB49" s="76">
        <f>AB48*AB47</f>
        <v>0</v>
      </c>
      <c r="AC49" s="76">
        <f>AC48*AC47</f>
        <v>0</v>
      </c>
      <c r="AD49" s="76">
        <f t="shared" ref="AD49:AI49" si="36">AD48*AD47</f>
        <v>0</v>
      </c>
      <c r="AE49" s="76">
        <f t="shared" si="36"/>
        <v>0</v>
      </c>
      <c r="AF49" s="76">
        <f t="shared" si="36"/>
        <v>0</v>
      </c>
      <c r="AG49" s="76">
        <f t="shared" si="36"/>
        <v>0</v>
      </c>
      <c r="AH49" s="76">
        <f t="shared" si="36"/>
        <v>0</v>
      </c>
      <c r="AI49" s="76">
        <f t="shared" si="36"/>
        <v>0</v>
      </c>
    </row>
    <row r="50" spans="3:35">
      <c r="C50" s="85" t="s">
        <v>208</v>
      </c>
      <c r="D50" s="117"/>
      <c r="E50" s="77">
        <f t="shared" ref="E50:AI50" si="37">E31/60</f>
        <v>0</v>
      </c>
      <c r="F50" s="77">
        <f t="shared" si="37"/>
        <v>0</v>
      </c>
      <c r="G50" s="77">
        <f t="shared" si="37"/>
        <v>0</v>
      </c>
      <c r="H50" s="77">
        <f t="shared" si="37"/>
        <v>0</v>
      </c>
      <c r="I50" s="77">
        <f t="shared" si="37"/>
        <v>0</v>
      </c>
      <c r="J50" s="77">
        <f t="shared" si="37"/>
        <v>0</v>
      </c>
      <c r="K50" s="77">
        <f t="shared" si="37"/>
        <v>0</v>
      </c>
      <c r="L50" s="77">
        <f t="shared" si="37"/>
        <v>0</v>
      </c>
      <c r="M50" s="77">
        <f t="shared" si="37"/>
        <v>0</v>
      </c>
      <c r="N50" s="77">
        <f t="shared" si="37"/>
        <v>0</v>
      </c>
      <c r="O50" s="77">
        <f t="shared" si="37"/>
        <v>0</v>
      </c>
      <c r="P50" s="77">
        <f t="shared" si="37"/>
        <v>0</v>
      </c>
      <c r="Q50" s="77">
        <f t="shared" si="37"/>
        <v>0</v>
      </c>
      <c r="R50" s="77">
        <f t="shared" si="37"/>
        <v>5</v>
      </c>
      <c r="S50" s="77">
        <f t="shared" si="37"/>
        <v>0</v>
      </c>
      <c r="T50" s="77">
        <f t="shared" si="37"/>
        <v>0</v>
      </c>
      <c r="U50" s="77">
        <f t="shared" si="37"/>
        <v>0</v>
      </c>
      <c r="V50" s="77">
        <f t="shared" si="37"/>
        <v>0</v>
      </c>
      <c r="W50" s="77">
        <f t="shared" si="37"/>
        <v>0</v>
      </c>
      <c r="X50" s="77">
        <f t="shared" si="37"/>
        <v>0</v>
      </c>
      <c r="Y50" s="77">
        <f t="shared" si="37"/>
        <v>0</v>
      </c>
      <c r="Z50" s="77">
        <f t="shared" si="37"/>
        <v>0</v>
      </c>
      <c r="AA50" s="77">
        <f t="shared" si="37"/>
        <v>0</v>
      </c>
      <c r="AB50" s="77">
        <f t="shared" si="37"/>
        <v>0</v>
      </c>
      <c r="AC50" s="77">
        <f t="shared" si="37"/>
        <v>0</v>
      </c>
      <c r="AD50" s="77">
        <f t="shared" si="37"/>
        <v>0</v>
      </c>
      <c r="AE50" s="77">
        <f t="shared" si="37"/>
        <v>0</v>
      </c>
      <c r="AF50" s="77">
        <f t="shared" si="37"/>
        <v>0</v>
      </c>
      <c r="AG50" s="77">
        <f t="shared" si="37"/>
        <v>0</v>
      </c>
      <c r="AH50" s="77">
        <f t="shared" si="37"/>
        <v>0</v>
      </c>
      <c r="AI50" s="77">
        <f t="shared" si="37"/>
        <v>0</v>
      </c>
    </row>
    <row r="51" spans="3:35">
      <c r="C51" s="85" t="s">
        <v>196</v>
      </c>
      <c r="D51" s="117"/>
      <c r="E51" s="77"/>
      <c r="F51" s="77"/>
      <c r="G51" s="77"/>
      <c r="H51" s="77"/>
      <c r="I51" s="77"/>
      <c r="J51" s="77">
        <v>4</v>
      </c>
      <c r="K51" s="77"/>
      <c r="L51" s="77"/>
      <c r="M51" s="77"/>
      <c r="N51" s="77"/>
      <c r="O51" s="77"/>
      <c r="P51" s="77"/>
      <c r="Q51" s="77">
        <v>2</v>
      </c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</row>
    <row r="52" spans="3:35">
      <c r="C52" s="85" t="s">
        <v>205</v>
      </c>
      <c r="D52" s="118"/>
      <c r="E52" s="77">
        <f>E51*E50</f>
        <v>0</v>
      </c>
      <c r="F52" s="77">
        <f t="shared" ref="F52:AA52" si="38">F51*F50</f>
        <v>0</v>
      </c>
      <c r="G52" s="77">
        <f t="shared" si="38"/>
        <v>0</v>
      </c>
      <c r="H52" s="77">
        <f t="shared" si="38"/>
        <v>0</v>
      </c>
      <c r="I52" s="77">
        <f t="shared" si="38"/>
        <v>0</v>
      </c>
      <c r="J52" s="77">
        <f t="shared" si="38"/>
        <v>0</v>
      </c>
      <c r="K52" s="77">
        <f t="shared" si="38"/>
        <v>0</v>
      </c>
      <c r="L52" s="77">
        <f t="shared" si="38"/>
        <v>0</v>
      </c>
      <c r="M52" s="77">
        <f t="shared" si="38"/>
        <v>0</v>
      </c>
      <c r="N52" s="77">
        <f t="shared" si="38"/>
        <v>0</v>
      </c>
      <c r="O52" s="77">
        <f t="shared" si="38"/>
        <v>0</v>
      </c>
      <c r="P52" s="77">
        <f t="shared" si="38"/>
        <v>0</v>
      </c>
      <c r="Q52" s="77">
        <f t="shared" si="38"/>
        <v>0</v>
      </c>
      <c r="R52" s="77">
        <f t="shared" si="38"/>
        <v>0</v>
      </c>
      <c r="S52" s="77">
        <f t="shared" si="38"/>
        <v>0</v>
      </c>
      <c r="T52" s="77">
        <f t="shared" si="38"/>
        <v>0</v>
      </c>
      <c r="U52" s="77">
        <f t="shared" si="38"/>
        <v>0</v>
      </c>
      <c r="V52" s="77">
        <f t="shared" si="38"/>
        <v>0</v>
      </c>
      <c r="W52" s="77">
        <f t="shared" si="38"/>
        <v>0</v>
      </c>
      <c r="X52" s="77">
        <f t="shared" si="38"/>
        <v>0</v>
      </c>
      <c r="Y52" s="77">
        <f t="shared" si="38"/>
        <v>0</v>
      </c>
      <c r="Z52" s="77">
        <f t="shared" si="38"/>
        <v>0</v>
      </c>
      <c r="AA52" s="77">
        <f t="shared" si="38"/>
        <v>0</v>
      </c>
      <c r="AB52" s="77">
        <f>AB51*AB50</f>
        <v>0</v>
      </c>
      <c r="AC52" s="77">
        <f>AC51*AC50</f>
        <v>0</v>
      </c>
      <c r="AD52" s="77">
        <f t="shared" ref="AD52:AI52" si="39">AD51*AD50</f>
        <v>0</v>
      </c>
      <c r="AE52" s="77">
        <f t="shared" si="39"/>
        <v>0</v>
      </c>
      <c r="AF52" s="77">
        <f t="shared" si="39"/>
        <v>0</v>
      </c>
      <c r="AG52" s="77">
        <f t="shared" si="39"/>
        <v>0</v>
      </c>
      <c r="AH52" s="77">
        <f t="shared" si="39"/>
        <v>0</v>
      </c>
      <c r="AI52" s="77">
        <f t="shared" si="39"/>
        <v>0</v>
      </c>
    </row>
    <row r="53" spans="3:35" ht="26">
      <c r="C53" s="90" t="s">
        <v>212</v>
      </c>
      <c r="D53" s="93"/>
      <c r="E53" s="94">
        <f t="shared" ref="E53:AI53" si="40">E37+E40+E43+E46+E49+E52</f>
        <v>44.750000000000007</v>
      </c>
      <c r="F53" s="94">
        <f t="shared" si="40"/>
        <v>62.208333333333329</v>
      </c>
      <c r="G53" s="94">
        <f t="shared" si="40"/>
        <v>0</v>
      </c>
      <c r="H53" s="94">
        <f t="shared" si="40"/>
        <v>25.666666666666668</v>
      </c>
      <c r="I53" s="94">
        <f t="shared" si="40"/>
        <v>54.833333333333329</v>
      </c>
      <c r="J53" s="94">
        <f t="shared" si="40"/>
        <v>42.866666666666667</v>
      </c>
      <c r="K53" s="94">
        <f t="shared" si="40"/>
        <v>20.200000000000003</v>
      </c>
      <c r="L53" s="94">
        <f t="shared" si="40"/>
        <v>23.933333333333334</v>
      </c>
      <c r="M53" s="94">
        <f t="shared" si="40"/>
        <v>39.658333333333331</v>
      </c>
      <c r="N53" s="94">
        <f t="shared" si="40"/>
        <v>16</v>
      </c>
      <c r="O53" s="94">
        <f t="shared" si="40"/>
        <v>25.8</v>
      </c>
      <c r="P53" s="94">
        <f t="shared" si="40"/>
        <v>37.166666666666664</v>
      </c>
      <c r="Q53" s="94">
        <f t="shared" si="40"/>
        <v>41.5</v>
      </c>
      <c r="R53" s="94">
        <f t="shared" si="40"/>
        <v>17.7</v>
      </c>
      <c r="S53" s="94">
        <f t="shared" si="40"/>
        <v>0</v>
      </c>
      <c r="T53" s="94">
        <f t="shared" si="40"/>
        <v>0</v>
      </c>
      <c r="U53" s="94">
        <f t="shared" si="40"/>
        <v>0</v>
      </c>
      <c r="V53" s="94">
        <f t="shared" si="40"/>
        <v>0</v>
      </c>
      <c r="W53" s="94">
        <f t="shared" si="40"/>
        <v>0</v>
      </c>
      <c r="X53" s="94">
        <f t="shared" si="40"/>
        <v>0</v>
      </c>
      <c r="Y53" s="94">
        <f t="shared" si="40"/>
        <v>0</v>
      </c>
      <c r="Z53" s="94">
        <f t="shared" si="40"/>
        <v>0</v>
      </c>
      <c r="AA53" s="94">
        <f t="shared" si="40"/>
        <v>0</v>
      </c>
      <c r="AB53" s="94">
        <f t="shared" si="40"/>
        <v>0</v>
      </c>
      <c r="AC53" s="94">
        <f t="shared" si="40"/>
        <v>0</v>
      </c>
      <c r="AD53" s="94">
        <f t="shared" si="40"/>
        <v>0</v>
      </c>
      <c r="AE53" s="94">
        <f t="shared" si="40"/>
        <v>0</v>
      </c>
      <c r="AF53" s="94">
        <f t="shared" si="40"/>
        <v>0</v>
      </c>
      <c r="AG53" s="94">
        <f t="shared" si="40"/>
        <v>0</v>
      </c>
      <c r="AH53" s="94">
        <f t="shared" si="40"/>
        <v>0</v>
      </c>
      <c r="AI53" s="94">
        <f t="shared" si="40"/>
        <v>0</v>
      </c>
    </row>
    <row r="54" spans="3:35">
      <c r="C54" s="83" t="s">
        <v>198</v>
      </c>
      <c r="D54" s="119" t="s">
        <v>206</v>
      </c>
      <c r="E54" s="79">
        <f t="shared" ref="E54:AI54" si="41">E36*8</f>
        <v>28</v>
      </c>
      <c r="F54" s="79">
        <f t="shared" si="41"/>
        <v>28</v>
      </c>
      <c r="G54" s="79">
        <f t="shared" si="41"/>
        <v>0</v>
      </c>
      <c r="H54" s="79">
        <f t="shared" si="41"/>
        <v>28</v>
      </c>
      <c r="I54" s="79">
        <f t="shared" si="41"/>
        <v>28</v>
      </c>
      <c r="J54" s="79">
        <f t="shared" si="41"/>
        <v>0</v>
      </c>
      <c r="K54" s="79">
        <f t="shared" si="41"/>
        <v>0</v>
      </c>
      <c r="L54" s="79">
        <f t="shared" si="41"/>
        <v>0</v>
      </c>
      <c r="M54" s="79">
        <f t="shared" si="41"/>
        <v>28</v>
      </c>
      <c r="N54" s="79">
        <f t="shared" si="41"/>
        <v>32</v>
      </c>
      <c r="O54" s="79">
        <f t="shared" si="41"/>
        <v>32</v>
      </c>
      <c r="P54" s="79">
        <f t="shared" si="41"/>
        <v>28</v>
      </c>
      <c r="Q54" s="79">
        <f t="shared" si="41"/>
        <v>28</v>
      </c>
      <c r="R54" s="79">
        <f t="shared" si="41"/>
        <v>40</v>
      </c>
      <c r="S54" s="79">
        <f t="shared" si="41"/>
        <v>0</v>
      </c>
      <c r="T54" s="79">
        <f t="shared" si="41"/>
        <v>0</v>
      </c>
      <c r="U54" s="79">
        <f t="shared" si="41"/>
        <v>0</v>
      </c>
      <c r="V54" s="79">
        <f t="shared" si="41"/>
        <v>0</v>
      </c>
      <c r="W54" s="79">
        <f t="shared" si="41"/>
        <v>0</v>
      </c>
      <c r="X54" s="79">
        <f t="shared" si="41"/>
        <v>0</v>
      </c>
      <c r="Y54" s="79">
        <f t="shared" si="41"/>
        <v>0</v>
      </c>
      <c r="Z54" s="79">
        <f t="shared" si="41"/>
        <v>0</v>
      </c>
      <c r="AA54" s="79">
        <f t="shared" si="41"/>
        <v>0</v>
      </c>
      <c r="AB54" s="79">
        <f t="shared" si="41"/>
        <v>0</v>
      </c>
      <c r="AC54" s="79">
        <f t="shared" si="41"/>
        <v>0</v>
      </c>
      <c r="AD54" s="79">
        <f t="shared" si="41"/>
        <v>0</v>
      </c>
      <c r="AE54" s="79">
        <f t="shared" si="41"/>
        <v>0</v>
      </c>
      <c r="AF54" s="79">
        <f t="shared" si="41"/>
        <v>0</v>
      </c>
      <c r="AG54" s="79">
        <f t="shared" si="41"/>
        <v>0</v>
      </c>
      <c r="AH54" s="79">
        <f t="shared" si="41"/>
        <v>0</v>
      </c>
      <c r="AI54" s="79">
        <f t="shared" si="41"/>
        <v>0</v>
      </c>
    </row>
    <row r="55" spans="3:35">
      <c r="C55" s="83" t="s">
        <v>199</v>
      </c>
      <c r="D55" s="120"/>
      <c r="E55" s="79">
        <f t="shared" ref="E55:AI55" si="42">E39*8</f>
        <v>28</v>
      </c>
      <c r="F55" s="79">
        <f t="shared" si="42"/>
        <v>28</v>
      </c>
      <c r="G55" s="79">
        <f t="shared" si="42"/>
        <v>0</v>
      </c>
      <c r="H55" s="79">
        <f t="shared" si="42"/>
        <v>28</v>
      </c>
      <c r="I55" s="79">
        <f t="shared" si="42"/>
        <v>28</v>
      </c>
      <c r="J55" s="79">
        <f t="shared" si="42"/>
        <v>32</v>
      </c>
      <c r="K55" s="79">
        <f t="shared" si="42"/>
        <v>32</v>
      </c>
      <c r="L55" s="79">
        <f t="shared" si="42"/>
        <v>32</v>
      </c>
      <c r="M55" s="79">
        <f t="shared" si="42"/>
        <v>28</v>
      </c>
      <c r="N55" s="79">
        <f t="shared" si="42"/>
        <v>0</v>
      </c>
      <c r="O55" s="79">
        <f t="shared" si="42"/>
        <v>16</v>
      </c>
      <c r="P55" s="79">
        <f t="shared" si="42"/>
        <v>28</v>
      </c>
      <c r="Q55" s="79">
        <f t="shared" si="42"/>
        <v>28</v>
      </c>
      <c r="R55" s="79">
        <f t="shared" si="42"/>
        <v>40</v>
      </c>
      <c r="S55" s="79">
        <f t="shared" si="42"/>
        <v>0</v>
      </c>
      <c r="T55" s="79">
        <f t="shared" si="42"/>
        <v>0</v>
      </c>
      <c r="U55" s="79">
        <f t="shared" si="42"/>
        <v>0</v>
      </c>
      <c r="V55" s="79">
        <f t="shared" si="42"/>
        <v>0</v>
      </c>
      <c r="W55" s="79">
        <f t="shared" si="42"/>
        <v>0</v>
      </c>
      <c r="X55" s="79">
        <f t="shared" si="42"/>
        <v>0</v>
      </c>
      <c r="Y55" s="79">
        <f t="shared" si="42"/>
        <v>0</v>
      </c>
      <c r="Z55" s="79">
        <f t="shared" si="42"/>
        <v>0</v>
      </c>
      <c r="AA55" s="79">
        <f t="shared" si="42"/>
        <v>0</v>
      </c>
      <c r="AB55" s="79">
        <f t="shared" si="42"/>
        <v>0</v>
      </c>
      <c r="AC55" s="79">
        <f t="shared" si="42"/>
        <v>0</v>
      </c>
      <c r="AD55" s="79">
        <f t="shared" si="42"/>
        <v>0</v>
      </c>
      <c r="AE55" s="79">
        <f t="shared" si="42"/>
        <v>0</v>
      </c>
      <c r="AF55" s="79">
        <f t="shared" si="42"/>
        <v>0</v>
      </c>
      <c r="AG55" s="79">
        <f t="shared" si="42"/>
        <v>0</v>
      </c>
      <c r="AH55" s="79">
        <f t="shared" si="42"/>
        <v>0</v>
      </c>
      <c r="AI55" s="79">
        <f t="shared" si="42"/>
        <v>0</v>
      </c>
    </row>
    <row r="56" spans="3:35">
      <c r="C56" s="83" t="s">
        <v>200</v>
      </c>
      <c r="D56" s="121"/>
      <c r="E56" s="79">
        <f t="shared" ref="E56:AI56" si="43">E42*8</f>
        <v>32</v>
      </c>
      <c r="F56" s="79">
        <f t="shared" si="43"/>
        <v>32</v>
      </c>
      <c r="G56" s="79">
        <f t="shared" si="43"/>
        <v>0</v>
      </c>
      <c r="H56" s="79">
        <f t="shared" si="43"/>
        <v>32</v>
      </c>
      <c r="I56" s="79">
        <f t="shared" si="43"/>
        <v>32</v>
      </c>
      <c r="J56" s="79">
        <f t="shared" si="43"/>
        <v>32</v>
      </c>
      <c r="K56" s="79">
        <f t="shared" si="43"/>
        <v>32</v>
      </c>
      <c r="L56" s="79">
        <f t="shared" si="43"/>
        <v>32</v>
      </c>
      <c r="M56" s="79">
        <f t="shared" si="43"/>
        <v>32</v>
      </c>
      <c r="N56" s="79">
        <f t="shared" si="43"/>
        <v>0</v>
      </c>
      <c r="O56" s="79">
        <f t="shared" si="43"/>
        <v>32</v>
      </c>
      <c r="P56" s="79">
        <f t="shared" si="43"/>
        <v>24</v>
      </c>
      <c r="Q56" s="79">
        <f t="shared" si="43"/>
        <v>24</v>
      </c>
      <c r="R56" s="79">
        <f t="shared" si="43"/>
        <v>24</v>
      </c>
      <c r="S56" s="79">
        <f t="shared" si="43"/>
        <v>0</v>
      </c>
      <c r="T56" s="79">
        <f t="shared" si="43"/>
        <v>0</v>
      </c>
      <c r="U56" s="79">
        <f t="shared" si="43"/>
        <v>0</v>
      </c>
      <c r="V56" s="79">
        <f t="shared" si="43"/>
        <v>0</v>
      </c>
      <c r="W56" s="79">
        <f t="shared" si="43"/>
        <v>0</v>
      </c>
      <c r="X56" s="79">
        <f t="shared" si="43"/>
        <v>0</v>
      </c>
      <c r="Y56" s="79">
        <f t="shared" si="43"/>
        <v>0</v>
      </c>
      <c r="Z56" s="79">
        <f t="shared" si="43"/>
        <v>0</v>
      </c>
      <c r="AA56" s="79">
        <f t="shared" si="43"/>
        <v>0</v>
      </c>
      <c r="AB56" s="79">
        <f t="shared" si="43"/>
        <v>0</v>
      </c>
      <c r="AC56" s="79">
        <f t="shared" si="43"/>
        <v>0</v>
      </c>
      <c r="AD56" s="79">
        <f t="shared" si="43"/>
        <v>0</v>
      </c>
      <c r="AE56" s="79">
        <f t="shared" si="43"/>
        <v>0</v>
      </c>
      <c r="AF56" s="79">
        <f t="shared" si="43"/>
        <v>0</v>
      </c>
      <c r="AG56" s="79">
        <f t="shared" si="43"/>
        <v>0</v>
      </c>
      <c r="AH56" s="79">
        <f t="shared" si="43"/>
        <v>0</v>
      </c>
      <c r="AI56" s="79">
        <f t="shared" si="43"/>
        <v>0</v>
      </c>
    </row>
    <row r="57" spans="3:35">
      <c r="C57" s="87" t="s">
        <v>198</v>
      </c>
      <c r="D57" s="122" t="s">
        <v>207</v>
      </c>
      <c r="E57" s="80">
        <f t="shared" ref="E57:AI57" si="44">+E45*8</f>
        <v>16</v>
      </c>
      <c r="F57" s="80">
        <f t="shared" si="44"/>
        <v>0</v>
      </c>
      <c r="G57" s="80">
        <f t="shared" si="44"/>
        <v>0</v>
      </c>
      <c r="H57" s="80">
        <f t="shared" si="44"/>
        <v>12</v>
      </c>
      <c r="I57" s="80">
        <f t="shared" si="44"/>
        <v>0</v>
      </c>
      <c r="J57" s="80">
        <f t="shared" si="44"/>
        <v>0</v>
      </c>
      <c r="K57" s="80">
        <f t="shared" si="44"/>
        <v>0</v>
      </c>
      <c r="L57" s="80">
        <f t="shared" si="44"/>
        <v>0</v>
      </c>
      <c r="M57" s="80">
        <f t="shared" si="44"/>
        <v>32</v>
      </c>
      <c r="N57" s="80">
        <f t="shared" si="44"/>
        <v>0</v>
      </c>
      <c r="O57" s="80">
        <f t="shared" si="44"/>
        <v>0</v>
      </c>
      <c r="P57" s="80">
        <f t="shared" si="44"/>
        <v>0</v>
      </c>
      <c r="Q57" s="80">
        <f t="shared" si="44"/>
        <v>32</v>
      </c>
      <c r="R57" s="80">
        <f t="shared" si="44"/>
        <v>0</v>
      </c>
      <c r="S57" s="80">
        <f t="shared" si="44"/>
        <v>0</v>
      </c>
      <c r="T57" s="80">
        <f t="shared" si="44"/>
        <v>0</v>
      </c>
      <c r="U57" s="80">
        <f t="shared" si="44"/>
        <v>0</v>
      </c>
      <c r="V57" s="80">
        <f t="shared" si="44"/>
        <v>0</v>
      </c>
      <c r="W57" s="80">
        <f t="shared" si="44"/>
        <v>0</v>
      </c>
      <c r="X57" s="80">
        <f t="shared" si="44"/>
        <v>0</v>
      </c>
      <c r="Y57" s="80">
        <f t="shared" si="44"/>
        <v>0</v>
      </c>
      <c r="Z57" s="80">
        <f t="shared" si="44"/>
        <v>0</v>
      </c>
      <c r="AA57" s="80">
        <f t="shared" si="44"/>
        <v>0</v>
      </c>
      <c r="AB57" s="80">
        <f t="shared" si="44"/>
        <v>0</v>
      </c>
      <c r="AC57" s="80">
        <f t="shared" si="44"/>
        <v>0</v>
      </c>
      <c r="AD57" s="80">
        <f t="shared" si="44"/>
        <v>0</v>
      </c>
      <c r="AE57" s="80">
        <f t="shared" si="44"/>
        <v>0</v>
      </c>
      <c r="AF57" s="80">
        <f t="shared" si="44"/>
        <v>0</v>
      </c>
      <c r="AG57" s="80">
        <f t="shared" si="44"/>
        <v>0</v>
      </c>
      <c r="AH57" s="80">
        <f t="shared" si="44"/>
        <v>0</v>
      </c>
      <c r="AI57" s="80">
        <f t="shared" si="44"/>
        <v>0</v>
      </c>
    </row>
    <row r="58" spans="3:35">
      <c r="C58" s="87" t="s">
        <v>199</v>
      </c>
      <c r="D58" s="123"/>
      <c r="E58" s="80">
        <f t="shared" ref="E58:AI58" si="45">E48*8</f>
        <v>16</v>
      </c>
      <c r="F58" s="80">
        <f t="shared" si="45"/>
        <v>0</v>
      </c>
      <c r="G58" s="80">
        <f t="shared" si="45"/>
        <v>0</v>
      </c>
      <c r="H58" s="80">
        <f t="shared" si="45"/>
        <v>20</v>
      </c>
      <c r="I58" s="80">
        <f t="shared" si="45"/>
        <v>32</v>
      </c>
      <c r="J58" s="80">
        <f t="shared" si="45"/>
        <v>32</v>
      </c>
      <c r="K58" s="80">
        <f t="shared" si="45"/>
        <v>16</v>
      </c>
      <c r="L58" s="80">
        <f t="shared" si="45"/>
        <v>32</v>
      </c>
      <c r="M58" s="80">
        <f t="shared" si="45"/>
        <v>0</v>
      </c>
      <c r="N58" s="80">
        <f t="shared" si="45"/>
        <v>0</v>
      </c>
      <c r="O58" s="80">
        <f t="shared" si="45"/>
        <v>0</v>
      </c>
      <c r="P58" s="80">
        <f t="shared" si="45"/>
        <v>32</v>
      </c>
      <c r="Q58" s="80">
        <f t="shared" si="45"/>
        <v>0</v>
      </c>
      <c r="R58" s="80">
        <f t="shared" si="45"/>
        <v>32</v>
      </c>
      <c r="S58" s="80">
        <f t="shared" si="45"/>
        <v>0</v>
      </c>
      <c r="T58" s="80">
        <f t="shared" si="45"/>
        <v>0</v>
      </c>
      <c r="U58" s="80">
        <f t="shared" si="45"/>
        <v>0</v>
      </c>
      <c r="V58" s="80">
        <f t="shared" si="45"/>
        <v>0</v>
      </c>
      <c r="W58" s="80">
        <f t="shared" si="45"/>
        <v>0</v>
      </c>
      <c r="X58" s="80">
        <f t="shared" si="45"/>
        <v>0</v>
      </c>
      <c r="Y58" s="80">
        <f t="shared" si="45"/>
        <v>0</v>
      </c>
      <c r="Z58" s="80">
        <f t="shared" si="45"/>
        <v>0</v>
      </c>
      <c r="AA58" s="80">
        <f t="shared" si="45"/>
        <v>0</v>
      </c>
      <c r="AB58" s="80">
        <f t="shared" si="45"/>
        <v>0</v>
      </c>
      <c r="AC58" s="80">
        <f t="shared" si="45"/>
        <v>0</v>
      </c>
      <c r="AD58" s="80">
        <f t="shared" si="45"/>
        <v>0</v>
      </c>
      <c r="AE58" s="80">
        <f t="shared" si="45"/>
        <v>0</v>
      </c>
      <c r="AF58" s="80">
        <f t="shared" si="45"/>
        <v>0</v>
      </c>
      <c r="AG58" s="80">
        <f t="shared" si="45"/>
        <v>0</v>
      </c>
      <c r="AH58" s="80">
        <f t="shared" si="45"/>
        <v>0</v>
      </c>
      <c r="AI58" s="80">
        <f t="shared" si="45"/>
        <v>0</v>
      </c>
    </row>
    <row r="59" spans="3:35">
      <c r="C59" s="87" t="s">
        <v>200</v>
      </c>
      <c r="D59" s="124"/>
      <c r="E59" s="80">
        <f t="shared" ref="E59:AI59" si="46">E51*8</f>
        <v>0</v>
      </c>
      <c r="F59" s="80">
        <f t="shared" si="46"/>
        <v>0</v>
      </c>
      <c r="G59" s="80">
        <f t="shared" si="46"/>
        <v>0</v>
      </c>
      <c r="H59" s="80">
        <f t="shared" si="46"/>
        <v>0</v>
      </c>
      <c r="I59" s="80">
        <f t="shared" si="46"/>
        <v>0</v>
      </c>
      <c r="J59" s="80">
        <f t="shared" si="46"/>
        <v>32</v>
      </c>
      <c r="K59" s="80">
        <f t="shared" si="46"/>
        <v>0</v>
      </c>
      <c r="L59" s="80">
        <f t="shared" si="46"/>
        <v>0</v>
      </c>
      <c r="M59" s="80">
        <f t="shared" si="46"/>
        <v>0</v>
      </c>
      <c r="N59" s="80">
        <f t="shared" si="46"/>
        <v>0</v>
      </c>
      <c r="O59" s="80">
        <f t="shared" si="46"/>
        <v>0</v>
      </c>
      <c r="P59" s="80">
        <f t="shared" si="46"/>
        <v>0</v>
      </c>
      <c r="Q59" s="80">
        <f t="shared" si="46"/>
        <v>16</v>
      </c>
      <c r="R59" s="80">
        <f t="shared" si="46"/>
        <v>0</v>
      </c>
      <c r="S59" s="80">
        <f t="shared" si="46"/>
        <v>0</v>
      </c>
      <c r="T59" s="80">
        <f t="shared" si="46"/>
        <v>0</v>
      </c>
      <c r="U59" s="80">
        <f t="shared" si="46"/>
        <v>0</v>
      </c>
      <c r="V59" s="80">
        <f t="shared" si="46"/>
        <v>0</v>
      </c>
      <c r="W59" s="80">
        <f t="shared" si="46"/>
        <v>0</v>
      </c>
      <c r="X59" s="80">
        <f t="shared" si="46"/>
        <v>0</v>
      </c>
      <c r="Y59" s="80">
        <f t="shared" si="46"/>
        <v>0</v>
      </c>
      <c r="Z59" s="80">
        <f t="shared" si="46"/>
        <v>0</v>
      </c>
      <c r="AA59" s="80">
        <f t="shared" si="46"/>
        <v>0</v>
      </c>
      <c r="AB59" s="80">
        <f t="shared" si="46"/>
        <v>0</v>
      </c>
      <c r="AC59" s="80">
        <f t="shared" si="46"/>
        <v>0</v>
      </c>
      <c r="AD59" s="80">
        <f t="shared" si="46"/>
        <v>0</v>
      </c>
      <c r="AE59" s="80">
        <f t="shared" si="46"/>
        <v>0</v>
      </c>
      <c r="AF59" s="80">
        <f t="shared" si="46"/>
        <v>0</v>
      </c>
      <c r="AG59" s="80">
        <f t="shared" si="46"/>
        <v>0</v>
      </c>
      <c r="AH59" s="80">
        <f t="shared" si="46"/>
        <v>0</v>
      </c>
      <c r="AI59" s="80">
        <f t="shared" si="46"/>
        <v>0</v>
      </c>
    </row>
    <row r="60" spans="3:35" ht="13">
      <c r="C60" s="86" t="s">
        <v>195</v>
      </c>
      <c r="D60" s="73"/>
      <c r="E60" s="81">
        <f>SUM(E54:E59)</f>
        <v>120</v>
      </c>
      <c r="F60" s="81">
        <f t="shared" ref="F60:AI60" si="47">SUM(F54:F59)</f>
        <v>88</v>
      </c>
      <c r="G60" s="81">
        <f t="shared" si="47"/>
        <v>0</v>
      </c>
      <c r="H60" s="81">
        <f t="shared" si="47"/>
        <v>120</v>
      </c>
      <c r="I60" s="81">
        <f t="shared" si="47"/>
        <v>120</v>
      </c>
      <c r="J60" s="81">
        <f t="shared" si="47"/>
        <v>128</v>
      </c>
      <c r="K60" s="81">
        <f t="shared" si="47"/>
        <v>80</v>
      </c>
      <c r="L60" s="81">
        <f t="shared" si="47"/>
        <v>96</v>
      </c>
      <c r="M60" s="81">
        <f t="shared" si="47"/>
        <v>120</v>
      </c>
      <c r="N60" s="81">
        <f t="shared" si="47"/>
        <v>32</v>
      </c>
      <c r="O60" s="81">
        <f t="shared" si="47"/>
        <v>80</v>
      </c>
      <c r="P60" s="81">
        <f t="shared" si="47"/>
        <v>112</v>
      </c>
      <c r="Q60" s="81">
        <f t="shared" si="47"/>
        <v>128</v>
      </c>
      <c r="R60" s="81">
        <f t="shared" si="47"/>
        <v>136</v>
      </c>
      <c r="S60" s="81">
        <f t="shared" si="47"/>
        <v>0</v>
      </c>
      <c r="T60" s="81">
        <f t="shared" si="47"/>
        <v>0</v>
      </c>
      <c r="U60" s="81">
        <f t="shared" si="47"/>
        <v>0</v>
      </c>
      <c r="V60" s="81">
        <f t="shared" si="47"/>
        <v>0</v>
      </c>
      <c r="W60" s="81">
        <f t="shared" si="47"/>
        <v>0</v>
      </c>
      <c r="X60" s="81">
        <f t="shared" si="47"/>
        <v>0</v>
      </c>
      <c r="Y60" s="81">
        <f t="shared" si="47"/>
        <v>0</v>
      </c>
      <c r="Z60" s="81">
        <f t="shared" si="47"/>
        <v>0</v>
      </c>
      <c r="AA60" s="81">
        <f t="shared" si="47"/>
        <v>0</v>
      </c>
      <c r="AB60" s="81">
        <f t="shared" si="47"/>
        <v>0</v>
      </c>
      <c r="AC60" s="81">
        <f t="shared" si="47"/>
        <v>0</v>
      </c>
      <c r="AD60" s="81">
        <f t="shared" si="47"/>
        <v>0</v>
      </c>
      <c r="AE60" s="81">
        <f t="shared" si="47"/>
        <v>0</v>
      </c>
      <c r="AF60" s="81">
        <f t="shared" si="47"/>
        <v>0</v>
      </c>
      <c r="AG60" s="81">
        <f t="shared" si="47"/>
        <v>0</v>
      </c>
      <c r="AH60" s="81">
        <f t="shared" si="47"/>
        <v>0</v>
      </c>
      <c r="AI60" s="81">
        <f t="shared" si="47"/>
        <v>0</v>
      </c>
    </row>
    <row r="61" spans="3:35" ht="13">
      <c r="C61" s="88" t="s">
        <v>197</v>
      </c>
      <c r="D61" s="74"/>
      <c r="E61" s="82">
        <f>E53/E60</f>
        <v>0.37291666666666673</v>
      </c>
      <c r="F61" s="82">
        <f>F53/F60</f>
        <v>0.70691287878787878</v>
      </c>
      <c r="G61" s="82" t="e">
        <f>G53/G60</f>
        <v>#DIV/0!</v>
      </c>
      <c r="H61" s="82">
        <f>H53/H60</f>
        <v>0.21388888888888891</v>
      </c>
      <c r="I61" s="82">
        <f t="shared" ref="I61:AI61" si="48">I53/I60</f>
        <v>0.45694444444444443</v>
      </c>
      <c r="J61" s="82">
        <f t="shared" si="48"/>
        <v>0.33489583333333334</v>
      </c>
      <c r="K61" s="82">
        <f t="shared" si="48"/>
        <v>0.25250000000000006</v>
      </c>
      <c r="L61" s="82">
        <f t="shared" si="48"/>
        <v>0.24930555555555556</v>
      </c>
      <c r="M61" s="82">
        <f t="shared" si="48"/>
        <v>0.33048611111111109</v>
      </c>
      <c r="N61" s="82">
        <f t="shared" si="48"/>
        <v>0.5</v>
      </c>
      <c r="O61" s="82">
        <f t="shared" si="48"/>
        <v>0.32250000000000001</v>
      </c>
      <c r="P61" s="82">
        <f t="shared" si="48"/>
        <v>0.33184523809523808</v>
      </c>
      <c r="Q61" s="82">
        <f t="shared" si="48"/>
        <v>0.32421875</v>
      </c>
      <c r="R61" s="82">
        <f t="shared" si="48"/>
        <v>0.13014705882352939</v>
      </c>
      <c r="S61" s="82" t="e">
        <f t="shared" si="48"/>
        <v>#DIV/0!</v>
      </c>
      <c r="T61" s="82" t="e">
        <f t="shared" si="48"/>
        <v>#DIV/0!</v>
      </c>
      <c r="U61" s="82" t="e">
        <f t="shared" si="48"/>
        <v>#DIV/0!</v>
      </c>
      <c r="V61" s="82" t="e">
        <f t="shared" si="48"/>
        <v>#DIV/0!</v>
      </c>
      <c r="W61" s="82" t="e">
        <f t="shared" si="48"/>
        <v>#DIV/0!</v>
      </c>
      <c r="X61" s="82" t="e">
        <f t="shared" si="48"/>
        <v>#DIV/0!</v>
      </c>
      <c r="Y61" s="82" t="e">
        <f t="shared" si="48"/>
        <v>#DIV/0!</v>
      </c>
      <c r="Z61" s="82" t="e">
        <f t="shared" si="48"/>
        <v>#DIV/0!</v>
      </c>
      <c r="AA61" s="82" t="e">
        <f t="shared" si="48"/>
        <v>#DIV/0!</v>
      </c>
      <c r="AB61" s="82" t="e">
        <f t="shared" si="48"/>
        <v>#DIV/0!</v>
      </c>
      <c r="AC61" s="82" t="e">
        <f t="shared" si="48"/>
        <v>#DIV/0!</v>
      </c>
      <c r="AD61" s="82" t="e">
        <f t="shared" si="48"/>
        <v>#DIV/0!</v>
      </c>
      <c r="AE61" s="82" t="e">
        <f t="shared" si="48"/>
        <v>#DIV/0!</v>
      </c>
      <c r="AF61" s="82" t="e">
        <f t="shared" si="48"/>
        <v>#DIV/0!</v>
      </c>
      <c r="AG61" s="82" t="e">
        <f t="shared" si="48"/>
        <v>#DIV/0!</v>
      </c>
      <c r="AH61" s="82" t="e">
        <f t="shared" si="48"/>
        <v>#DIV/0!</v>
      </c>
      <c r="AI61" s="82" t="e">
        <f t="shared" si="48"/>
        <v>#DIV/0!</v>
      </c>
    </row>
  </sheetData>
  <mergeCells count="22">
    <mergeCell ref="A8:A15"/>
    <mergeCell ref="B8:B9"/>
    <mergeCell ref="B10:B11"/>
    <mergeCell ref="B12:B13"/>
    <mergeCell ref="B14:C14"/>
    <mergeCell ref="B15:C15"/>
    <mergeCell ref="A16:A23"/>
    <mergeCell ref="B16:B17"/>
    <mergeCell ref="B18:B19"/>
    <mergeCell ref="B20:B21"/>
    <mergeCell ref="B22:C22"/>
    <mergeCell ref="B23:C23"/>
    <mergeCell ref="D35:D43"/>
    <mergeCell ref="D44:D52"/>
    <mergeCell ref="D54:D56"/>
    <mergeCell ref="D57:D59"/>
    <mergeCell ref="A24:A31"/>
    <mergeCell ref="B24:B25"/>
    <mergeCell ref="B26:B27"/>
    <mergeCell ref="B28:B29"/>
    <mergeCell ref="B30:C30"/>
    <mergeCell ref="B31:C31"/>
  </mergeCells>
  <hyperlinks>
    <hyperlink ref="A1" location="Summary!A1" display="Index" xr:uid="{D8B3F287-A09F-4013-AD13-A756AEBA9323}"/>
  </hyperlinks>
  <pageMargins left="0.7" right="0.7" top="0.75" bottom="0.75" header="0.3" footer="0.3"/>
  <pageSetup paperSize="9" orientation="portrait" r:id="rId1"/>
  <headerFooter>
    <oddFooter>&amp;L_x000D_&amp;1#&amp;"Calibri Light"&amp;8&amp;K000000 Classified as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4ED4-6B22-46EB-AF84-3521D4FDEA2F}">
  <dimension ref="A1:AG51"/>
  <sheetViews>
    <sheetView zoomScale="90" zoomScaleNormal="90" workbookViewId="0">
      <pane xSplit="2" ySplit="1" topLeftCell="C34" activePane="bottomRight" state="frozen"/>
      <selection pane="topRight" activeCell="C1" sqref="C1"/>
      <selection pane="bottomLeft" activeCell="A2" sqref="A2"/>
      <selection pane="bottomRight" activeCell="P37" sqref="P37"/>
    </sheetView>
  </sheetViews>
  <sheetFormatPr defaultRowHeight="12.5"/>
  <cols>
    <col min="1" max="1" width="34.6328125" bestFit="1" customWidth="1"/>
    <col min="2" max="2" width="5.54296875" bestFit="1" customWidth="1"/>
    <col min="3" max="33" width="4.08984375" customWidth="1"/>
  </cols>
  <sheetData>
    <row r="1" spans="1:33" ht="25">
      <c r="A1" s="101" t="s">
        <v>246</v>
      </c>
      <c r="B1" s="107" t="s">
        <v>262</v>
      </c>
      <c r="C1" s="12">
        <v>1</v>
      </c>
      <c r="D1" s="12">
        <v>2</v>
      </c>
      <c r="E1" s="106">
        <v>3</v>
      </c>
      <c r="F1" s="12">
        <v>4</v>
      </c>
      <c r="G1" s="106">
        <v>5</v>
      </c>
      <c r="H1" s="12">
        <v>6</v>
      </c>
      <c r="I1" s="106">
        <v>7</v>
      </c>
      <c r="J1" s="12">
        <v>8</v>
      </c>
      <c r="K1" s="106">
        <v>9</v>
      </c>
      <c r="L1" s="12">
        <v>10</v>
      </c>
      <c r="M1" s="106">
        <v>11</v>
      </c>
      <c r="N1" s="12">
        <v>12</v>
      </c>
      <c r="O1" s="106">
        <v>13</v>
      </c>
      <c r="P1" s="12">
        <v>14</v>
      </c>
      <c r="Q1" s="106">
        <v>15</v>
      </c>
      <c r="R1" s="12">
        <v>16</v>
      </c>
      <c r="S1" s="106">
        <v>17</v>
      </c>
      <c r="T1" s="12">
        <v>18</v>
      </c>
      <c r="U1" s="106">
        <v>19</v>
      </c>
      <c r="V1" s="12">
        <v>20</v>
      </c>
      <c r="W1" s="106">
        <v>21</v>
      </c>
      <c r="X1" s="12">
        <v>22</v>
      </c>
      <c r="Y1" s="106">
        <v>23</v>
      </c>
      <c r="Z1" s="12">
        <v>24</v>
      </c>
      <c r="AA1" s="106">
        <v>25</v>
      </c>
      <c r="AB1" s="12">
        <v>26</v>
      </c>
      <c r="AC1" s="106">
        <v>27</v>
      </c>
      <c r="AD1" s="12">
        <v>28</v>
      </c>
      <c r="AE1" s="106">
        <v>29</v>
      </c>
      <c r="AF1" s="12">
        <v>30</v>
      </c>
      <c r="AG1" s="106">
        <v>31</v>
      </c>
    </row>
    <row r="2" spans="1:33">
      <c r="A2" s="45" t="s">
        <v>245</v>
      </c>
      <c r="B2" s="103">
        <f t="shared" ref="B2:B9" si="0">SUM(C2:R2)</f>
        <v>0</v>
      </c>
      <c r="C2" s="45"/>
      <c r="D2" s="45"/>
      <c r="E2" s="104"/>
      <c r="F2" s="45"/>
      <c r="G2" s="104"/>
      <c r="H2" s="45"/>
      <c r="I2" s="104"/>
      <c r="J2" s="45"/>
      <c r="K2" s="104"/>
      <c r="L2" s="45"/>
      <c r="M2" s="104"/>
      <c r="N2" s="45"/>
      <c r="O2" s="104"/>
      <c r="P2" s="45"/>
      <c r="Q2" s="104"/>
      <c r="R2" s="45"/>
      <c r="S2" s="104"/>
      <c r="T2" s="45"/>
      <c r="U2" s="104"/>
      <c r="V2" s="45"/>
      <c r="W2" s="104"/>
      <c r="X2" s="45"/>
      <c r="Y2" s="104"/>
      <c r="Z2" s="45"/>
      <c r="AA2" s="104"/>
      <c r="AB2" s="45"/>
      <c r="AC2" s="104"/>
      <c r="AD2" s="45"/>
      <c r="AE2" s="104"/>
      <c r="AF2" s="45"/>
      <c r="AG2" s="104"/>
    </row>
    <row r="3" spans="1:33">
      <c r="A3" s="97" t="s">
        <v>247</v>
      </c>
      <c r="B3" s="103">
        <f t="shared" si="0"/>
        <v>0</v>
      </c>
      <c r="C3" s="45"/>
      <c r="D3" s="45"/>
      <c r="E3" s="104"/>
      <c r="F3" s="45"/>
      <c r="G3" s="104"/>
      <c r="H3" s="45"/>
      <c r="I3" s="104"/>
      <c r="J3" s="45"/>
      <c r="K3" s="104"/>
      <c r="L3" s="45"/>
      <c r="M3" s="104"/>
      <c r="N3" s="45"/>
      <c r="O3" s="104"/>
      <c r="P3" s="45"/>
      <c r="Q3" s="104"/>
      <c r="R3" s="45"/>
      <c r="S3" s="104"/>
      <c r="T3" s="45"/>
      <c r="U3" s="104"/>
      <c r="V3" s="45"/>
      <c r="W3" s="104"/>
      <c r="X3" s="45"/>
      <c r="Y3" s="104"/>
      <c r="Z3" s="45"/>
      <c r="AA3" s="104"/>
      <c r="AB3" s="45"/>
      <c r="AC3" s="104"/>
      <c r="AD3" s="45"/>
      <c r="AE3" s="104"/>
      <c r="AF3" s="45"/>
      <c r="AG3" s="104"/>
    </row>
    <row r="4" spans="1:33">
      <c r="A4" s="102" t="s">
        <v>251</v>
      </c>
      <c r="B4" s="103">
        <f t="shared" si="0"/>
        <v>750</v>
      </c>
      <c r="C4" s="45"/>
      <c r="D4" s="45"/>
      <c r="E4" s="104"/>
      <c r="F4" s="45"/>
      <c r="G4" s="104"/>
      <c r="H4" s="45"/>
      <c r="I4" s="104"/>
      <c r="J4" s="45"/>
      <c r="K4" s="104">
        <v>34</v>
      </c>
      <c r="L4" s="45">
        <v>240</v>
      </c>
      <c r="M4" s="104">
        <v>9</v>
      </c>
      <c r="N4" s="45">
        <v>180</v>
      </c>
      <c r="O4" s="104">
        <v>180</v>
      </c>
      <c r="P4" s="45">
        <v>107</v>
      </c>
      <c r="Q4" s="104"/>
      <c r="R4" s="45"/>
      <c r="S4" s="104"/>
      <c r="T4" s="45"/>
      <c r="U4" s="104"/>
      <c r="V4" s="45"/>
      <c r="W4" s="104"/>
      <c r="X4" s="45"/>
      <c r="Y4" s="104"/>
      <c r="Z4" s="45"/>
      <c r="AA4" s="104"/>
      <c r="AB4" s="45"/>
      <c r="AC4" s="104"/>
      <c r="AD4" s="45"/>
      <c r="AE4" s="104"/>
      <c r="AF4" s="45"/>
      <c r="AG4" s="104"/>
    </row>
    <row r="5" spans="1:33">
      <c r="A5" s="51" t="s">
        <v>257</v>
      </c>
      <c r="B5" s="103">
        <f t="shared" si="0"/>
        <v>0</v>
      </c>
      <c r="C5" s="45"/>
      <c r="D5" s="45"/>
      <c r="E5" s="104"/>
      <c r="F5" s="45"/>
      <c r="G5" s="104"/>
      <c r="H5" s="45"/>
      <c r="I5" s="104"/>
      <c r="J5" s="45"/>
      <c r="K5" s="104"/>
      <c r="L5" s="45"/>
      <c r="M5" s="105"/>
      <c r="N5" s="45"/>
      <c r="O5" s="104"/>
      <c r="P5" s="45"/>
      <c r="Q5" s="104"/>
      <c r="R5" s="45"/>
      <c r="S5" s="104"/>
      <c r="T5" s="45"/>
      <c r="U5" s="104"/>
      <c r="V5" s="45"/>
      <c r="W5" s="104"/>
      <c r="X5" s="45"/>
      <c r="Y5" s="104"/>
      <c r="Z5" s="45"/>
      <c r="AA5" s="104"/>
      <c r="AB5" s="45"/>
      <c r="AC5" s="104"/>
      <c r="AD5" s="45"/>
      <c r="AE5" s="104"/>
      <c r="AF5" s="45"/>
      <c r="AG5" s="104"/>
    </row>
    <row r="6" spans="1:33">
      <c r="A6" s="51" t="s">
        <v>260</v>
      </c>
      <c r="B6" s="103">
        <f t="shared" si="0"/>
        <v>0</v>
      </c>
      <c r="C6" s="45"/>
      <c r="D6" s="45"/>
      <c r="E6" s="104"/>
      <c r="F6" s="45"/>
      <c r="G6" s="104"/>
      <c r="H6" s="45"/>
      <c r="I6" s="104"/>
      <c r="J6" s="45"/>
      <c r="K6" s="104"/>
      <c r="L6" s="45"/>
      <c r="M6" s="104"/>
      <c r="N6" s="45"/>
      <c r="O6" s="104"/>
      <c r="P6" s="45"/>
      <c r="Q6" s="104"/>
      <c r="R6" s="45"/>
      <c r="S6" s="104"/>
      <c r="T6" s="45"/>
      <c r="U6" s="104"/>
      <c r="V6" s="45"/>
      <c r="W6" s="104"/>
      <c r="X6" s="45"/>
      <c r="Y6" s="104"/>
      <c r="Z6" s="45"/>
      <c r="AA6" s="104"/>
      <c r="AB6" s="45"/>
      <c r="AC6" s="104"/>
      <c r="AD6" s="45"/>
      <c r="AE6" s="104"/>
      <c r="AF6" s="45"/>
      <c r="AG6" s="104"/>
    </row>
    <row r="7" spans="1:33">
      <c r="A7" s="51" t="s">
        <v>261</v>
      </c>
      <c r="B7" s="103">
        <f t="shared" ref="B7" si="1">SUM(C7:R7)</f>
        <v>0</v>
      </c>
      <c r="C7" s="45"/>
      <c r="D7" s="45"/>
      <c r="E7" s="104"/>
      <c r="F7" s="45"/>
      <c r="G7" s="104"/>
      <c r="H7" s="45"/>
      <c r="I7" s="104"/>
      <c r="J7" s="45"/>
      <c r="K7" s="104"/>
      <c r="L7" s="45"/>
      <c r="M7" s="106"/>
      <c r="N7" s="45"/>
      <c r="O7" s="104"/>
      <c r="P7" s="45"/>
      <c r="Q7" s="104"/>
      <c r="R7" s="45"/>
      <c r="S7" s="104"/>
      <c r="T7" s="45"/>
      <c r="U7" s="104"/>
      <c r="V7" s="45"/>
      <c r="W7" s="104"/>
      <c r="X7" s="45"/>
      <c r="Y7" s="104"/>
      <c r="Z7" s="45"/>
      <c r="AA7" s="104"/>
      <c r="AB7" s="45"/>
      <c r="AC7" s="104"/>
      <c r="AD7" s="45"/>
      <c r="AE7" s="104"/>
      <c r="AF7" s="45"/>
      <c r="AG7" s="104"/>
    </row>
    <row r="8" spans="1:33">
      <c r="A8" s="51" t="s">
        <v>265</v>
      </c>
      <c r="B8" s="103">
        <f t="shared" ref="B8" si="2">SUM(C8:R8)</f>
        <v>0</v>
      </c>
      <c r="C8" s="45"/>
      <c r="D8" s="45"/>
      <c r="E8" s="104"/>
      <c r="F8" s="45"/>
      <c r="G8" s="104"/>
      <c r="H8" s="45"/>
      <c r="I8" s="104"/>
      <c r="J8" s="45"/>
      <c r="K8" s="104"/>
      <c r="L8" s="45"/>
      <c r="M8" s="106"/>
      <c r="N8" s="45"/>
      <c r="O8" s="104"/>
      <c r="P8" s="45"/>
      <c r="Q8" s="104"/>
      <c r="R8" s="45"/>
      <c r="S8" s="104"/>
      <c r="T8" s="45"/>
      <c r="U8" s="104"/>
      <c r="V8" s="45"/>
      <c r="W8" s="104"/>
      <c r="X8" s="45"/>
      <c r="Y8" s="104"/>
      <c r="Z8" s="45"/>
      <c r="AA8" s="104"/>
      <c r="AB8" s="45"/>
      <c r="AC8" s="104"/>
      <c r="AD8" s="45"/>
      <c r="AE8" s="104"/>
      <c r="AF8" s="45"/>
      <c r="AG8" s="104"/>
    </row>
    <row r="9" spans="1:33">
      <c r="A9" s="51" t="s">
        <v>258</v>
      </c>
      <c r="B9" s="103">
        <f t="shared" si="0"/>
        <v>1088</v>
      </c>
      <c r="C9" s="45">
        <v>274</v>
      </c>
      <c r="D9" s="45">
        <v>343</v>
      </c>
      <c r="E9" s="104"/>
      <c r="F9" s="45">
        <v>60</v>
      </c>
      <c r="G9" s="104">
        <v>411</v>
      </c>
      <c r="H9" s="45"/>
      <c r="I9" s="104"/>
      <c r="J9" s="45"/>
      <c r="K9" s="104"/>
      <c r="L9" s="45"/>
      <c r="M9" s="104"/>
      <c r="N9" s="45"/>
      <c r="O9" s="104"/>
      <c r="P9" s="45"/>
      <c r="Q9" s="104"/>
      <c r="R9" s="45"/>
      <c r="S9" s="104"/>
      <c r="T9" s="45"/>
      <c r="U9" s="104"/>
      <c r="V9" s="45"/>
      <c r="W9" s="104"/>
      <c r="X9" s="45"/>
      <c r="Y9" s="104"/>
      <c r="Z9" s="45"/>
      <c r="AA9" s="104"/>
      <c r="AB9" s="45"/>
      <c r="AC9" s="104"/>
      <c r="AD9" s="45"/>
      <c r="AE9" s="104"/>
      <c r="AF9" s="45"/>
      <c r="AG9" s="104"/>
    </row>
    <row r="10" spans="1:33">
      <c r="C10" s="45"/>
      <c r="D10" s="45"/>
      <c r="E10" s="104"/>
      <c r="F10" s="45"/>
      <c r="G10" s="104"/>
      <c r="H10" s="45"/>
      <c r="I10" s="104"/>
      <c r="J10" s="45"/>
      <c r="K10" s="104"/>
      <c r="L10" s="45"/>
      <c r="M10" s="104"/>
      <c r="N10" s="45"/>
      <c r="O10" s="104"/>
      <c r="P10" s="45"/>
      <c r="Q10" s="104"/>
      <c r="R10" s="45"/>
      <c r="S10" s="104"/>
      <c r="T10" s="45"/>
      <c r="U10" s="104"/>
      <c r="V10" s="45"/>
      <c r="W10" s="104"/>
      <c r="X10" s="45"/>
      <c r="Y10" s="104"/>
      <c r="Z10" s="45"/>
      <c r="AA10" s="104"/>
      <c r="AB10" s="45"/>
      <c r="AC10" s="104"/>
      <c r="AD10" s="45"/>
      <c r="AE10" s="104"/>
      <c r="AF10" s="45"/>
      <c r="AG10" s="104"/>
    </row>
    <row r="11" spans="1:33" ht="25">
      <c r="A11" s="101" t="s">
        <v>248</v>
      </c>
      <c r="B11" s="107" t="s">
        <v>262</v>
      </c>
      <c r="C11" s="45"/>
      <c r="D11" s="45"/>
      <c r="E11" s="104"/>
      <c r="F11" s="45"/>
      <c r="G11" s="104"/>
      <c r="H11" s="45"/>
      <c r="I11" s="104"/>
      <c r="J11" s="45"/>
      <c r="K11" s="104"/>
      <c r="L11" s="45"/>
      <c r="M11" s="104"/>
      <c r="N11" s="45"/>
      <c r="O11" s="104"/>
      <c r="P11" s="45"/>
      <c r="Q11" s="104"/>
      <c r="R11" s="45"/>
      <c r="S11" s="104"/>
      <c r="T11" s="45"/>
      <c r="U11" s="104"/>
      <c r="V11" s="45"/>
      <c r="W11" s="104"/>
      <c r="X11" s="45"/>
      <c r="Y11" s="104"/>
      <c r="Z11" s="45"/>
      <c r="AA11" s="104"/>
      <c r="AB11" s="45"/>
      <c r="AC11" s="104"/>
      <c r="AD11" s="45"/>
      <c r="AE11" s="104"/>
      <c r="AF11" s="45"/>
      <c r="AG11" s="104"/>
    </row>
    <row r="12" spans="1:33">
      <c r="A12" s="45" t="s">
        <v>245</v>
      </c>
      <c r="B12" s="103">
        <f>SUM(C12:R12)</f>
        <v>0</v>
      </c>
      <c r="C12" s="45"/>
      <c r="D12" s="45"/>
      <c r="E12" s="104"/>
      <c r="F12" s="45"/>
      <c r="G12" s="104"/>
      <c r="H12" s="45"/>
      <c r="I12" s="104"/>
      <c r="J12" s="45"/>
      <c r="K12" s="104"/>
      <c r="L12" s="45"/>
      <c r="M12" s="104"/>
      <c r="N12" s="45"/>
      <c r="O12" s="104"/>
      <c r="P12" s="45"/>
      <c r="Q12" s="104"/>
      <c r="R12" s="45"/>
      <c r="S12" s="104"/>
      <c r="T12" s="45"/>
      <c r="U12" s="104"/>
      <c r="V12" s="45"/>
      <c r="W12" s="104"/>
      <c r="X12" s="45"/>
      <c r="Y12" s="104"/>
      <c r="Z12" s="45"/>
      <c r="AA12" s="104"/>
      <c r="AB12" s="45"/>
      <c r="AC12" s="104"/>
      <c r="AD12" s="45"/>
      <c r="AE12" s="104"/>
      <c r="AF12" s="45"/>
      <c r="AG12" s="104"/>
    </row>
    <row r="13" spans="1:33">
      <c r="A13" s="45" t="s">
        <v>226</v>
      </c>
      <c r="B13" s="103">
        <f>SUM(C13:R13)</f>
        <v>111</v>
      </c>
      <c r="C13" s="45">
        <v>51</v>
      </c>
      <c r="D13" s="45"/>
      <c r="E13" s="104"/>
      <c r="F13" s="45">
        <v>60</v>
      </c>
      <c r="G13" s="104"/>
      <c r="H13" s="45"/>
      <c r="I13" s="104"/>
      <c r="J13" s="45"/>
      <c r="K13" s="104"/>
      <c r="L13" s="45"/>
      <c r="M13" s="104"/>
      <c r="N13" s="45"/>
      <c r="O13" s="104"/>
      <c r="P13" s="45"/>
      <c r="Q13" s="104"/>
      <c r="R13" s="45"/>
      <c r="S13" s="104"/>
      <c r="T13" s="45"/>
      <c r="U13" s="104"/>
      <c r="V13" s="45"/>
      <c r="W13" s="104"/>
      <c r="X13" s="45"/>
      <c r="Y13" s="104"/>
      <c r="Z13" s="45"/>
      <c r="AA13" s="104"/>
      <c r="AB13" s="45"/>
      <c r="AC13" s="104"/>
      <c r="AD13" s="45"/>
      <c r="AE13" s="104"/>
      <c r="AF13" s="45"/>
      <c r="AG13" s="104"/>
    </row>
    <row r="14" spans="1:33">
      <c r="A14" s="97" t="s">
        <v>247</v>
      </c>
      <c r="B14" s="103">
        <f>SUM(C14:R14)</f>
        <v>0</v>
      </c>
      <c r="C14" s="45"/>
      <c r="D14" s="45"/>
      <c r="E14" s="104"/>
      <c r="F14" s="45"/>
      <c r="G14" s="104"/>
      <c r="H14" s="45"/>
      <c r="I14" s="104"/>
      <c r="J14" s="45"/>
      <c r="K14" s="104"/>
      <c r="L14" s="45"/>
      <c r="M14" s="104"/>
      <c r="N14" s="45"/>
      <c r="O14" s="104"/>
      <c r="P14" s="45"/>
      <c r="Q14" s="104"/>
      <c r="R14" s="45"/>
      <c r="S14" s="104"/>
      <c r="T14" s="45"/>
      <c r="U14" s="104"/>
      <c r="V14" s="45"/>
      <c r="W14" s="104"/>
      <c r="X14" s="45"/>
      <c r="Y14" s="104"/>
      <c r="Z14" s="45"/>
      <c r="AA14" s="104"/>
      <c r="AB14" s="45"/>
      <c r="AC14" s="104"/>
      <c r="AD14" s="45"/>
      <c r="AE14" s="104"/>
      <c r="AF14" s="45"/>
      <c r="AG14" s="104"/>
    </row>
    <row r="15" spans="1:33">
      <c r="A15" s="45" t="s">
        <v>251</v>
      </c>
      <c r="B15" s="103">
        <f>SUM(C15:R15)</f>
        <v>60</v>
      </c>
      <c r="C15" s="45"/>
      <c r="D15" s="45"/>
      <c r="E15" s="104"/>
      <c r="F15" s="45"/>
      <c r="G15" s="104"/>
      <c r="H15" s="45"/>
      <c r="I15" s="104"/>
      <c r="J15" s="45"/>
      <c r="K15" s="104">
        <v>60</v>
      </c>
      <c r="L15" s="45"/>
      <c r="M15" s="104"/>
      <c r="N15" s="45"/>
      <c r="O15" s="104"/>
      <c r="P15" s="45"/>
      <c r="Q15" s="104"/>
      <c r="R15" s="45"/>
      <c r="S15" s="104"/>
      <c r="T15" s="45"/>
      <c r="U15" s="104"/>
      <c r="V15" s="45"/>
      <c r="W15" s="104"/>
      <c r="X15" s="45"/>
      <c r="Y15" s="104"/>
      <c r="Z15" s="45"/>
      <c r="AA15" s="104"/>
      <c r="AB15" s="45"/>
      <c r="AC15" s="104"/>
      <c r="AD15" s="45"/>
      <c r="AE15" s="104"/>
      <c r="AF15" s="45"/>
      <c r="AG15" s="104"/>
    </row>
    <row r="16" spans="1:33">
      <c r="C16" s="45"/>
      <c r="D16" s="45"/>
      <c r="E16" s="104"/>
      <c r="F16" s="45"/>
      <c r="G16" s="105"/>
      <c r="H16" s="45"/>
      <c r="I16" s="104"/>
      <c r="J16" s="45"/>
      <c r="K16" s="104"/>
      <c r="L16" s="45"/>
      <c r="M16" s="104"/>
      <c r="N16" s="45"/>
      <c r="O16" s="104"/>
      <c r="P16" s="45"/>
      <c r="Q16" s="104"/>
      <c r="R16" s="45"/>
      <c r="S16" s="104"/>
      <c r="T16" s="45"/>
      <c r="U16" s="104"/>
      <c r="V16" s="45"/>
      <c r="W16" s="104"/>
      <c r="X16" s="45"/>
      <c r="Y16" s="104"/>
      <c r="Z16" s="45"/>
      <c r="AA16" s="104"/>
      <c r="AB16" s="45"/>
      <c r="AC16" s="104"/>
      <c r="AD16" s="45"/>
      <c r="AE16" s="104"/>
      <c r="AF16" s="45"/>
      <c r="AG16" s="104"/>
    </row>
    <row r="17" spans="1:33">
      <c r="C17" s="45"/>
      <c r="D17" s="45"/>
      <c r="E17" s="104"/>
      <c r="F17" s="45"/>
      <c r="G17" s="104"/>
      <c r="H17" s="45"/>
      <c r="I17" s="104"/>
      <c r="J17" s="45"/>
      <c r="K17" s="104"/>
      <c r="L17" s="45"/>
      <c r="M17" s="104"/>
      <c r="N17" s="45"/>
      <c r="O17" s="104"/>
      <c r="P17" s="45"/>
      <c r="Q17" s="104"/>
      <c r="R17" s="45"/>
      <c r="S17" s="104"/>
      <c r="T17" s="45"/>
      <c r="U17" s="104"/>
      <c r="V17" s="45"/>
      <c r="W17" s="104"/>
      <c r="X17" s="45"/>
      <c r="Y17" s="104"/>
      <c r="Z17" s="45"/>
      <c r="AA17" s="104"/>
      <c r="AB17" s="45"/>
      <c r="AC17" s="104"/>
      <c r="AD17" s="45"/>
      <c r="AE17" s="104"/>
      <c r="AF17" s="45"/>
      <c r="AG17" s="104"/>
    </row>
    <row r="18" spans="1:33" ht="25">
      <c r="A18" s="101" t="s">
        <v>250</v>
      </c>
      <c r="B18" s="107" t="s">
        <v>262</v>
      </c>
      <c r="C18" s="45"/>
      <c r="D18" s="45"/>
      <c r="E18" s="104"/>
      <c r="F18" s="45"/>
      <c r="G18" s="104"/>
      <c r="H18" s="45"/>
      <c r="I18" s="104"/>
      <c r="J18" s="45"/>
      <c r="K18" s="104"/>
      <c r="L18" s="45"/>
      <c r="M18" s="104"/>
      <c r="N18" s="45"/>
      <c r="O18" s="104"/>
      <c r="P18" s="45"/>
      <c r="Q18" s="104"/>
      <c r="R18" s="45"/>
      <c r="S18" s="104"/>
      <c r="T18" s="45"/>
      <c r="U18" s="104"/>
      <c r="V18" s="45"/>
      <c r="W18" s="104"/>
      <c r="X18" s="45"/>
      <c r="Y18" s="104"/>
      <c r="Z18" s="45"/>
      <c r="AA18" s="104"/>
      <c r="AB18" s="45"/>
      <c r="AC18" s="104"/>
      <c r="AD18" s="45"/>
      <c r="AE18" s="104"/>
      <c r="AF18" s="45"/>
      <c r="AG18" s="104"/>
    </row>
    <row r="19" spans="1:33">
      <c r="A19" s="45" t="s">
        <v>245</v>
      </c>
      <c r="B19" s="103">
        <f>SUM(C19:R19)</f>
        <v>0</v>
      </c>
      <c r="C19" s="45"/>
      <c r="D19" s="45"/>
      <c r="E19" s="104"/>
      <c r="F19" s="45"/>
      <c r="G19" s="104"/>
      <c r="H19" s="45"/>
      <c r="I19" s="104"/>
      <c r="J19" s="45"/>
      <c r="K19" s="104"/>
      <c r="L19" s="45"/>
      <c r="M19" s="104"/>
      <c r="N19" s="45"/>
      <c r="O19" s="104"/>
      <c r="P19" s="45"/>
      <c r="Q19" s="104"/>
      <c r="R19" s="45"/>
      <c r="S19" s="104"/>
      <c r="T19" s="45"/>
      <c r="U19" s="104"/>
      <c r="V19" s="45"/>
      <c r="W19" s="104"/>
      <c r="X19" s="45"/>
      <c r="Y19" s="104"/>
      <c r="Z19" s="45"/>
      <c r="AA19" s="104"/>
      <c r="AB19" s="45"/>
      <c r="AC19" s="104"/>
      <c r="AD19" s="45"/>
      <c r="AE19" s="104"/>
      <c r="AF19" s="45"/>
      <c r="AG19" s="104"/>
    </row>
    <row r="20" spans="1:33">
      <c r="A20" s="97" t="s">
        <v>247</v>
      </c>
      <c r="B20" s="103">
        <f>SUM(C20:R20)</f>
        <v>0</v>
      </c>
      <c r="C20" s="45"/>
      <c r="D20" s="45"/>
      <c r="E20" s="104"/>
      <c r="F20" s="45"/>
      <c r="G20" s="104"/>
      <c r="H20" s="45"/>
      <c r="I20" s="104"/>
      <c r="J20" s="45"/>
      <c r="K20" s="104"/>
      <c r="L20" s="45"/>
      <c r="M20" s="104"/>
      <c r="N20" s="45"/>
      <c r="O20" s="104"/>
      <c r="P20" s="45"/>
      <c r="Q20" s="104"/>
      <c r="R20" s="45"/>
      <c r="S20" s="104"/>
      <c r="T20" s="45"/>
      <c r="U20" s="104"/>
      <c r="V20" s="45"/>
      <c r="W20" s="104"/>
      <c r="X20" s="45"/>
      <c r="Y20" s="104"/>
      <c r="Z20" s="45"/>
      <c r="AA20" s="104"/>
      <c r="AB20" s="45"/>
      <c r="AC20" s="104"/>
      <c r="AD20" s="45"/>
      <c r="AE20" s="104"/>
      <c r="AF20" s="45"/>
      <c r="AG20" s="104"/>
    </row>
    <row r="21" spans="1:33">
      <c r="A21" s="45" t="s">
        <v>251</v>
      </c>
      <c r="B21" s="103">
        <f>SUM(C21:R21)</f>
        <v>303</v>
      </c>
      <c r="C21" s="45"/>
      <c r="D21" s="45"/>
      <c r="E21" s="104"/>
      <c r="F21" s="45"/>
      <c r="G21" s="104"/>
      <c r="H21" s="45"/>
      <c r="I21" s="104"/>
      <c r="J21" s="45">
        <v>123</v>
      </c>
      <c r="K21" s="104"/>
      <c r="L21" s="45"/>
      <c r="M21" s="104">
        <v>20</v>
      </c>
      <c r="N21" s="45"/>
      <c r="O21" s="104">
        <v>120</v>
      </c>
      <c r="P21" s="45">
        <v>40</v>
      </c>
      <c r="Q21" s="104"/>
      <c r="R21" s="45"/>
      <c r="S21" s="104"/>
      <c r="T21" s="45"/>
      <c r="U21" s="104"/>
      <c r="V21" s="45"/>
      <c r="W21" s="104"/>
      <c r="X21" s="45"/>
      <c r="Y21" s="104"/>
      <c r="Z21" s="45"/>
      <c r="AA21" s="104"/>
      <c r="AB21" s="45"/>
      <c r="AC21" s="104"/>
      <c r="AD21" s="45"/>
      <c r="AE21" s="104"/>
      <c r="AF21" s="45"/>
      <c r="AG21" s="104"/>
    </row>
    <row r="22" spans="1:33">
      <c r="A22" s="51" t="s">
        <v>257</v>
      </c>
      <c r="B22" s="103">
        <f>SUM(C22:R22)</f>
        <v>0</v>
      </c>
      <c r="C22" s="45"/>
      <c r="D22" s="45"/>
      <c r="E22" s="104"/>
      <c r="F22" s="45"/>
      <c r="G22" s="104"/>
      <c r="H22" s="45"/>
      <c r="I22" s="104"/>
      <c r="J22" s="45"/>
      <c r="K22" s="104"/>
      <c r="L22" s="45"/>
      <c r="M22" s="104"/>
      <c r="N22" s="45"/>
      <c r="O22" s="104"/>
      <c r="P22" s="45"/>
      <c r="Q22" s="104"/>
      <c r="R22" s="45"/>
      <c r="S22" s="104"/>
      <c r="T22" s="45"/>
      <c r="U22" s="104"/>
      <c r="V22" s="45"/>
      <c r="W22" s="104"/>
      <c r="X22" s="45"/>
      <c r="Y22" s="104"/>
      <c r="Z22" s="45"/>
      <c r="AA22" s="104"/>
      <c r="AB22" s="45"/>
      <c r="AC22" s="104"/>
      <c r="AD22" s="45"/>
      <c r="AE22" s="104"/>
      <c r="AF22" s="45"/>
      <c r="AG22" s="104"/>
    </row>
    <row r="23" spans="1:33">
      <c r="A23" s="51" t="s">
        <v>258</v>
      </c>
      <c r="B23" s="103">
        <f>SUM(C23:R23)</f>
        <v>1482</v>
      </c>
      <c r="C23" s="45">
        <v>280</v>
      </c>
      <c r="D23" s="45">
        <v>360</v>
      </c>
      <c r="E23" s="104"/>
      <c r="F23" s="45">
        <v>120</v>
      </c>
      <c r="G23" s="104">
        <v>145</v>
      </c>
      <c r="H23" s="45">
        <v>180</v>
      </c>
      <c r="I23" s="104">
        <v>100</v>
      </c>
      <c r="J23" s="45">
        <v>82</v>
      </c>
      <c r="K23" s="104">
        <v>215</v>
      </c>
      <c r="L23" s="45"/>
      <c r="M23" s="104"/>
      <c r="N23" s="45"/>
      <c r="O23" s="104"/>
      <c r="P23" s="45"/>
      <c r="Q23" s="104"/>
      <c r="R23" s="45"/>
      <c r="S23" s="104"/>
      <c r="T23" s="45"/>
      <c r="U23" s="104"/>
      <c r="V23" s="45"/>
      <c r="W23" s="104"/>
      <c r="X23" s="45"/>
      <c r="Y23" s="104"/>
      <c r="Z23" s="45"/>
      <c r="AA23" s="104"/>
      <c r="AB23" s="45"/>
      <c r="AC23" s="104"/>
      <c r="AD23" s="45"/>
      <c r="AE23" s="104"/>
      <c r="AF23" s="45"/>
      <c r="AG23" s="104"/>
    </row>
    <row r="24" spans="1:33">
      <c r="A24" s="51" t="s">
        <v>261</v>
      </c>
      <c r="B24" s="103">
        <f t="shared" ref="B24" si="3">SUM(C24:R24)</f>
        <v>0</v>
      </c>
      <c r="C24" s="45"/>
      <c r="D24" s="45"/>
      <c r="E24" s="104"/>
      <c r="F24" s="45"/>
      <c r="G24" s="104"/>
      <c r="H24" s="45"/>
      <c r="I24" s="104"/>
      <c r="J24" s="45"/>
      <c r="K24" s="104"/>
      <c r="L24" s="45"/>
      <c r="M24" s="106"/>
      <c r="N24" s="45"/>
      <c r="O24" s="104"/>
      <c r="P24" s="45"/>
      <c r="Q24" s="104"/>
      <c r="R24" s="45"/>
      <c r="S24" s="104"/>
      <c r="T24" s="45"/>
      <c r="U24" s="104"/>
      <c r="V24" s="45"/>
      <c r="W24" s="104"/>
      <c r="X24" s="45"/>
      <c r="Y24" s="104"/>
      <c r="Z24" s="45"/>
      <c r="AA24" s="104"/>
      <c r="AB24" s="45"/>
      <c r="AC24" s="104"/>
      <c r="AD24" s="45"/>
      <c r="AE24" s="104"/>
      <c r="AF24" s="45"/>
      <c r="AG24" s="104"/>
    </row>
    <row r="25" spans="1:33">
      <c r="A25" s="51" t="s">
        <v>260</v>
      </c>
      <c r="B25" s="103">
        <f>SUM(C25:R25)</f>
        <v>0</v>
      </c>
      <c r="C25" s="45"/>
      <c r="D25" s="45"/>
      <c r="E25" s="104"/>
      <c r="F25" s="45"/>
      <c r="G25" s="104"/>
      <c r="H25" s="45"/>
      <c r="I25" s="104"/>
      <c r="J25" s="45"/>
      <c r="K25" s="104"/>
      <c r="L25" s="45"/>
      <c r="M25" s="104"/>
      <c r="N25" s="45"/>
      <c r="O25" s="104"/>
      <c r="P25" s="45"/>
      <c r="Q25" s="104"/>
      <c r="R25" s="45"/>
      <c r="S25" s="104"/>
      <c r="T25" s="45"/>
      <c r="U25" s="104"/>
      <c r="V25" s="45"/>
      <c r="W25" s="104"/>
      <c r="X25" s="45"/>
      <c r="Y25" s="104"/>
      <c r="Z25" s="45"/>
      <c r="AA25" s="104"/>
      <c r="AB25" s="45"/>
      <c r="AC25" s="104"/>
      <c r="AD25" s="45"/>
      <c r="AE25" s="104"/>
      <c r="AF25" s="45"/>
      <c r="AG25" s="104"/>
    </row>
    <row r="26" spans="1:33">
      <c r="C26" s="45"/>
      <c r="D26" s="45"/>
      <c r="E26" s="104"/>
      <c r="F26" s="45"/>
      <c r="G26" s="104"/>
      <c r="H26" s="45"/>
      <c r="I26" s="104"/>
      <c r="J26" s="45"/>
      <c r="K26" s="104"/>
      <c r="L26" s="45"/>
      <c r="M26" s="104"/>
      <c r="N26" s="45"/>
      <c r="O26" s="104"/>
      <c r="P26" s="45"/>
      <c r="Q26" s="104"/>
      <c r="R26" s="45"/>
      <c r="S26" s="104"/>
      <c r="T26" s="45"/>
      <c r="U26" s="104"/>
      <c r="V26" s="45"/>
      <c r="W26" s="104"/>
      <c r="X26" s="45"/>
      <c r="Y26" s="104"/>
      <c r="Z26" s="45"/>
      <c r="AA26" s="104"/>
      <c r="AB26" s="45"/>
      <c r="AC26" s="104"/>
      <c r="AD26" s="45"/>
      <c r="AE26" s="104"/>
      <c r="AF26" s="45"/>
      <c r="AG26" s="104"/>
    </row>
    <row r="27" spans="1:33" ht="25">
      <c r="A27" s="101" t="s">
        <v>249</v>
      </c>
      <c r="B27" s="107" t="s">
        <v>262</v>
      </c>
      <c r="C27" s="45"/>
      <c r="D27" s="45"/>
      <c r="E27" s="104"/>
      <c r="F27" s="45"/>
      <c r="G27" s="104"/>
      <c r="H27" s="45"/>
      <c r="I27" s="104"/>
      <c r="J27" s="45"/>
      <c r="K27" s="104"/>
      <c r="L27" s="45"/>
      <c r="M27" s="104"/>
      <c r="N27" s="45"/>
      <c r="O27" s="104"/>
      <c r="P27" s="45"/>
      <c r="Q27" s="104"/>
      <c r="R27" s="45"/>
      <c r="S27" s="104"/>
      <c r="T27" s="45"/>
      <c r="U27" s="104"/>
      <c r="V27" s="45"/>
      <c r="W27" s="104"/>
      <c r="X27" s="45"/>
      <c r="Y27" s="104"/>
      <c r="Z27" s="45"/>
      <c r="AA27" s="104"/>
      <c r="AB27" s="45"/>
      <c r="AC27" s="104"/>
      <c r="AD27" s="45"/>
      <c r="AE27" s="104"/>
      <c r="AF27" s="45"/>
      <c r="AG27" s="104"/>
    </row>
    <row r="28" spans="1:33">
      <c r="A28" s="51" t="s">
        <v>257</v>
      </c>
      <c r="B28" s="103">
        <f>SUM(C28:R28)</f>
        <v>0</v>
      </c>
      <c r="C28" s="45"/>
      <c r="D28" s="45"/>
      <c r="E28" s="104"/>
      <c r="F28" s="45"/>
      <c r="G28" s="104"/>
      <c r="H28" s="45"/>
      <c r="I28" s="104"/>
      <c r="J28" s="45"/>
      <c r="K28" s="104"/>
      <c r="L28" s="45"/>
      <c r="M28" s="104"/>
      <c r="N28" s="45"/>
      <c r="O28" s="104"/>
      <c r="P28" s="45"/>
      <c r="Q28" s="104"/>
      <c r="R28" s="45"/>
      <c r="S28" s="104"/>
      <c r="T28" s="45"/>
      <c r="U28" s="104"/>
      <c r="V28" s="45"/>
      <c r="W28" s="104"/>
      <c r="X28" s="45"/>
      <c r="Y28" s="104"/>
      <c r="Z28" s="45"/>
      <c r="AA28" s="104"/>
      <c r="AB28" s="45"/>
      <c r="AC28" s="104"/>
      <c r="AD28" s="45"/>
      <c r="AE28" s="104"/>
      <c r="AF28" s="45"/>
      <c r="AG28" s="104"/>
    </row>
    <row r="29" spans="1:33">
      <c r="A29" s="51" t="s">
        <v>258</v>
      </c>
      <c r="B29" s="103">
        <f>SUM(C29:R29)</f>
        <v>675</v>
      </c>
      <c r="C29" s="45">
        <v>140</v>
      </c>
      <c r="D29" s="45"/>
      <c r="E29" s="104"/>
      <c r="F29" s="45">
        <v>80</v>
      </c>
      <c r="G29" s="104">
        <v>235</v>
      </c>
      <c r="H29" s="45">
        <v>200</v>
      </c>
      <c r="I29" s="104">
        <v>20</v>
      </c>
      <c r="J29" s="45"/>
      <c r="K29" s="104"/>
      <c r="L29" s="45"/>
      <c r="M29" s="104"/>
      <c r="N29" s="45"/>
      <c r="O29" s="104"/>
      <c r="P29" s="45"/>
      <c r="Q29" s="104"/>
      <c r="R29" s="45"/>
      <c r="S29" s="104"/>
      <c r="T29" s="45"/>
      <c r="U29" s="104"/>
      <c r="V29" s="45"/>
      <c r="W29" s="104"/>
      <c r="X29" s="45"/>
      <c r="Y29" s="104"/>
      <c r="Z29" s="45"/>
      <c r="AA29" s="104"/>
      <c r="AB29" s="45"/>
      <c r="AC29" s="104"/>
      <c r="AD29" s="45"/>
      <c r="AE29" s="104"/>
      <c r="AF29" s="45"/>
      <c r="AG29" s="104"/>
    </row>
    <row r="30" spans="1:33">
      <c r="A30" s="45" t="s">
        <v>251</v>
      </c>
      <c r="B30" s="103">
        <f>SUM(C30:R30)</f>
        <v>260</v>
      </c>
      <c r="C30" s="45"/>
      <c r="D30" s="45"/>
      <c r="E30" s="104"/>
      <c r="F30" s="45"/>
      <c r="G30" s="104"/>
      <c r="H30" s="45"/>
      <c r="I30" s="104"/>
      <c r="J30" s="45"/>
      <c r="K30" s="104"/>
      <c r="L30" s="45"/>
      <c r="M30" s="104"/>
      <c r="N30" s="45">
        <v>40</v>
      </c>
      <c r="O30" s="104">
        <v>160</v>
      </c>
      <c r="P30" s="45">
        <v>60</v>
      </c>
      <c r="Q30" s="104"/>
      <c r="R30" s="45"/>
      <c r="S30" s="104"/>
      <c r="T30" s="45"/>
      <c r="U30" s="104"/>
      <c r="V30" s="45"/>
      <c r="W30" s="104"/>
      <c r="X30" s="45"/>
      <c r="Y30" s="104"/>
      <c r="Z30" s="45"/>
      <c r="AA30" s="104"/>
      <c r="AB30" s="45"/>
      <c r="AC30" s="104"/>
      <c r="AD30" s="45"/>
      <c r="AE30" s="104"/>
      <c r="AF30" s="45"/>
      <c r="AG30" s="104"/>
    </row>
    <row r="31" spans="1:33" ht="25">
      <c r="A31" s="51" t="s">
        <v>264</v>
      </c>
      <c r="B31" s="103"/>
      <c r="C31" s="45"/>
      <c r="D31" s="45"/>
      <c r="E31" s="104"/>
      <c r="F31" s="45"/>
      <c r="G31" s="104"/>
      <c r="H31" s="45"/>
      <c r="I31" s="104"/>
      <c r="J31" s="45"/>
      <c r="K31" s="104"/>
      <c r="L31" s="45"/>
      <c r="M31" s="104"/>
      <c r="N31" s="45"/>
      <c r="O31" s="104"/>
      <c r="P31" s="45"/>
      <c r="Q31" s="104"/>
      <c r="R31" s="45"/>
      <c r="S31" s="104"/>
      <c r="T31" s="45"/>
      <c r="U31" s="104"/>
      <c r="V31" s="45"/>
      <c r="W31" s="104"/>
      <c r="X31" s="45"/>
      <c r="Y31" s="104"/>
      <c r="Z31" s="45"/>
      <c r="AA31" s="104"/>
      <c r="AB31" s="45"/>
      <c r="AC31" s="104"/>
      <c r="AD31" s="45"/>
      <c r="AE31" s="104"/>
      <c r="AF31" s="45"/>
      <c r="AG31" s="104"/>
    </row>
    <row r="32" spans="1:33">
      <c r="A32" s="45" t="s">
        <v>251</v>
      </c>
      <c r="B32" s="103">
        <f>SUM(C32:R32)</f>
        <v>0</v>
      </c>
      <c r="C32" s="45"/>
      <c r="D32" s="45"/>
      <c r="E32" s="104"/>
      <c r="F32" s="45"/>
      <c r="G32" s="104"/>
      <c r="H32" s="45"/>
      <c r="I32" s="104"/>
      <c r="J32" s="45"/>
      <c r="K32" s="104"/>
      <c r="L32" s="45"/>
      <c r="M32" s="104"/>
      <c r="N32" s="45"/>
      <c r="O32" s="104"/>
      <c r="P32" s="45"/>
      <c r="Q32" s="104"/>
      <c r="R32" s="45"/>
      <c r="S32" s="104"/>
      <c r="T32" s="45"/>
      <c r="U32" s="104"/>
      <c r="V32" s="45"/>
      <c r="W32" s="104"/>
      <c r="X32" s="45"/>
      <c r="Y32" s="104"/>
      <c r="Z32" s="45"/>
      <c r="AA32" s="104"/>
      <c r="AB32" s="45"/>
      <c r="AC32" s="104"/>
      <c r="AD32" s="45"/>
      <c r="AE32" s="104"/>
      <c r="AF32" s="45"/>
      <c r="AG32" s="104"/>
    </row>
    <row r="33" spans="1:33">
      <c r="A33" s="51" t="s">
        <v>261</v>
      </c>
      <c r="B33" s="103">
        <f t="shared" ref="B33" si="4">SUM(C33:R33)</f>
        <v>0</v>
      </c>
      <c r="C33" s="45"/>
      <c r="D33" s="45"/>
      <c r="E33" s="104"/>
      <c r="F33" s="45"/>
      <c r="G33" s="104"/>
      <c r="H33" s="45"/>
      <c r="I33" s="104"/>
      <c r="J33" s="45"/>
      <c r="K33" s="104"/>
      <c r="L33" s="45"/>
      <c r="M33" s="106"/>
      <c r="N33" s="45"/>
      <c r="O33" s="104"/>
      <c r="P33" s="45"/>
      <c r="Q33" s="104"/>
      <c r="R33" s="45"/>
      <c r="S33" s="104"/>
      <c r="T33" s="45"/>
      <c r="U33" s="104"/>
      <c r="V33" s="45"/>
      <c r="W33" s="104"/>
      <c r="X33" s="45"/>
      <c r="Y33" s="104"/>
      <c r="Z33" s="45"/>
      <c r="AA33" s="104"/>
      <c r="AB33" s="45"/>
      <c r="AC33" s="104"/>
      <c r="AD33" s="45"/>
      <c r="AE33" s="104"/>
      <c r="AF33" s="45"/>
      <c r="AG33" s="104"/>
    </row>
    <row r="34" spans="1:33">
      <c r="C34" s="45"/>
      <c r="D34" s="45"/>
      <c r="E34" s="104"/>
      <c r="F34" s="45"/>
      <c r="G34" s="104"/>
      <c r="H34" s="45"/>
      <c r="I34" s="104"/>
      <c r="J34" s="45"/>
      <c r="K34" s="104"/>
      <c r="L34" s="45"/>
      <c r="M34" s="104"/>
      <c r="N34" s="45"/>
      <c r="O34" s="104"/>
      <c r="P34" s="45"/>
      <c r="Q34" s="104"/>
      <c r="R34" s="45"/>
      <c r="S34" s="104"/>
      <c r="T34" s="45"/>
      <c r="U34" s="104"/>
      <c r="V34" s="45"/>
      <c r="W34" s="104"/>
      <c r="X34" s="45"/>
      <c r="Y34" s="104"/>
      <c r="Z34" s="45"/>
      <c r="AA34" s="104"/>
      <c r="AB34" s="45"/>
      <c r="AC34" s="104"/>
      <c r="AD34" s="45"/>
      <c r="AE34" s="104"/>
      <c r="AF34" s="45"/>
      <c r="AG34" s="104"/>
    </row>
    <row r="35" spans="1:33" ht="25">
      <c r="A35" s="101" t="s">
        <v>252</v>
      </c>
      <c r="B35" s="107" t="s">
        <v>262</v>
      </c>
      <c r="C35" s="45"/>
      <c r="D35" s="45"/>
      <c r="E35" s="104"/>
      <c r="F35" s="45"/>
      <c r="G35" s="104"/>
      <c r="H35" s="45"/>
      <c r="I35" s="104"/>
      <c r="J35" s="45"/>
      <c r="K35" s="104"/>
      <c r="L35" s="45"/>
      <c r="M35" s="104"/>
      <c r="N35" s="45"/>
      <c r="O35" s="104"/>
      <c r="P35" s="45"/>
      <c r="Q35" s="104"/>
      <c r="R35" s="45"/>
      <c r="S35" s="104"/>
      <c r="T35" s="45"/>
      <c r="U35" s="104"/>
      <c r="V35" s="45"/>
      <c r="W35" s="104"/>
      <c r="X35" s="45"/>
      <c r="Y35" s="104"/>
      <c r="Z35" s="45"/>
      <c r="AA35" s="104"/>
      <c r="AB35" s="45"/>
      <c r="AC35" s="104"/>
      <c r="AD35" s="45"/>
      <c r="AE35" s="104"/>
      <c r="AF35" s="45"/>
      <c r="AG35" s="104"/>
    </row>
    <row r="36" spans="1:33">
      <c r="A36" s="45" t="s">
        <v>251</v>
      </c>
      <c r="B36" s="103">
        <f>SUM(C36:R36)</f>
        <v>173</v>
      </c>
      <c r="C36" s="45"/>
      <c r="D36" s="45"/>
      <c r="E36" s="104"/>
      <c r="F36" s="45"/>
      <c r="G36" s="104"/>
      <c r="H36" s="45"/>
      <c r="I36" s="104"/>
      <c r="J36" s="45">
        <v>154</v>
      </c>
      <c r="K36" s="104"/>
      <c r="L36" s="45"/>
      <c r="M36" s="104"/>
      <c r="N36" s="45"/>
      <c r="O36" s="104"/>
      <c r="P36" s="45">
        <v>19</v>
      </c>
      <c r="Q36" s="104"/>
      <c r="R36" s="45"/>
      <c r="S36" s="104"/>
      <c r="T36" s="45"/>
      <c r="U36" s="104"/>
      <c r="V36" s="45"/>
      <c r="W36" s="104"/>
      <c r="X36" s="45"/>
      <c r="Y36" s="104"/>
      <c r="Z36" s="45"/>
      <c r="AA36" s="104"/>
      <c r="AB36" s="45"/>
      <c r="AC36" s="104"/>
      <c r="AD36" s="45"/>
      <c r="AE36" s="104"/>
      <c r="AF36" s="45"/>
      <c r="AG36" s="104"/>
    </row>
    <row r="37" spans="1:33">
      <c r="A37" s="51" t="s">
        <v>257</v>
      </c>
      <c r="B37" s="103">
        <f>SUM(C37:R37)</f>
        <v>0</v>
      </c>
      <c r="C37" s="45"/>
      <c r="D37" s="45"/>
      <c r="E37" s="104"/>
      <c r="F37" s="45"/>
      <c r="G37" s="104"/>
      <c r="H37" s="45"/>
      <c r="I37" s="104"/>
      <c r="J37" s="45"/>
      <c r="K37" s="104"/>
      <c r="L37" s="45"/>
      <c r="M37" s="104"/>
      <c r="N37" s="45"/>
      <c r="O37" s="104"/>
      <c r="P37" s="45"/>
      <c r="Q37" s="104"/>
      <c r="R37" s="45"/>
      <c r="S37" s="104"/>
      <c r="T37" s="45"/>
      <c r="U37" s="104"/>
      <c r="V37" s="45"/>
      <c r="W37" s="104"/>
      <c r="X37" s="45"/>
      <c r="Y37" s="104"/>
      <c r="Z37" s="45"/>
      <c r="AA37" s="104"/>
      <c r="AB37" s="45"/>
      <c r="AC37" s="104"/>
      <c r="AD37" s="45"/>
      <c r="AE37" s="104"/>
      <c r="AF37" s="45"/>
      <c r="AG37" s="104"/>
    </row>
    <row r="38" spans="1:33" ht="25">
      <c r="A38" s="51" t="s">
        <v>263</v>
      </c>
      <c r="B38" s="103"/>
      <c r="C38" s="45"/>
      <c r="D38" s="45"/>
      <c r="E38" s="104"/>
      <c r="F38" s="45"/>
      <c r="G38" s="104"/>
      <c r="H38" s="45"/>
      <c r="I38" s="104"/>
      <c r="J38" s="45"/>
      <c r="K38" s="104"/>
      <c r="L38" s="45"/>
      <c r="M38" s="104"/>
      <c r="N38" s="45"/>
      <c r="O38" s="104"/>
      <c r="P38" s="45"/>
      <c r="Q38" s="104"/>
      <c r="R38" s="45"/>
      <c r="S38" s="104"/>
      <c r="T38" s="45"/>
      <c r="U38" s="104"/>
      <c r="V38" s="45"/>
      <c r="W38" s="104"/>
      <c r="X38" s="45"/>
      <c r="Y38" s="104"/>
      <c r="Z38" s="45"/>
      <c r="AA38" s="104"/>
      <c r="AB38" s="45"/>
      <c r="AC38" s="104"/>
      <c r="AD38" s="45"/>
      <c r="AE38" s="104"/>
      <c r="AF38" s="45"/>
      <c r="AG38" s="104"/>
    </row>
    <row r="39" spans="1:33" ht="25">
      <c r="A39" s="108" t="s">
        <v>267</v>
      </c>
      <c r="B39" s="103">
        <f>SUM(C39:R39)</f>
        <v>3065</v>
      </c>
      <c r="C39" s="45">
        <v>91</v>
      </c>
      <c r="D39" s="45">
        <v>318</v>
      </c>
      <c r="E39" s="104"/>
      <c r="F39" s="45">
        <v>155</v>
      </c>
      <c r="G39" s="104">
        <v>101</v>
      </c>
      <c r="H39" s="45">
        <v>263</v>
      </c>
      <c r="I39" s="104">
        <v>193</v>
      </c>
      <c r="J39" s="45">
        <v>317</v>
      </c>
      <c r="K39" s="104"/>
      <c r="L39" s="45"/>
      <c r="M39" s="104">
        <v>367</v>
      </c>
      <c r="N39" s="45">
        <v>480</v>
      </c>
      <c r="O39" s="104">
        <v>480</v>
      </c>
      <c r="P39" s="45">
        <v>300</v>
      </c>
      <c r="Q39" s="104"/>
      <c r="R39" s="45"/>
      <c r="S39" s="104"/>
      <c r="T39" s="45"/>
      <c r="U39" s="104"/>
      <c r="V39" s="45"/>
      <c r="W39" s="104"/>
      <c r="X39" s="45"/>
      <c r="Y39" s="104"/>
      <c r="Z39" s="45"/>
      <c r="AA39" s="104"/>
      <c r="AB39" s="45"/>
      <c r="AC39" s="104"/>
      <c r="AD39" s="45"/>
      <c r="AE39" s="104"/>
      <c r="AF39" s="45"/>
      <c r="AG39" s="104"/>
    </row>
    <row r="40" spans="1:33">
      <c r="A40" s="51" t="s">
        <v>266</v>
      </c>
      <c r="B40" s="103"/>
      <c r="C40" s="45"/>
      <c r="D40" s="45"/>
      <c r="E40" s="104"/>
      <c r="F40" s="45"/>
      <c r="G40" s="104"/>
      <c r="H40" s="45"/>
      <c r="I40" s="104"/>
      <c r="J40" s="45"/>
      <c r="K40" s="104"/>
      <c r="L40" s="45"/>
      <c r="M40" s="104"/>
      <c r="N40" s="45"/>
      <c r="O40" s="104"/>
      <c r="P40" s="45"/>
      <c r="Q40" s="104"/>
      <c r="R40" s="45"/>
      <c r="S40" s="104"/>
      <c r="T40" s="45"/>
      <c r="U40" s="104"/>
      <c r="V40" s="45"/>
      <c r="W40" s="104"/>
      <c r="X40" s="45"/>
      <c r="Y40" s="104"/>
      <c r="Z40" s="45"/>
      <c r="AA40" s="104"/>
      <c r="AB40" s="45"/>
      <c r="AC40" s="104"/>
      <c r="AD40" s="45"/>
      <c r="AE40" s="104"/>
      <c r="AF40" s="45"/>
      <c r="AG40" s="104"/>
    </row>
    <row r="41" spans="1:33">
      <c r="A41" s="51" t="s">
        <v>261</v>
      </c>
      <c r="B41" s="103">
        <f t="shared" ref="B41" si="5">SUM(C41:R41)</f>
        <v>0</v>
      </c>
      <c r="C41" s="45"/>
      <c r="D41" s="45"/>
      <c r="E41" s="104"/>
      <c r="F41" s="45"/>
      <c r="G41" s="104"/>
      <c r="H41" s="45"/>
      <c r="I41" s="104"/>
      <c r="J41" s="45"/>
      <c r="K41" s="104"/>
      <c r="L41" s="45"/>
      <c r="M41" s="106"/>
      <c r="N41" s="45"/>
      <c r="O41" s="104"/>
      <c r="P41" s="45"/>
      <c r="Q41" s="104"/>
      <c r="R41" s="45"/>
      <c r="S41" s="104"/>
      <c r="T41" s="45"/>
      <c r="U41" s="104"/>
      <c r="V41" s="45"/>
      <c r="W41" s="104"/>
      <c r="X41" s="45"/>
      <c r="Y41" s="104"/>
      <c r="Z41" s="45"/>
      <c r="AA41" s="104"/>
      <c r="AB41" s="45"/>
      <c r="AC41" s="104"/>
      <c r="AD41" s="45"/>
      <c r="AE41" s="104"/>
      <c r="AF41" s="45"/>
      <c r="AG41" s="104"/>
    </row>
    <row r="43" spans="1:33" ht="25">
      <c r="A43" s="101" t="s">
        <v>253</v>
      </c>
      <c r="B43" s="107" t="s">
        <v>262</v>
      </c>
      <c r="C43" s="45"/>
      <c r="D43" s="45"/>
      <c r="E43" s="104"/>
      <c r="F43" s="45"/>
      <c r="G43" s="104"/>
      <c r="H43" s="45"/>
      <c r="I43" s="104"/>
      <c r="J43" s="45"/>
      <c r="K43" s="104"/>
      <c r="L43" s="45"/>
      <c r="M43" s="106"/>
      <c r="N43" s="45"/>
      <c r="O43" s="104"/>
      <c r="P43" s="45"/>
      <c r="Q43" s="104"/>
      <c r="R43" s="45"/>
      <c r="S43" s="104"/>
      <c r="T43" s="45"/>
      <c r="U43" s="104"/>
      <c r="V43" s="45"/>
      <c r="W43" s="104"/>
      <c r="X43" s="45"/>
      <c r="Y43" s="104"/>
      <c r="Z43" s="45"/>
      <c r="AA43" s="104"/>
      <c r="AB43" s="45"/>
      <c r="AC43" s="104"/>
      <c r="AD43" s="45"/>
      <c r="AE43" s="104"/>
      <c r="AF43" s="45"/>
      <c r="AG43" s="104"/>
    </row>
    <row r="44" spans="1:33">
      <c r="A44" s="45" t="s">
        <v>251</v>
      </c>
      <c r="B44" s="45">
        <f>SUM(C44:R44)</f>
        <v>0</v>
      </c>
      <c r="C44" s="45"/>
      <c r="D44" s="45"/>
      <c r="E44" s="104"/>
      <c r="F44" s="45"/>
      <c r="G44" s="104"/>
      <c r="H44" s="45"/>
      <c r="I44" s="104"/>
      <c r="J44" s="45"/>
      <c r="K44" s="104"/>
      <c r="L44" s="45"/>
      <c r="M44" s="106"/>
      <c r="N44" s="45"/>
      <c r="O44" s="104"/>
      <c r="P44" s="45"/>
      <c r="Q44" s="104"/>
      <c r="R44" s="45"/>
      <c r="S44" s="104"/>
      <c r="T44" s="45"/>
      <c r="U44" s="104"/>
      <c r="V44" s="45"/>
      <c r="W44" s="104"/>
      <c r="X44" s="45"/>
      <c r="Y44" s="104"/>
      <c r="Z44" s="45"/>
      <c r="AA44" s="104"/>
      <c r="AB44" s="45"/>
      <c r="AC44" s="104"/>
      <c r="AD44" s="45"/>
      <c r="AE44" s="104"/>
      <c r="AF44" s="45"/>
      <c r="AG44" s="104"/>
    </row>
    <row r="45" spans="1:33">
      <c r="A45" s="51" t="s">
        <v>259</v>
      </c>
      <c r="B45" s="45">
        <f>SUM(C45:R45)</f>
        <v>0</v>
      </c>
      <c r="C45" s="45"/>
      <c r="D45" s="45"/>
      <c r="E45" s="104"/>
      <c r="F45" s="45"/>
      <c r="G45" s="104"/>
      <c r="H45" s="45"/>
      <c r="I45" s="104"/>
      <c r="J45" s="45"/>
      <c r="K45" s="104"/>
      <c r="L45" s="45"/>
      <c r="M45" s="106"/>
      <c r="N45" s="45"/>
      <c r="O45" s="104"/>
      <c r="P45" s="45"/>
      <c r="Q45" s="104"/>
      <c r="R45" s="45"/>
      <c r="S45" s="104"/>
      <c r="T45" s="45"/>
      <c r="U45" s="104"/>
      <c r="V45" s="45"/>
      <c r="W45" s="104"/>
      <c r="X45" s="45"/>
      <c r="Y45" s="104"/>
      <c r="Z45" s="45"/>
      <c r="AA45" s="104"/>
      <c r="AB45" s="45"/>
      <c r="AC45" s="104"/>
      <c r="AD45" s="45"/>
      <c r="AE45" s="104"/>
      <c r="AF45" s="45"/>
      <c r="AG45" s="104"/>
    </row>
    <row r="46" spans="1:33">
      <c r="A46" s="45" t="s">
        <v>251</v>
      </c>
      <c r="B46" s="45">
        <f>SUM(C46:R46)</f>
        <v>0</v>
      </c>
      <c r="C46" s="45"/>
      <c r="D46" s="45"/>
      <c r="E46" s="104"/>
      <c r="F46" s="45"/>
      <c r="G46" s="104"/>
      <c r="H46" s="45"/>
      <c r="I46" s="104"/>
      <c r="J46" s="45"/>
      <c r="K46" s="104"/>
      <c r="L46" s="45"/>
      <c r="M46" s="106"/>
      <c r="N46" s="45"/>
      <c r="O46" s="104"/>
      <c r="P46" s="45"/>
      <c r="Q46" s="104"/>
      <c r="R46" s="45"/>
      <c r="S46" s="104"/>
      <c r="T46" s="45"/>
      <c r="U46" s="104"/>
      <c r="V46" s="45"/>
      <c r="W46" s="104"/>
      <c r="X46" s="45"/>
      <c r="Y46" s="104"/>
      <c r="Z46" s="45"/>
      <c r="AA46" s="104"/>
      <c r="AB46" s="45"/>
      <c r="AC46" s="104"/>
      <c r="AD46" s="45"/>
      <c r="AE46" s="104"/>
      <c r="AF46" s="45"/>
      <c r="AG46" s="104"/>
    </row>
    <row r="47" spans="1:33">
      <c r="A47" s="51" t="s">
        <v>260</v>
      </c>
      <c r="B47" s="45">
        <f>SUM(C47:R47)</f>
        <v>240</v>
      </c>
      <c r="C47" s="45"/>
      <c r="D47" s="45"/>
      <c r="E47" s="104"/>
      <c r="F47" s="45"/>
      <c r="G47" s="104"/>
      <c r="H47" s="45"/>
      <c r="I47" s="104"/>
      <c r="J47" s="45"/>
      <c r="K47" s="104"/>
      <c r="L47" s="45"/>
      <c r="M47" s="106"/>
      <c r="N47" s="45"/>
      <c r="O47" s="104">
        <v>240</v>
      </c>
      <c r="P47" s="45"/>
      <c r="Q47" s="104"/>
      <c r="R47" s="45"/>
      <c r="S47" s="104"/>
      <c r="T47" s="45"/>
      <c r="U47" s="104"/>
      <c r="V47" s="45"/>
      <c r="W47" s="104"/>
      <c r="X47" s="45"/>
      <c r="Y47" s="104"/>
      <c r="Z47" s="45"/>
      <c r="AA47" s="104"/>
      <c r="AB47" s="45"/>
      <c r="AC47" s="104"/>
      <c r="AD47" s="45"/>
      <c r="AE47" s="104"/>
      <c r="AF47" s="45"/>
      <c r="AG47" s="104"/>
    </row>
    <row r="48" spans="1:33">
      <c r="A48" s="51"/>
      <c r="B48" s="45"/>
      <c r="C48" s="45"/>
    </row>
    <row r="49" spans="1:3" ht="50" customHeight="1">
      <c r="A49" s="129" t="s">
        <v>254</v>
      </c>
      <c r="B49" s="130"/>
      <c r="C49" s="45">
        <v>108</v>
      </c>
    </row>
    <row r="50" spans="1:3" ht="45.5" customHeight="1">
      <c r="A50" s="131" t="s">
        <v>256</v>
      </c>
      <c r="B50" s="131"/>
      <c r="C50" s="45">
        <v>133</v>
      </c>
    </row>
    <row r="51" spans="1:3" ht="47" customHeight="1">
      <c r="A51" s="131" t="s">
        <v>255</v>
      </c>
      <c r="B51" s="131"/>
      <c r="C51" s="45">
        <v>100</v>
      </c>
    </row>
  </sheetData>
  <mergeCells count="3">
    <mergeCell ref="A49:B49"/>
    <mergeCell ref="A50:B50"/>
    <mergeCell ref="A51:B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0EEF-0AEE-4B15-A5F4-40019822B33B}">
  <dimension ref="B1:I37"/>
  <sheetViews>
    <sheetView zoomScale="70" zoomScaleNormal="70" workbookViewId="0">
      <selection activeCell="B21" sqref="B21"/>
    </sheetView>
  </sheetViews>
  <sheetFormatPr defaultRowHeight="12.5"/>
  <cols>
    <col min="2" max="2" width="12.81640625" bestFit="1" customWidth="1"/>
    <col min="3" max="3" width="4" bestFit="1" customWidth="1"/>
    <col min="4" max="4" width="8.1796875" bestFit="1" customWidth="1"/>
    <col min="5" max="5" width="12.36328125" customWidth="1"/>
    <col min="6" max="6" width="10.36328125" bestFit="1" customWidth="1"/>
    <col min="7" max="7" width="37.36328125" style="55" customWidth="1"/>
    <col min="8" max="9" width="22.7265625" bestFit="1" customWidth="1"/>
    <col min="10" max="14" width="10.6328125" customWidth="1"/>
    <col min="15" max="15" width="93.1796875" bestFit="1" customWidth="1"/>
    <col min="16" max="16" width="66.08984375" bestFit="1" customWidth="1"/>
    <col min="17" max="17" width="2.90625" bestFit="1" customWidth="1"/>
    <col min="18" max="18" width="17.26953125" bestFit="1" customWidth="1"/>
    <col min="19" max="19" width="25.1796875" bestFit="1" customWidth="1"/>
    <col min="20" max="20" width="10.6328125" customWidth="1"/>
  </cols>
  <sheetData>
    <row r="1" spans="2:9">
      <c r="B1" s="46" t="s">
        <v>45</v>
      </c>
      <c r="C1">
        <v>140</v>
      </c>
    </row>
    <row r="2" spans="2:9" ht="25">
      <c r="B2" s="47" t="s">
        <v>6</v>
      </c>
      <c r="C2" s="47"/>
      <c r="D2" s="109" t="s">
        <v>46</v>
      </c>
      <c r="E2" s="109"/>
      <c r="F2" s="48" t="s">
        <v>75</v>
      </c>
      <c r="G2" s="56" t="s">
        <v>47</v>
      </c>
      <c r="H2" s="110"/>
      <c r="I2" s="110"/>
    </row>
    <row r="3" spans="2:9">
      <c r="B3" s="45"/>
      <c r="C3" s="45"/>
      <c r="D3" s="49" t="s">
        <v>48</v>
      </c>
      <c r="E3" s="49" t="s">
        <v>49</v>
      </c>
      <c r="F3" s="45"/>
      <c r="G3" s="51"/>
      <c r="H3" s="46"/>
      <c r="I3" s="46"/>
    </row>
    <row r="4" spans="2:9" ht="25" hidden="1">
      <c r="B4" s="60">
        <v>46024</v>
      </c>
      <c r="C4" s="45"/>
      <c r="D4" s="12">
        <v>80</v>
      </c>
      <c r="E4" s="12">
        <v>33</v>
      </c>
      <c r="F4" s="12">
        <f>60*8</f>
        <v>480</v>
      </c>
      <c r="G4" s="51" t="s">
        <v>154</v>
      </c>
    </row>
    <row r="5" spans="2:9" hidden="1">
      <c r="B5" s="60">
        <v>46025</v>
      </c>
      <c r="C5" s="45"/>
      <c r="D5" s="12">
        <v>71</v>
      </c>
      <c r="E5" s="12">
        <v>39</v>
      </c>
      <c r="F5" s="12">
        <v>0</v>
      </c>
      <c r="G5" s="58" t="s">
        <v>158</v>
      </c>
    </row>
    <row r="6" spans="2:9" hidden="1">
      <c r="B6" s="60">
        <v>46026</v>
      </c>
      <c r="C6" s="45"/>
      <c r="D6" s="12">
        <v>97</v>
      </c>
      <c r="E6" s="12">
        <v>0</v>
      </c>
      <c r="F6" s="12">
        <v>0</v>
      </c>
      <c r="G6" s="58" t="s">
        <v>159</v>
      </c>
    </row>
    <row r="7" spans="2:9" ht="25" hidden="1">
      <c r="B7" s="60">
        <v>46027</v>
      </c>
      <c r="C7" s="45"/>
      <c r="D7" s="12">
        <v>67</v>
      </c>
      <c r="E7" s="12">
        <v>24</v>
      </c>
      <c r="F7" s="12">
        <v>0</v>
      </c>
      <c r="G7" s="58" t="s">
        <v>160</v>
      </c>
    </row>
    <row r="8" spans="2:9" ht="25">
      <c r="B8" s="60">
        <v>46028</v>
      </c>
      <c r="C8" s="45"/>
      <c r="D8" s="12">
        <v>102</v>
      </c>
      <c r="E8" s="12">
        <v>66</v>
      </c>
      <c r="F8" s="12">
        <v>0</v>
      </c>
      <c r="G8" s="58" t="s">
        <v>166</v>
      </c>
    </row>
    <row r="9" spans="2:9" ht="25">
      <c r="B9" s="60">
        <v>46029</v>
      </c>
      <c r="C9" s="45"/>
      <c r="D9" s="12">
        <v>98</v>
      </c>
      <c r="E9" s="12">
        <v>78</v>
      </c>
      <c r="F9" s="12">
        <v>0</v>
      </c>
      <c r="G9" s="58" t="s">
        <v>166</v>
      </c>
    </row>
    <row r="10" spans="2:9" ht="25">
      <c r="B10" s="60">
        <v>46030</v>
      </c>
      <c r="C10" s="45"/>
      <c r="D10" s="12">
        <v>90</v>
      </c>
      <c r="E10" s="12">
        <v>59</v>
      </c>
      <c r="F10" s="12">
        <v>0</v>
      </c>
      <c r="G10" s="58" t="s">
        <v>166</v>
      </c>
    </row>
    <row r="11" spans="2:9" ht="25">
      <c r="B11" s="60">
        <v>46031</v>
      </c>
      <c r="C11" s="45"/>
      <c r="D11" s="12">
        <v>98</v>
      </c>
      <c r="E11" s="12">
        <v>60</v>
      </c>
      <c r="F11" s="12">
        <v>0</v>
      </c>
      <c r="G11" s="58" t="s">
        <v>166</v>
      </c>
    </row>
    <row r="12" spans="2:9" ht="25">
      <c r="B12" s="60">
        <v>46032</v>
      </c>
      <c r="C12" s="45"/>
      <c r="D12" s="12">
        <v>81</v>
      </c>
      <c r="E12" s="12">
        <v>0</v>
      </c>
      <c r="F12" s="12">
        <v>0</v>
      </c>
      <c r="G12" s="58" t="s">
        <v>174</v>
      </c>
    </row>
    <row r="14" spans="2:9">
      <c r="B14" s="46" t="s">
        <v>65</v>
      </c>
      <c r="D14">
        <f>18*7</f>
        <v>126</v>
      </c>
    </row>
    <row r="15" spans="2:9" ht="25">
      <c r="B15" s="47" t="s">
        <v>6</v>
      </c>
      <c r="C15" s="47"/>
      <c r="D15" s="109" t="s">
        <v>66</v>
      </c>
      <c r="E15" s="109"/>
      <c r="F15" s="48" t="s">
        <v>75</v>
      </c>
      <c r="G15" s="56" t="s">
        <v>47</v>
      </c>
    </row>
    <row r="16" spans="2:9">
      <c r="B16" s="45"/>
      <c r="C16" s="45"/>
      <c r="D16" s="49" t="s">
        <v>48</v>
      </c>
      <c r="E16" s="49" t="s">
        <v>49</v>
      </c>
      <c r="F16" s="45"/>
      <c r="G16" s="51"/>
    </row>
    <row r="17" spans="2:7" ht="25" hidden="1">
      <c r="B17" s="60">
        <v>46024</v>
      </c>
      <c r="C17" s="45"/>
      <c r="D17" s="12">
        <v>72</v>
      </c>
      <c r="E17" s="12">
        <v>26</v>
      </c>
      <c r="F17" s="12">
        <f>60*7</f>
        <v>420</v>
      </c>
      <c r="G17" s="51" t="s">
        <v>154</v>
      </c>
    </row>
    <row r="18" spans="2:7" hidden="1">
      <c r="B18" s="60">
        <v>46025</v>
      </c>
      <c r="C18" s="45"/>
      <c r="D18" s="12">
        <v>90</v>
      </c>
      <c r="E18" s="12">
        <v>43</v>
      </c>
      <c r="F18" s="12">
        <v>0</v>
      </c>
      <c r="G18" s="58" t="s">
        <v>158</v>
      </c>
    </row>
    <row r="19" spans="2:7" hidden="1">
      <c r="B19" s="60">
        <v>46027</v>
      </c>
      <c r="C19" s="45"/>
      <c r="D19" s="12">
        <v>87</v>
      </c>
      <c r="E19" s="12">
        <v>0</v>
      </c>
      <c r="F19" s="12">
        <v>0</v>
      </c>
      <c r="G19" s="58" t="s">
        <v>161</v>
      </c>
    </row>
    <row r="20" spans="2:7">
      <c r="B20" s="60">
        <v>46028</v>
      </c>
      <c r="C20" s="45"/>
      <c r="D20" s="12">
        <v>20</v>
      </c>
      <c r="E20" s="12">
        <v>0</v>
      </c>
      <c r="F20" s="12">
        <v>0</v>
      </c>
      <c r="G20" s="58" t="s">
        <v>167</v>
      </c>
    </row>
    <row r="21" spans="2:7">
      <c r="B21" s="60">
        <v>46029</v>
      </c>
      <c r="C21" s="45"/>
      <c r="D21" s="12">
        <v>51</v>
      </c>
      <c r="E21" s="12">
        <v>0</v>
      </c>
      <c r="F21" s="12">
        <v>0</v>
      </c>
      <c r="G21" s="58" t="s">
        <v>172</v>
      </c>
    </row>
    <row r="22" spans="2:7">
      <c r="B22" s="60">
        <v>46030</v>
      </c>
      <c r="C22" s="45"/>
      <c r="D22" s="12">
        <v>80</v>
      </c>
      <c r="E22" s="12">
        <v>0</v>
      </c>
      <c r="F22" s="12">
        <v>0</v>
      </c>
      <c r="G22" s="58" t="s">
        <v>173</v>
      </c>
    </row>
    <row r="23" spans="2:7">
      <c r="B23" s="60">
        <v>46031</v>
      </c>
      <c r="C23" s="45"/>
      <c r="D23" s="12">
        <v>90</v>
      </c>
      <c r="E23" s="12">
        <v>78</v>
      </c>
      <c r="F23" s="12">
        <v>0</v>
      </c>
      <c r="G23" s="58" t="s">
        <v>149</v>
      </c>
    </row>
    <row r="24" spans="2:7">
      <c r="B24" s="60">
        <v>46032</v>
      </c>
      <c r="C24" s="45"/>
      <c r="D24" s="12">
        <v>80</v>
      </c>
      <c r="E24" s="12">
        <v>52</v>
      </c>
      <c r="F24" s="12">
        <v>0</v>
      </c>
      <c r="G24" s="58" t="s">
        <v>149</v>
      </c>
    </row>
    <row r="26" spans="2:7">
      <c r="B26" s="46" t="s">
        <v>67</v>
      </c>
      <c r="D26">
        <f>31*7</f>
        <v>217</v>
      </c>
    </row>
    <row r="27" spans="2:7" ht="25">
      <c r="B27" s="47" t="s">
        <v>6</v>
      </c>
      <c r="C27" s="47"/>
      <c r="D27" s="109" t="s">
        <v>68</v>
      </c>
      <c r="E27" s="109"/>
      <c r="F27" s="48" t="s">
        <v>75</v>
      </c>
      <c r="G27" s="56" t="s">
        <v>47</v>
      </c>
    </row>
    <row r="28" spans="2:7">
      <c r="B28" s="45"/>
      <c r="C28" s="45"/>
      <c r="D28" s="45" t="s">
        <v>48</v>
      </c>
      <c r="E28" s="45" t="s">
        <v>49</v>
      </c>
      <c r="F28" s="45"/>
      <c r="G28" s="51"/>
    </row>
    <row r="29" spans="2:7" hidden="1">
      <c r="B29" s="60">
        <v>46024</v>
      </c>
      <c r="C29" s="45"/>
      <c r="D29" s="12">
        <v>154</v>
      </c>
      <c r="E29" s="12">
        <v>0</v>
      </c>
      <c r="F29" s="50">
        <f>60*3</f>
        <v>180</v>
      </c>
      <c r="G29" s="51" t="s">
        <v>155</v>
      </c>
    </row>
    <row r="30" spans="2:7" hidden="1">
      <c r="B30" s="60">
        <v>46025</v>
      </c>
      <c r="C30" s="45"/>
      <c r="D30" s="12">
        <v>168</v>
      </c>
      <c r="E30" s="12">
        <v>0</v>
      </c>
      <c r="F30" s="50">
        <f>60*3</f>
        <v>180</v>
      </c>
      <c r="G30" s="51" t="s">
        <v>155</v>
      </c>
    </row>
    <row r="31" spans="2:7" hidden="1">
      <c r="B31" s="60">
        <v>46027</v>
      </c>
      <c r="C31" s="45"/>
      <c r="D31" s="12">
        <v>238</v>
      </c>
      <c r="E31" s="12">
        <v>0</v>
      </c>
      <c r="F31" s="50"/>
      <c r="G31" s="51"/>
    </row>
    <row r="32" spans="2:7">
      <c r="B32" s="60">
        <v>46028</v>
      </c>
      <c r="C32" s="45"/>
      <c r="D32" s="12">
        <v>266</v>
      </c>
      <c r="E32" s="12">
        <v>0</v>
      </c>
      <c r="F32" s="50"/>
      <c r="G32" s="51"/>
    </row>
    <row r="33" spans="2:7">
      <c r="B33" s="60">
        <v>46030</v>
      </c>
      <c r="C33" s="45"/>
      <c r="D33" s="12">
        <v>238</v>
      </c>
      <c r="E33" s="12">
        <v>56</v>
      </c>
      <c r="F33" s="50"/>
      <c r="G33" s="51"/>
    </row>
    <row r="34" spans="2:7">
      <c r="B34" s="60">
        <v>46029</v>
      </c>
      <c r="C34" s="45"/>
      <c r="D34" s="12">
        <v>252</v>
      </c>
      <c r="E34" s="12">
        <v>42</v>
      </c>
      <c r="F34" s="50"/>
      <c r="G34" s="51"/>
    </row>
    <row r="35" spans="2:7">
      <c r="B35" s="60">
        <v>46030</v>
      </c>
      <c r="C35" s="45"/>
      <c r="D35" s="12">
        <v>238</v>
      </c>
      <c r="E35" s="12">
        <v>42</v>
      </c>
      <c r="F35" s="50"/>
      <c r="G35" s="51"/>
    </row>
    <row r="36" spans="2:7">
      <c r="B36" s="60">
        <v>46031</v>
      </c>
      <c r="C36" s="45"/>
      <c r="D36" s="12">
        <v>238</v>
      </c>
      <c r="E36" s="12">
        <v>56</v>
      </c>
      <c r="F36" s="50"/>
      <c r="G36" s="51"/>
    </row>
    <row r="37" spans="2:7">
      <c r="B37" s="60">
        <v>46032</v>
      </c>
      <c r="C37" s="45"/>
      <c r="D37" s="12">
        <v>182</v>
      </c>
      <c r="E37" s="12">
        <v>126</v>
      </c>
      <c r="F37" s="50"/>
      <c r="G37" s="51"/>
    </row>
  </sheetData>
  <mergeCells count="4">
    <mergeCell ref="D2:E2"/>
    <mergeCell ref="H2:I2"/>
    <mergeCell ref="D15:E15"/>
    <mergeCell ref="D27:E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B703-82A1-4DF0-B44F-F334BF85A69E}">
  <dimension ref="B1:I38"/>
  <sheetViews>
    <sheetView zoomScale="70" zoomScaleNormal="70" workbookViewId="0">
      <selection activeCell="B1" sqref="B1"/>
    </sheetView>
  </sheetViews>
  <sheetFormatPr defaultRowHeight="12.5"/>
  <cols>
    <col min="2" max="2" width="12.81640625" bestFit="1" customWidth="1"/>
    <col min="3" max="3" width="4" bestFit="1" customWidth="1"/>
    <col min="4" max="4" width="8.1796875" bestFit="1" customWidth="1"/>
    <col min="5" max="5" width="12.36328125" customWidth="1"/>
    <col min="6" max="6" width="10.36328125" bestFit="1" customWidth="1"/>
    <col min="7" max="7" width="37.36328125" style="55" customWidth="1"/>
    <col min="8" max="9" width="22.7265625" bestFit="1" customWidth="1"/>
    <col min="10" max="14" width="10.6328125" customWidth="1"/>
    <col min="15" max="15" width="93.1796875" bestFit="1" customWidth="1"/>
    <col min="16" max="16" width="66.08984375" bestFit="1" customWidth="1"/>
    <col min="17" max="17" width="2.90625" bestFit="1" customWidth="1"/>
    <col min="18" max="18" width="17.26953125" bestFit="1" customWidth="1"/>
    <col min="19" max="19" width="25.1796875" bestFit="1" customWidth="1"/>
    <col min="20" max="20" width="10.6328125" customWidth="1"/>
  </cols>
  <sheetData>
    <row r="1" spans="2:9">
      <c r="B1" s="46" t="s">
        <v>45</v>
      </c>
      <c r="C1">
        <v>140</v>
      </c>
    </row>
    <row r="2" spans="2:9" ht="25">
      <c r="B2" s="47" t="s">
        <v>6</v>
      </c>
      <c r="C2" s="47"/>
      <c r="D2" s="109" t="s">
        <v>46</v>
      </c>
      <c r="E2" s="109"/>
      <c r="F2" s="48" t="s">
        <v>75</v>
      </c>
      <c r="G2" s="56" t="s">
        <v>47</v>
      </c>
      <c r="H2" s="110"/>
      <c r="I2" s="110"/>
    </row>
    <row r="3" spans="2:9">
      <c r="B3" s="45"/>
      <c r="C3" s="45"/>
      <c r="D3" s="49" t="s">
        <v>48</v>
      </c>
      <c r="E3" s="49" t="s">
        <v>49</v>
      </c>
      <c r="F3" s="45"/>
      <c r="G3" s="51"/>
      <c r="H3" s="46"/>
      <c r="I3" s="46"/>
    </row>
    <row r="4" spans="2:9" ht="25">
      <c r="B4" s="60">
        <v>46008</v>
      </c>
      <c r="C4" s="45"/>
      <c r="D4" s="12">
        <v>116</v>
      </c>
      <c r="E4" s="12">
        <v>48</v>
      </c>
      <c r="F4" s="12"/>
      <c r="G4" s="30" t="s">
        <v>142</v>
      </c>
    </row>
    <row r="5" spans="2:9">
      <c r="B5" s="60">
        <v>46009</v>
      </c>
      <c r="C5" s="45"/>
      <c r="D5" s="12">
        <v>108</v>
      </c>
      <c r="E5" s="12">
        <v>58</v>
      </c>
      <c r="F5" s="12"/>
      <c r="G5" s="30" t="s">
        <v>141</v>
      </c>
    </row>
    <row r="6" spans="2:9" ht="25">
      <c r="B6" s="60">
        <v>46010</v>
      </c>
      <c r="C6" s="45"/>
      <c r="D6" s="12">
        <v>118</v>
      </c>
      <c r="E6" s="12">
        <v>45</v>
      </c>
      <c r="F6" s="12"/>
      <c r="G6" s="30" t="s">
        <v>144</v>
      </c>
    </row>
    <row r="7" spans="2:9" ht="25">
      <c r="B7" s="60">
        <v>46011</v>
      </c>
      <c r="C7" s="45"/>
      <c r="D7" s="12">
        <v>108</v>
      </c>
      <c r="E7" s="12">
        <v>36</v>
      </c>
      <c r="F7" s="12"/>
      <c r="G7" s="30" t="s">
        <v>144</v>
      </c>
    </row>
    <row r="8" spans="2:9" ht="25">
      <c r="B8" s="60">
        <v>46013</v>
      </c>
      <c r="C8" s="45"/>
      <c r="D8" s="12">
        <v>122</v>
      </c>
      <c r="E8" s="12">
        <v>38</v>
      </c>
      <c r="F8" s="12"/>
      <c r="G8" s="30" t="s">
        <v>144</v>
      </c>
    </row>
    <row r="9" spans="2:9" ht="25">
      <c r="B9" s="60">
        <v>46014</v>
      </c>
      <c r="C9" s="45"/>
      <c r="D9" s="12">
        <v>110</v>
      </c>
      <c r="E9" s="12">
        <v>70</v>
      </c>
      <c r="F9" s="12"/>
      <c r="G9" s="30" t="s">
        <v>144</v>
      </c>
    </row>
    <row r="10" spans="2:9" ht="25">
      <c r="B10" s="60">
        <v>46015</v>
      </c>
      <c r="C10" s="45"/>
      <c r="D10" s="12">
        <v>51</v>
      </c>
      <c r="E10" s="12">
        <v>54</v>
      </c>
      <c r="F10" s="12"/>
      <c r="G10" s="30" t="s">
        <v>144</v>
      </c>
    </row>
    <row r="11" spans="2:9" ht="25">
      <c r="B11" s="60">
        <v>46016</v>
      </c>
      <c r="C11" s="45"/>
      <c r="D11" s="12">
        <v>74</v>
      </c>
      <c r="E11" s="12">
        <v>64</v>
      </c>
      <c r="F11" s="12"/>
      <c r="G11" s="30" t="s">
        <v>144</v>
      </c>
    </row>
    <row r="12" spans="2:9" ht="25">
      <c r="B12" s="60">
        <v>46017</v>
      </c>
      <c r="C12" s="45"/>
      <c r="D12" s="12">
        <v>96</v>
      </c>
      <c r="E12" s="12">
        <v>39</v>
      </c>
      <c r="F12" s="12"/>
      <c r="G12" s="30" t="s">
        <v>151</v>
      </c>
    </row>
    <row r="13" spans="2:9">
      <c r="B13" s="60">
        <v>46018</v>
      </c>
      <c r="C13" s="45"/>
      <c r="D13" s="12">
        <v>118</v>
      </c>
      <c r="E13" s="12">
        <v>0</v>
      </c>
      <c r="F13" s="12"/>
      <c r="G13" s="30" t="s">
        <v>128</v>
      </c>
    </row>
    <row r="14" spans="2:9">
      <c r="B14" s="60">
        <v>46019</v>
      </c>
      <c r="C14" s="45"/>
      <c r="D14" s="12">
        <v>79</v>
      </c>
      <c r="E14" s="12">
        <v>0</v>
      </c>
      <c r="F14" s="12"/>
      <c r="G14" s="30" t="s">
        <v>128</v>
      </c>
    </row>
    <row r="16" spans="2:9">
      <c r="B16" s="46" t="s">
        <v>65</v>
      </c>
      <c r="D16">
        <f>18*7</f>
        <v>126</v>
      </c>
    </row>
    <row r="17" spans="2:7" ht="25">
      <c r="B17" s="47" t="s">
        <v>6</v>
      </c>
      <c r="C17" s="47"/>
      <c r="D17" s="109" t="s">
        <v>66</v>
      </c>
      <c r="E17" s="109"/>
      <c r="F17" s="48" t="s">
        <v>75</v>
      </c>
      <c r="G17" s="56" t="s">
        <v>47</v>
      </c>
    </row>
    <row r="18" spans="2:7">
      <c r="B18" s="45"/>
      <c r="C18" s="45"/>
      <c r="D18" s="49" t="s">
        <v>48</v>
      </c>
      <c r="E18" s="49" t="s">
        <v>49</v>
      </c>
      <c r="F18" s="45"/>
      <c r="G18" s="51"/>
    </row>
    <row r="19" spans="2:7">
      <c r="B19" s="60">
        <v>46009</v>
      </c>
      <c r="C19" s="45"/>
      <c r="D19" s="12">
        <v>66</v>
      </c>
      <c r="E19" s="12">
        <v>0</v>
      </c>
      <c r="F19" s="45"/>
      <c r="G19" s="30" t="s">
        <v>140</v>
      </c>
    </row>
    <row r="20" spans="2:7" ht="25">
      <c r="B20" s="60">
        <v>46010</v>
      </c>
      <c r="C20" s="45"/>
      <c r="D20" s="12">
        <v>87</v>
      </c>
      <c r="E20" s="12">
        <v>0</v>
      </c>
      <c r="F20" s="45"/>
      <c r="G20" s="30" t="s">
        <v>144</v>
      </c>
    </row>
    <row r="21" spans="2:7" ht="25">
      <c r="B21" s="60">
        <v>46011</v>
      </c>
      <c r="C21" s="45"/>
      <c r="D21" s="12">
        <v>0</v>
      </c>
      <c r="E21" s="12">
        <v>0</v>
      </c>
      <c r="F21" s="45"/>
      <c r="G21" s="30" t="s">
        <v>146</v>
      </c>
    </row>
    <row r="22" spans="2:7" ht="25">
      <c r="B22" s="60">
        <v>46013</v>
      </c>
      <c r="C22" s="45"/>
      <c r="D22" s="12">
        <v>62</v>
      </c>
      <c r="E22" s="12">
        <v>0</v>
      </c>
      <c r="F22" s="45"/>
      <c r="G22" s="30" t="s">
        <v>144</v>
      </c>
    </row>
    <row r="23" spans="2:7" ht="25">
      <c r="B23" s="60">
        <v>46014</v>
      </c>
      <c r="C23" s="45"/>
      <c r="D23" s="12">
        <v>56</v>
      </c>
      <c r="E23" s="12">
        <v>0</v>
      </c>
      <c r="F23" s="45"/>
      <c r="G23" s="30" t="s">
        <v>144</v>
      </c>
    </row>
    <row r="24" spans="2:7">
      <c r="B24" s="60">
        <v>46015</v>
      </c>
      <c r="C24" s="45"/>
      <c r="D24" s="12">
        <v>0</v>
      </c>
      <c r="E24" s="12">
        <v>0</v>
      </c>
      <c r="F24" s="45"/>
      <c r="G24" s="30" t="s">
        <v>23</v>
      </c>
    </row>
    <row r="25" spans="2:7">
      <c r="B25" s="60">
        <v>46016</v>
      </c>
      <c r="C25" s="45"/>
      <c r="D25" s="12">
        <v>0</v>
      </c>
      <c r="E25" s="12">
        <v>0</v>
      </c>
      <c r="F25" s="45"/>
      <c r="G25" s="30" t="s">
        <v>23</v>
      </c>
    </row>
    <row r="26" spans="2:7">
      <c r="B26" s="60">
        <v>46017</v>
      </c>
      <c r="C26" s="45"/>
      <c r="D26" s="12">
        <v>87</v>
      </c>
      <c r="E26" s="12">
        <v>38</v>
      </c>
      <c r="F26" s="45"/>
      <c r="G26" s="30" t="s">
        <v>150</v>
      </c>
    </row>
    <row r="27" spans="2:7">
      <c r="B27" s="60">
        <v>46018</v>
      </c>
      <c r="C27" s="45"/>
      <c r="D27" s="12">
        <v>77</v>
      </c>
      <c r="E27" s="12">
        <v>0</v>
      </c>
      <c r="F27" s="45"/>
      <c r="G27" s="30" t="s">
        <v>23</v>
      </c>
    </row>
    <row r="28" spans="2:7">
      <c r="B28" s="60">
        <v>46019</v>
      </c>
      <c r="C28" s="45"/>
      <c r="D28" s="12">
        <v>54</v>
      </c>
      <c r="E28" s="12">
        <v>0</v>
      </c>
      <c r="F28" s="45"/>
      <c r="G28" s="30" t="s">
        <v>23</v>
      </c>
    </row>
    <row r="30" spans="2:7">
      <c r="B30" s="46" t="s">
        <v>67</v>
      </c>
      <c r="D30">
        <f>31*7</f>
        <v>217</v>
      </c>
    </row>
    <row r="31" spans="2:7" ht="25">
      <c r="B31" s="47" t="s">
        <v>6</v>
      </c>
      <c r="C31" s="47"/>
      <c r="D31" s="109" t="s">
        <v>68</v>
      </c>
      <c r="E31" s="109"/>
      <c r="F31" s="48" t="s">
        <v>75</v>
      </c>
      <c r="G31" s="56" t="s">
        <v>47</v>
      </c>
    </row>
    <row r="32" spans="2:7">
      <c r="B32" s="45"/>
      <c r="C32" s="45"/>
      <c r="D32" s="45" t="s">
        <v>48</v>
      </c>
      <c r="E32" s="45" t="s">
        <v>49</v>
      </c>
      <c r="F32" s="45"/>
      <c r="G32" s="51"/>
    </row>
    <row r="33" spans="2:7">
      <c r="B33" s="60">
        <v>46008</v>
      </c>
      <c r="C33" s="45"/>
      <c r="D33" s="12">
        <v>280</v>
      </c>
      <c r="E33" s="12">
        <v>140</v>
      </c>
      <c r="F33" s="50"/>
      <c r="G33" s="30"/>
    </row>
    <row r="34" spans="2:7">
      <c r="B34" s="60">
        <v>46009</v>
      </c>
      <c r="C34" s="45"/>
      <c r="D34" s="12">
        <v>294</v>
      </c>
      <c r="E34" s="12">
        <v>252</v>
      </c>
      <c r="F34" s="50"/>
      <c r="G34" s="30"/>
    </row>
    <row r="35" spans="2:7" ht="25">
      <c r="B35" s="60">
        <v>46010</v>
      </c>
      <c r="C35" s="45"/>
      <c r="D35" s="12">
        <v>252</v>
      </c>
      <c r="E35" s="12">
        <v>168</v>
      </c>
      <c r="F35" s="50"/>
      <c r="G35" s="30" t="s">
        <v>144</v>
      </c>
    </row>
    <row r="36" spans="2:7" ht="25">
      <c r="B36" s="60">
        <v>46011</v>
      </c>
      <c r="C36" s="45"/>
      <c r="D36" s="12">
        <v>252</v>
      </c>
      <c r="E36" s="12">
        <v>0</v>
      </c>
      <c r="F36" s="50"/>
      <c r="G36" s="30" t="s">
        <v>144</v>
      </c>
    </row>
    <row r="37" spans="2:7" ht="25">
      <c r="B37" s="61" t="s">
        <v>147</v>
      </c>
      <c r="C37" s="45"/>
      <c r="D37" s="12">
        <v>0</v>
      </c>
      <c r="E37" s="12">
        <v>0</v>
      </c>
      <c r="F37" s="50"/>
      <c r="G37" s="30" t="s">
        <v>145</v>
      </c>
    </row>
    <row r="38" spans="2:7">
      <c r="B38" s="61">
        <v>46019</v>
      </c>
      <c r="C38" s="45"/>
      <c r="D38" s="12">
        <v>0</v>
      </c>
      <c r="E38" s="12">
        <v>84</v>
      </c>
      <c r="F38" s="50"/>
      <c r="G38" s="30" t="s">
        <v>128</v>
      </c>
    </row>
  </sheetData>
  <mergeCells count="4">
    <mergeCell ref="D2:E2"/>
    <mergeCell ref="H2:I2"/>
    <mergeCell ref="D17:E17"/>
    <mergeCell ref="D31:E3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5553302-3573-40de-8e04-0e1540a82063}" enabled="0" method="" siteId="{25553302-3573-40de-8e04-0e1540a82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Summary-1</vt:lpstr>
      <vt:lpstr>Nov 2025</vt:lpstr>
      <vt:lpstr>Dec 2025</vt:lpstr>
      <vt:lpstr>Jan 2026</vt:lpstr>
      <vt:lpstr>Feb 2026</vt:lpstr>
      <vt:lpstr>Mar 2026</vt:lpstr>
      <vt:lpstr>May 2026</vt:lpstr>
      <vt:lpstr>Down Time Summary</vt:lpstr>
      <vt:lpstr>Summary Jan 2026</vt:lpstr>
      <vt:lpstr>Summary_Dec 2025 (2)</vt:lpstr>
      <vt:lpstr>'May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 Vistar</dc:creator>
  <cp:lastModifiedBy>Manager Vistar</cp:lastModifiedBy>
  <cp:lastPrinted>2026-04-24T08:04:20Z</cp:lastPrinted>
  <dcterms:created xsi:type="dcterms:W3CDTF">2025-07-16T08:05:26Z</dcterms:created>
  <dcterms:modified xsi:type="dcterms:W3CDTF">2026-05-15T03:43:00Z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f4f5e-b788-4bdd-9371-71ab982a2897_Enabled">
    <vt:lpwstr>true</vt:lpwstr>
  </property>
  <property fmtid="{D5CDD505-2E9C-101B-9397-08002B2CF9AE}" pid="3" name="MSIP_Label_aacf4f5e-b788-4bdd-9371-71ab982a2897_SetDate">
    <vt:lpwstr>2025-07-16T08:06:05Z</vt:lpwstr>
  </property>
  <property fmtid="{D5CDD505-2E9C-101B-9397-08002B2CF9AE}" pid="4" name="MSIP_Label_aacf4f5e-b788-4bdd-9371-71ab982a2897_Method">
    <vt:lpwstr>Privileged</vt:lpwstr>
  </property>
  <property fmtid="{D5CDD505-2E9C-101B-9397-08002B2CF9AE}" pid="5" name="MSIP_Label_aacf4f5e-b788-4bdd-9371-71ab982a2897_Name">
    <vt:lpwstr>aacf4f5e-b788-4bdd-9371-71ab982a2897</vt:lpwstr>
  </property>
  <property fmtid="{D5CDD505-2E9C-101B-9397-08002B2CF9AE}" pid="6" name="MSIP_Label_aacf4f5e-b788-4bdd-9371-71ab982a2897_SiteId">
    <vt:lpwstr>a9e8893d-f1a4-4d8d-978f-862edfd3686a</vt:lpwstr>
  </property>
  <property fmtid="{D5CDD505-2E9C-101B-9397-08002B2CF9AE}" pid="7" name="MSIP_Label_aacf4f5e-b788-4bdd-9371-71ab982a2897_ActionId">
    <vt:lpwstr>c1a4a27a-5511-4a91-8e21-65a002c953ee</vt:lpwstr>
  </property>
  <property fmtid="{D5CDD505-2E9C-101B-9397-08002B2CF9AE}" pid="8" name="MSIP_Label_aacf4f5e-b788-4bdd-9371-71ab982a2897_ContentBits">
    <vt:lpwstr>2</vt:lpwstr>
  </property>
  <property fmtid="{D5CDD505-2E9C-101B-9397-08002B2CF9AE}" pid="9" name="MSIP_Label_aacf4f5e-b788-4bdd-9371-71ab982a2897_Tag">
    <vt:lpwstr>10, 0, 1, 1</vt:lpwstr>
  </property>
</Properties>
</file>