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AppData\Local\Microsoft\Windows\INetCache\Content.Outlook\4HA00PAP\"/>
    </mc:Choice>
  </mc:AlternateContent>
  <xr:revisionPtr revIDLastSave="0" documentId="8_{C2C3053B-1AD9-4093-BF78-C6929AB8B351}" xr6:coauthVersionLast="47" xr6:coauthVersionMax="47" xr10:uidLastSave="{00000000-0000-0000-0000-000000000000}"/>
  <bookViews>
    <workbookView xWindow="-110" yWindow="-110" windowWidth="19420" windowHeight="10300" firstSheet="14" activeTab="17" xr2:uid="{B42410CE-DC7A-425B-AD9B-DDA010A4E80E}"/>
  </bookViews>
  <sheets>
    <sheet name="2-Sep" sheetId="5" state="hidden" r:id="rId1"/>
    <sheet name="02092025" sheetId="4" state="hidden" r:id="rId2"/>
    <sheet name="03092025 (2)" sheetId="6" state="hidden" r:id="rId3"/>
    <sheet name="3-Sep (2)" sheetId="7" state="hidden" r:id="rId4"/>
    <sheet name="5-Sep (2)" sheetId="11" state="hidden" r:id="rId5"/>
    <sheet name="05092025 (2)" sheetId="10" state="hidden" r:id="rId6"/>
    <sheet name="4-Sep (2)" sheetId="9" state="hidden" r:id="rId7"/>
    <sheet name="04092025 (2)" sheetId="8" state="hidden" r:id="rId8"/>
    <sheet name="6-Sep (2)" sheetId="13" state="hidden" r:id="rId9"/>
    <sheet name="06092025 (2)" sheetId="12" state="hidden" r:id="rId10"/>
    <sheet name="08092025" sheetId="1" state="hidden" r:id="rId11"/>
    <sheet name="8-Sep" sheetId="2" state="hidden" r:id="rId12"/>
    <sheet name="18-Sep" sheetId="14" state="hidden" r:id="rId13"/>
    <sheet name="18092025" sheetId="15" state="hidden" r:id="rId14"/>
    <sheet name="19-Sep" sheetId="17" r:id="rId15"/>
    <sheet name="19092025" sheetId="16" r:id="rId16"/>
    <sheet name="20-Sep" sheetId="18" r:id="rId17"/>
    <sheet name="20092025" sheetId="19" r:id="rId18"/>
    <sheet name="Trolley Summary" sheetId="3" r:id="rId19"/>
  </sheets>
  <definedNames>
    <definedName name="_xlnm._FilterDatabase" localSheetId="17" hidden="1">'20092025'!$A$3:$AJ$41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1" i="19" l="1"/>
  <c r="AI41" i="19"/>
  <c r="AH41" i="19"/>
  <c r="AG41" i="19"/>
  <c r="AF41" i="19"/>
  <c r="AE41" i="19"/>
  <c r="AD41" i="19"/>
  <c r="K41" i="19"/>
  <c r="J41" i="19"/>
  <c r="H41" i="19"/>
  <c r="I41" i="19" s="1"/>
  <c r="AJ40" i="19"/>
  <c r="AI40" i="19"/>
  <c r="AH40" i="19"/>
  <c r="AG40" i="19"/>
  <c r="AF40" i="19"/>
  <c r="AE40" i="19"/>
  <c r="AD40" i="19"/>
  <c r="K40" i="19"/>
  <c r="J40" i="19"/>
  <c r="H40" i="19"/>
  <c r="I40" i="19" s="1"/>
  <c r="AJ39" i="19"/>
  <c r="AI39" i="19"/>
  <c r="AH39" i="19"/>
  <c r="AG39" i="19"/>
  <c r="AF39" i="19"/>
  <c r="AE39" i="19"/>
  <c r="AD39" i="19"/>
  <c r="K39" i="19"/>
  <c r="J39" i="19"/>
  <c r="H39" i="19"/>
  <c r="I39" i="19" s="1"/>
  <c r="AJ38" i="19"/>
  <c r="AI38" i="19"/>
  <c r="AH38" i="19"/>
  <c r="AG38" i="19"/>
  <c r="AF38" i="19"/>
  <c r="AE38" i="19"/>
  <c r="AD38" i="19"/>
  <c r="K38" i="19"/>
  <c r="J38" i="19"/>
  <c r="H38" i="19"/>
  <c r="I38" i="19" s="1"/>
  <c r="AJ37" i="19"/>
  <c r="AI37" i="19"/>
  <c r="AH37" i="19"/>
  <c r="AG37" i="19"/>
  <c r="AF37" i="19"/>
  <c r="AE37" i="19"/>
  <c r="AD37" i="19"/>
  <c r="K37" i="19"/>
  <c r="J37" i="19"/>
  <c r="H37" i="19"/>
  <c r="I37" i="19" s="1"/>
  <c r="AJ36" i="19"/>
  <c r="AI36" i="19"/>
  <c r="AH36" i="19"/>
  <c r="AG36" i="19"/>
  <c r="AF36" i="19"/>
  <c r="AE36" i="19"/>
  <c r="AD36" i="19"/>
  <c r="K36" i="19"/>
  <c r="J36" i="19"/>
  <c r="H36" i="19"/>
  <c r="I36" i="19" s="1"/>
  <c r="AJ34" i="19"/>
  <c r="AI34" i="19"/>
  <c r="AH34" i="19"/>
  <c r="AG34" i="19"/>
  <c r="AF34" i="19"/>
  <c r="AE34" i="19"/>
  <c r="AD34" i="19"/>
  <c r="K34" i="19"/>
  <c r="J34" i="19"/>
  <c r="H34" i="19"/>
  <c r="I34" i="19" s="1"/>
  <c r="AJ33" i="19"/>
  <c r="AI33" i="19"/>
  <c r="AH33" i="19"/>
  <c r="AG33" i="19"/>
  <c r="AF33" i="19"/>
  <c r="AE33" i="19"/>
  <c r="AD33" i="19"/>
  <c r="K33" i="19"/>
  <c r="J33" i="19"/>
  <c r="H33" i="19"/>
  <c r="I33" i="19" s="1"/>
  <c r="AJ32" i="19"/>
  <c r="AI32" i="19"/>
  <c r="AH32" i="19"/>
  <c r="AG32" i="19"/>
  <c r="AF32" i="19"/>
  <c r="AE32" i="19"/>
  <c r="AD32" i="19"/>
  <c r="K32" i="19"/>
  <c r="J32" i="19"/>
  <c r="H32" i="19"/>
  <c r="I32" i="19" s="1"/>
  <c r="AJ31" i="19"/>
  <c r="AI31" i="19"/>
  <c r="AH31" i="19"/>
  <c r="AG31" i="19"/>
  <c r="AF31" i="19"/>
  <c r="AE31" i="19"/>
  <c r="AD31" i="19"/>
  <c r="K31" i="19"/>
  <c r="J31" i="19"/>
  <c r="H31" i="19"/>
  <c r="I31" i="19" s="1"/>
  <c r="AJ30" i="19"/>
  <c r="AI30" i="19"/>
  <c r="AH30" i="19"/>
  <c r="AG30" i="19"/>
  <c r="AF30" i="19"/>
  <c r="AE30" i="19"/>
  <c r="AD30" i="19"/>
  <c r="K30" i="19"/>
  <c r="J30" i="19"/>
  <c r="H30" i="19"/>
  <c r="I30" i="19" s="1"/>
  <c r="AJ29" i="19"/>
  <c r="AI29" i="19"/>
  <c r="AH29" i="19"/>
  <c r="AG29" i="19"/>
  <c r="AF29" i="19"/>
  <c r="AE29" i="19"/>
  <c r="AD29" i="19"/>
  <c r="K29" i="19"/>
  <c r="J29" i="19"/>
  <c r="H29" i="19"/>
  <c r="I29" i="19" s="1"/>
  <c r="AJ28" i="19"/>
  <c r="AI28" i="19"/>
  <c r="AH28" i="19"/>
  <c r="AG28" i="19"/>
  <c r="AF28" i="19"/>
  <c r="AE28" i="19"/>
  <c r="AD28" i="19"/>
  <c r="K28" i="19"/>
  <c r="J28" i="19"/>
  <c r="H28" i="19"/>
  <c r="I28" i="19" s="1"/>
  <c r="AJ27" i="19"/>
  <c r="AI27" i="19"/>
  <c r="AH27" i="19"/>
  <c r="AG27" i="19"/>
  <c r="AF27" i="19"/>
  <c r="AE27" i="19"/>
  <c r="AD27" i="19"/>
  <c r="K27" i="19"/>
  <c r="J27" i="19"/>
  <c r="H27" i="19"/>
  <c r="I27" i="19" s="1"/>
  <c r="AJ26" i="19"/>
  <c r="AI26" i="19"/>
  <c r="AH26" i="19"/>
  <c r="AG26" i="19"/>
  <c r="AF26" i="19"/>
  <c r="AE26" i="19"/>
  <c r="AD26" i="19"/>
  <c r="K26" i="19"/>
  <c r="J26" i="19"/>
  <c r="H26" i="19"/>
  <c r="I26" i="19" s="1"/>
  <c r="AJ25" i="19"/>
  <c r="AI25" i="19"/>
  <c r="AH25" i="19"/>
  <c r="AG25" i="19"/>
  <c r="AF25" i="19"/>
  <c r="AE25" i="19"/>
  <c r="AD25" i="19"/>
  <c r="K25" i="19"/>
  <c r="J25" i="19"/>
  <c r="H25" i="19"/>
  <c r="I25" i="19" s="1"/>
  <c r="AJ24" i="19"/>
  <c r="AI24" i="19"/>
  <c r="AH24" i="19"/>
  <c r="AG24" i="19"/>
  <c r="AF24" i="19"/>
  <c r="AE24" i="19"/>
  <c r="AD24" i="19"/>
  <c r="K24" i="19"/>
  <c r="J24" i="19"/>
  <c r="H24" i="19"/>
  <c r="I24" i="19" s="1"/>
  <c r="AJ23" i="19"/>
  <c r="AI23" i="19"/>
  <c r="AH23" i="19"/>
  <c r="AG23" i="19"/>
  <c r="AF23" i="19"/>
  <c r="AE23" i="19"/>
  <c r="AD23" i="19"/>
  <c r="K23" i="19"/>
  <c r="J23" i="19"/>
  <c r="H23" i="19"/>
  <c r="I23" i="19" s="1"/>
  <c r="AJ22" i="19"/>
  <c r="AI22" i="19"/>
  <c r="AH22" i="19"/>
  <c r="AG22" i="19"/>
  <c r="AF22" i="19"/>
  <c r="AE22" i="19"/>
  <c r="AD22" i="19"/>
  <c r="K22" i="19"/>
  <c r="J22" i="19"/>
  <c r="H22" i="19"/>
  <c r="I22" i="19" s="1"/>
  <c r="AJ21" i="19"/>
  <c r="AI21" i="19"/>
  <c r="AH21" i="19"/>
  <c r="AG21" i="19"/>
  <c r="AF21" i="19"/>
  <c r="AE21" i="19"/>
  <c r="AD21" i="19"/>
  <c r="K21" i="19"/>
  <c r="J21" i="19"/>
  <c r="H21" i="19"/>
  <c r="I21" i="19" s="1"/>
  <c r="AJ20" i="19"/>
  <c r="AI20" i="19"/>
  <c r="AH20" i="19"/>
  <c r="AG20" i="19"/>
  <c r="AF20" i="19"/>
  <c r="AE20" i="19"/>
  <c r="AD20" i="19"/>
  <c r="K20" i="19"/>
  <c r="J20" i="19"/>
  <c r="H20" i="19"/>
  <c r="I20" i="19" s="1"/>
  <c r="AJ19" i="19"/>
  <c r="AI19" i="19"/>
  <c r="AH19" i="19"/>
  <c r="AG19" i="19"/>
  <c r="AF19" i="19"/>
  <c r="AE19" i="19"/>
  <c r="AD19" i="19"/>
  <c r="K19" i="19"/>
  <c r="J19" i="19"/>
  <c r="H19" i="19"/>
  <c r="I19" i="19" s="1"/>
  <c r="AJ18" i="19"/>
  <c r="AI18" i="19"/>
  <c r="AH18" i="19"/>
  <c r="AG18" i="19"/>
  <c r="AF18" i="19"/>
  <c r="AE18" i="19"/>
  <c r="AD18" i="19"/>
  <c r="K18" i="19"/>
  <c r="J18" i="19"/>
  <c r="H18" i="19"/>
  <c r="I18" i="19" s="1"/>
  <c r="AJ17" i="19"/>
  <c r="AI17" i="19"/>
  <c r="AH17" i="19"/>
  <c r="AG17" i="19"/>
  <c r="AF17" i="19"/>
  <c r="AE17" i="19"/>
  <c r="AD17" i="19"/>
  <c r="K17" i="19"/>
  <c r="J17" i="19"/>
  <c r="H17" i="19"/>
  <c r="I17" i="19" s="1"/>
  <c r="AJ16" i="19"/>
  <c r="AI16" i="19"/>
  <c r="AH16" i="19"/>
  <c r="AG16" i="19"/>
  <c r="AF16" i="19"/>
  <c r="AE16" i="19"/>
  <c r="AD16" i="19"/>
  <c r="K16" i="19"/>
  <c r="J16" i="19"/>
  <c r="H16" i="19"/>
  <c r="I16" i="19" s="1"/>
  <c r="AJ15" i="19"/>
  <c r="AI15" i="19"/>
  <c r="AH15" i="19"/>
  <c r="AG15" i="19"/>
  <c r="AF15" i="19"/>
  <c r="AE15" i="19"/>
  <c r="AD15" i="19"/>
  <c r="K15" i="19"/>
  <c r="J15" i="19"/>
  <c r="H15" i="19"/>
  <c r="I15" i="19" s="1"/>
  <c r="AJ14" i="19"/>
  <c r="AI14" i="19"/>
  <c r="AH14" i="19"/>
  <c r="AG14" i="19"/>
  <c r="AF14" i="19"/>
  <c r="AE14" i="19"/>
  <c r="AD14" i="19"/>
  <c r="K14" i="19"/>
  <c r="J14" i="19"/>
  <c r="H14" i="19"/>
  <c r="I14" i="19" s="1"/>
  <c r="AJ13" i="19"/>
  <c r="AI13" i="19"/>
  <c r="AH13" i="19"/>
  <c r="AG13" i="19"/>
  <c r="AF13" i="19"/>
  <c r="AE13" i="19"/>
  <c r="AD13" i="19"/>
  <c r="K13" i="19"/>
  <c r="J13" i="19"/>
  <c r="H13" i="19"/>
  <c r="I13" i="19" s="1"/>
  <c r="AJ12" i="19"/>
  <c r="AI12" i="19"/>
  <c r="AH12" i="19"/>
  <c r="AG12" i="19"/>
  <c r="AF12" i="19"/>
  <c r="AE12" i="19"/>
  <c r="AD12" i="19"/>
  <c r="K12" i="19"/>
  <c r="J12" i="19"/>
  <c r="H12" i="19"/>
  <c r="I12" i="19" s="1"/>
  <c r="AJ11" i="19"/>
  <c r="AI11" i="19"/>
  <c r="AH11" i="19"/>
  <c r="AG11" i="19"/>
  <c r="AF11" i="19"/>
  <c r="AE11" i="19"/>
  <c r="AD11" i="19"/>
  <c r="K11" i="19"/>
  <c r="J11" i="19"/>
  <c r="H11" i="19"/>
  <c r="I11" i="19" s="1"/>
  <c r="AJ10" i="19"/>
  <c r="AI10" i="19"/>
  <c r="AH10" i="19"/>
  <c r="AG10" i="19"/>
  <c r="AF10" i="19"/>
  <c r="AE10" i="19"/>
  <c r="AD10" i="19"/>
  <c r="K10" i="19"/>
  <c r="J10" i="19"/>
  <c r="H10" i="19"/>
  <c r="I10" i="19" s="1"/>
  <c r="AJ9" i="19"/>
  <c r="AI9" i="19"/>
  <c r="AH9" i="19"/>
  <c r="AG9" i="19"/>
  <c r="AF9" i="19"/>
  <c r="AE9" i="19"/>
  <c r="AD9" i="19"/>
  <c r="K9" i="19"/>
  <c r="J9" i="19"/>
  <c r="H9" i="19"/>
  <c r="I9" i="19" s="1"/>
  <c r="AJ8" i="19"/>
  <c r="AI8" i="19"/>
  <c r="AH8" i="19"/>
  <c r="AG8" i="19"/>
  <c r="AF8" i="19"/>
  <c r="AE8" i="19"/>
  <c r="AD8" i="19"/>
  <c r="K8" i="19"/>
  <c r="J8" i="19"/>
  <c r="H8" i="19"/>
  <c r="I8" i="19" s="1"/>
  <c r="AJ7" i="19"/>
  <c r="AI7" i="19"/>
  <c r="AH7" i="19"/>
  <c r="AG7" i="19"/>
  <c r="AF7" i="19"/>
  <c r="AE7" i="19"/>
  <c r="AD7" i="19"/>
  <c r="K7" i="19"/>
  <c r="J7" i="19"/>
  <c r="H7" i="19"/>
  <c r="I7" i="19" s="1"/>
  <c r="AJ3" i="19"/>
  <c r="AI3" i="19"/>
  <c r="AH3" i="19"/>
  <c r="AG3" i="19"/>
  <c r="AF3" i="19"/>
  <c r="AE3" i="19"/>
  <c r="AC3" i="19"/>
  <c r="S3" i="19"/>
  <c r="F30" i="18"/>
  <c r="U29" i="18"/>
  <c r="T29" i="18"/>
  <c r="G29" i="18" s="1"/>
  <c r="W29" i="18"/>
  <c r="F29" i="18"/>
  <c r="U28" i="18"/>
  <c r="T28" i="18"/>
  <c r="W28" i="18"/>
  <c r="F28" i="18"/>
  <c r="U27" i="18"/>
  <c r="T27" i="18"/>
  <c r="G27" i="18" s="1"/>
  <c r="W27" i="18"/>
  <c r="F27" i="18"/>
  <c r="U26" i="18"/>
  <c r="T26" i="18"/>
  <c r="W26" i="18"/>
  <c r="F26" i="18"/>
  <c r="U25" i="18"/>
  <c r="T25" i="18"/>
  <c r="W25" i="18"/>
  <c r="F25" i="18"/>
  <c r="G21" i="18"/>
  <c r="F21" i="18"/>
  <c r="G20" i="18"/>
  <c r="F20" i="18"/>
  <c r="G19" i="18"/>
  <c r="F19" i="18"/>
  <c r="G18" i="18"/>
  <c r="F18" i="18"/>
  <c r="G17" i="18"/>
  <c r="F17" i="18"/>
  <c r="F16" i="18"/>
  <c r="G16" i="18"/>
  <c r="G15" i="18"/>
  <c r="F15" i="18"/>
  <c r="G14" i="18"/>
  <c r="F14" i="18"/>
  <c r="G13" i="18"/>
  <c r="F13" i="18"/>
  <c r="G12" i="18"/>
  <c r="F12" i="18"/>
  <c r="G11" i="18"/>
  <c r="F11" i="18"/>
  <c r="G10" i="18"/>
  <c r="F10" i="18"/>
  <c r="G9" i="18"/>
  <c r="F9" i="18"/>
  <c r="G8" i="18"/>
  <c r="F8" i="18"/>
  <c r="G7" i="18"/>
  <c r="F7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26" i="18" l="1"/>
  <c r="G28" i="18"/>
  <c r="F30" i="17" l="1"/>
  <c r="U29" i="17"/>
  <c r="T29" i="17"/>
  <c r="S29" i="17"/>
  <c r="W29" i="17"/>
  <c r="F29" i="17"/>
  <c r="G29" i="17"/>
  <c r="U28" i="17"/>
  <c r="T28" i="17"/>
  <c r="S28" i="17"/>
  <c r="W28" i="17"/>
  <c r="G28" i="17"/>
  <c r="F28" i="17"/>
  <c r="U27" i="17"/>
  <c r="T27" i="17"/>
  <c r="S27" i="17"/>
  <c r="W27" i="17"/>
  <c r="G27" i="17"/>
  <c r="F27" i="17"/>
  <c r="W26" i="17"/>
  <c r="U26" i="17"/>
  <c r="T26" i="17"/>
  <c r="S26" i="17"/>
  <c r="G26" i="17"/>
  <c r="F26" i="17"/>
  <c r="U25" i="17"/>
  <c r="W25" i="17" s="1"/>
  <c r="T25" i="17"/>
  <c r="S25" i="17"/>
  <c r="N25" i="17"/>
  <c r="F25" i="17"/>
  <c r="U21" i="17"/>
  <c r="T21" i="17"/>
  <c r="S21" i="17"/>
  <c r="G21" i="17" s="1"/>
  <c r="N21" i="17"/>
  <c r="F21" i="17"/>
  <c r="U20" i="17"/>
  <c r="T20" i="17"/>
  <c r="S20" i="17"/>
  <c r="G20" i="17"/>
  <c r="N20" i="17"/>
  <c r="F20" i="17"/>
  <c r="U19" i="17"/>
  <c r="T19" i="17"/>
  <c r="S19" i="17"/>
  <c r="G19" i="17"/>
  <c r="N19" i="17"/>
  <c r="F19" i="17"/>
  <c r="U18" i="17"/>
  <c r="T18" i="17"/>
  <c r="S18" i="17"/>
  <c r="N18" i="17"/>
  <c r="F18" i="17" s="1"/>
  <c r="G18" i="17"/>
  <c r="U17" i="17"/>
  <c r="T17" i="17"/>
  <c r="S17" i="17"/>
  <c r="N17" i="17"/>
  <c r="G17" i="17"/>
  <c r="F17" i="17"/>
  <c r="U16" i="17"/>
  <c r="G16" i="17" s="1"/>
  <c r="T16" i="17"/>
  <c r="S16" i="17"/>
  <c r="N16" i="17"/>
  <c r="F16" i="17"/>
  <c r="U15" i="17"/>
  <c r="T15" i="17"/>
  <c r="S15" i="17"/>
  <c r="G15" i="17" s="1"/>
  <c r="N15" i="17"/>
  <c r="F15" i="17"/>
  <c r="U14" i="17"/>
  <c r="T14" i="17"/>
  <c r="S14" i="17"/>
  <c r="G14" i="17"/>
  <c r="N14" i="17"/>
  <c r="F14" i="17"/>
  <c r="U13" i="17"/>
  <c r="T13" i="17"/>
  <c r="S13" i="17"/>
  <c r="G13" i="17"/>
  <c r="N13" i="17"/>
  <c r="F13" i="17"/>
  <c r="U12" i="17"/>
  <c r="T12" i="17"/>
  <c r="S12" i="17"/>
  <c r="N12" i="17"/>
  <c r="F12" i="17" s="1"/>
  <c r="G12" i="17"/>
  <c r="U11" i="17"/>
  <c r="T11" i="17"/>
  <c r="S11" i="17"/>
  <c r="N11" i="17"/>
  <c r="G11" i="17"/>
  <c r="F11" i="17"/>
  <c r="U10" i="17"/>
  <c r="G10" i="17" s="1"/>
  <c r="T10" i="17"/>
  <c r="S10" i="17"/>
  <c r="N10" i="17"/>
  <c r="F10" i="17"/>
  <c r="U9" i="17"/>
  <c r="T9" i="17"/>
  <c r="S9" i="17"/>
  <c r="G9" i="17" s="1"/>
  <c r="N9" i="17"/>
  <c r="F9" i="17"/>
  <c r="U8" i="17"/>
  <c r="T8" i="17"/>
  <c r="S8" i="17"/>
  <c r="G8" i="17"/>
  <c r="N8" i="17"/>
  <c r="F8" i="17"/>
  <c r="U7" i="17"/>
  <c r="T7" i="17"/>
  <c r="S7" i="17"/>
  <c r="G7" i="17"/>
  <c r="N7" i="17"/>
  <c r="F7" i="17"/>
  <c r="U6" i="17"/>
  <c r="T6" i="17"/>
  <c r="S6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AJ41" i="16"/>
  <c r="AI41" i="16"/>
  <c r="AH41" i="16"/>
  <c r="AG41" i="16"/>
  <c r="AF41" i="16"/>
  <c r="AE41" i="16"/>
  <c r="AD41" i="16"/>
  <c r="K41" i="16"/>
  <c r="J41" i="16"/>
  <c r="H41" i="16"/>
  <c r="I41" i="16" s="1"/>
  <c r="AJ40" i="16"/>
  <c r="AI40" i="16"/>
  <c r="AH40" i="16"/>
  <c r="AG40" i="16"/>
  <c r="AF40" i="16"/>
  <c r="AE40" i="16"/>
  <c r="AD40" i="16"/>
  <c r="K40" i="16"/>
  <c r="J40" i="16"/>
  <c r="H40" i="16"/>
  <c r="I40" i="16" s="1"/>
  <c r="AJ39" i="16"/>
  <c r="AI39" i="16"/>
  <c r="AH39" i="16"/>
  <c r="AG39" i="16"/>
  <c r="AF39" i="16"/>
  <c r="AE39" i="16"/>
  <c r="AD39" i="16"/>
  <c r="K39" i="16"/>
  <c r="J39" i="16"/>
  <c r="H39" i="16"/>
  <c r="I39" i="16" s="1"/>
  <c r="AJ38" i="16"/>
  <c r="AI38" i="16"/>
  <c r="AH38" i="16"/>
  <c r="AG38" i="16"/>
  <c r="AF38" i="16"/>
  <c r="AE38" i="16"/>
  <c r="AD38" i="16"/>
  <c r="K38" i="16"/>
  <c r="J38" i="16"/>
  <c r="H38" i="16"/>
  <c r="I38" i="16" s="1"/>
  <c r="AJ37" i="16"/>
  <c r="AI37" i="16"/>
  <c r="AH37" i="16"/>
  <c r="AG37" i="16"/>
  <c r="AF37" i="16"/>
  <c r="AE37" i="16"/>
  <c r="AD37" i="16"/>
  <c r="K37" i="16"/>
  <c r="J37" i="16"/>
  <c r="H37" i="16"/>
  <c r="I37" i="16" s="1"/>
  <c r="AJ36" i="16"/>
  <c r="AI36" i="16"/>
  <c r="AH36" i="16"/>
  <c r="AG36" i="16"/>
  <c r="AF36" i="16"/>
  <c r="AE36" i="16"/>
  <c r="AD36" i="16"/>
  <c r="K36" i="16"/>
  <c r="J36" i="16"/>
  <c r="H36" i="16"/>
  <c r="I36" i="16" s="1"/>
  <c r="AJ34" i="16"/>
  <c r="AI34" i="16"/>
  <c r="AH34" i="16"/>
  <c r="AG34" i="16"/>
  <c r="AF34" i="16"/>
  <c r="AE34" i="16"/>
  <c r="AD34" i="16"/>
  <c r="K34" i="16"/>
  <c r="J34" i="16"/>
  <c r="H34" i="16"/>
  <c r="I34" i="16" s="1"/>
  <c r="AJ33" i="16"/>
  <c r="AI33" i="16"/>
  <c r="AH33" i="16"/>
  <c r="AG33" i="16"/>
  <c r="AF33" i="16"/>
  <c r="AE33" i="16"/>
  <c r="AD33" i="16"/>
  <c r="K33" i="16"/>
  <c r="J33" i="16"/>
  <c r="H33" i="16"/>
  <c r="I33" i="16" s="1"/>
  <c r="AJ32" i="16"/>
  <c r="AI32" i="16"/>
  <c r="AH32" i="16"/>
  <c r="AG32" i="16"/>
  <c r="AF32" i="16"/>
  <c r="AE32" i="16"/>
  <c r="AD32" i="16"/>
  <c r="K32" i="16"/>
  <c r="J32" i="16"/>
  <c r="H32" i="16"/>
  <c r="I32" i="16" s="1"/>
  <c r="AJ31" i="16"/>
  <c r="AI31" i="16"/>
  <c r="AH31" i="16"/>
  <c r="AG31" i="16"/>
  <c r="AF31" i="16"/>
  <c r="AE31" i="16"/>
  <c r="AD31" i="16"/>
  <c r="K31" i="16"/>
  <c r="J31" i="16"/>
  <c r="I31" i="16"/>
  <c r="H31" i="16"/>
  <c r="AJ30" i="16"/>
  <c r="AI30" i="16"/>
  <c r="AH30" i="16"/>
  <c r="AG30" i="16"/>
  <c r="AF30" i="16"/>
  <c r="AE30" i="16"/>
  <c r="AD30" i="16"/>
  <c r="K30" i="16"/>
  <c r="J30" i="16"/>
  <c r="I30" i="16"/>
  <c r="H30" i="16"/>
  <c r="AJ29" i="16"/>
  <c r="AI29" i="16"/>
  <c r="AH29" i="16"/>
  <c r="AG29" i="16"/>
  <c r="AF29" i="16"/>
  <c r="AE29" i="16"/>
  <c r="AD29" i="16"/>
  <c r="K29" i="16"/>
  <c r="J29" i="16"/>
  <c r="H29" i="16"/>
  <c r="I29" i="16" s="1"/>
  <c r="AJ28" i="16"/>
  <c r="AI28" i="16"/>
  <c r="AH28" i="16"/>
  <c r="AG28" i="16"/>
  <c r="AF28" i="16"/>
  <c r="AE28" i="16"/>
  <c r="AD28" i="16"/>
  <c r="K28" i="16"/>
  <c r="J28" i="16"/>
  <c r="H28" i="16"/>
  <c r="I28" i="16" s="1"/>
  <c r="AJ27" i="16"/>
  <c r="AI27" i="16"/>
  <c r="AH27" i="16"/>
  <c r="AG27" i="16"/>
  <c r="AF27" i="16"/>
  <c r="AE27" i="16"/>
  <c r="AD27" i="16"/>
  <c r="K27" i="16"/>
  <c r="J27" i="16"/>
  <c r="H27" i="16"/>
  <c r="I27" i="16" s="1"/>
  <c r="AJ26" i="16"/>
  <c r="AI26" i="16"/>
  <c r="AH26" i="16"/>
  <c r="AG26" i="16"/>
  <c r="AF26" i="16"/>
  <c r="AE26" i="16"/>
  <c r="AD26" i="16"/>
  <c r="K26" i="16"/>
  <c r="J26" i="16"/>
  <c r="H26" i="16"/>
  <c r="I26" i="16" s="1"/>
  <c r="AJ25" i="16"/>
  <c r="AI25" i="16"/>
  <c r="AH25" i="16"/>
  <c r="AG25" i="16"/>
  <c r="AF25" i="16"/>
  <c r="AE25" i="16"/>
  <c r="AD25" i="16"/>
  <c r="K25" i="16"/>
  <c r="J25" i="16"/>
  <c r="H25" i="16"/>
  <c r="I25" i="16" s="1"/>
  <c r="AJ24" i="16"/>
  <c r="AI24" i="16"/>
  <c r="AH24" i="16"/>
  <c r="AG24" i="16"/>
  <c r="AF24" i="16"/>
  <c r="AE24" i="16"/>
  <c r="AD24" i="16"/>
  <c r="K24" i="16"/>
  <c r="J24" i="16"/>
  <c r="H24" i="16"/>
  <c r="I24" i="16" s="1"/>
  <c r="AJ23" i="16"/>
  <c r="AI23" i="16"/>
  <c r="AH23" i="16"/>
  <c r="AG23" i="16"/>
  <c r="AF23" i="16"/>
  <c r="AE23" i="16"/>
  <c r="AD23" i="16"/>
  <c r="K23" i="16"/>
  <c r="J23" i="16"/>
  <c r="H23" i="16"/>
  <c r="I23" i="16" s="1"/>
  <c r="AJ22" i="16"/>
  <c r="AI22" i="16"/>
  <c r="AH22" i="16"/>
  <c r="AG22" i="16"/>
  <c r="AF22" i="16"/>
  <c r="AE22" i="16"/>
  <c r="AD22" i="16"/>
  <c r="K22" i="16"/>
  <c r="J22" i="16"/>
  <c r="H22" i="16"/>
  <c r="I22" i="16" s="1"/>
  <c r="AJ21" i="16"/>
  <c r="AI21" i="16"/>
  <c r="AH21" i="16"/>
  <c r="AG21" i="16"/>
  <c r="AF21" i="16"/>
  <c r="AE21" i="16"/>
  <c r="AD21" i="16"/>
  <c r="K21" i="16"/>
  <c r="J21" i="16"/>
  <c r="H21" i="16"/>
  <c r="I21" i="16" s="1"/>
  <c r="AJ20" i="16"/>
  <c r="AI20" i="16"/>
  <c r="AH20" i="16"/>
  <c r="AG20" i="16"/>
  <c r="AF20" i="16"/>
  <c r="AE20" i="16"/>
  <c r="AD20" i="16"/>
  <c r="K20" i="16"/>
  <c r="J20" i="16"/>
  <c r="H20" i="16"/>
  <c r="I20" i="16" s="1"/>
  <c r="AJ19" i="16"/>
  <c r="AI19" i="16"/>
  <c r="AH19" i="16"/>
  <c r="AG19" i="16"/>
  <c r="AF19" i="16"/>
  <c r="AE19" i="16"/>
  <c r="AD19" i="16"/>
  <c r="K19" i="16"/>
  <c r="J19" i="16"/>
  <c r="H19" i="16"/>
  <c r="I19" i="16" s="1"/>
  <c r="AJ18" i="16"/>
  <c r="AI18" i="16"/>
  <c r="AH18" i="16"/>
  <c r="AG18" i="16"/>
  <c r="AF18" i="16"/>
  <c r="AE18" i="16"/>
  <c r="AD18" i="16"/>
  <c r="K18" i="16"/>
  <c r="J18" i="16"/>
  <c r="H18" i="16"/>
  <c r="I18" i="16" s="1"/>
  <c r="AJ17" i="16"/>
  <c r="AI17" i="16"/>
  <c r="AH17" i="16"/>
  <c r="AG17" i="16"/>
  <c r="AF17" i="16"/>
  <c r="AE17" i="16"/>
  <c r="AD17" i="16"/>
  <c r="K17" i="16"/>
  <c r="J17" i="16"/>
  <c r="H17" i="16"/>
  <c r="I17" i="16" s="1"/>
  <c r="AJ16" i="16"/>
  <c r="AI16" i="16"/>
  <c r="AH16" i="16"/>
  <c r="AG16" i="16"/>
  <c r="AF16" i="16"/>
  <c r="AE16" i="16"/>
  <c r="AD16" i="16"/>
  <c r="K16" i="16"/>
  <c r="J16" i="16"/>
  <c r="H16" i="16"/>
  <c r="I16" i="16" s="1"/>
  <c r="AJ15" i="16"/>
  <c r="AI15" i="16"/>
  <c r="AH15" i="16"/>
  <c r="AG15" i="16"/>
  <c r="AF15" i="16"/>
  <c r="AE15" i="16"/>
  <c r="AD15" i="16"/>
  <c r="K15" i="16"/>
  <c r="J15" i="16"/>
  <c r="H15" i="16"/>
  <c r="I15" i="16" s="1"/>
  <c r="AJ14" i="16"/>
  <c r="AI14" i="16"/>
  <c r="AH14" i="16"/>
  <c r="AG14" i="16"/>
  <c r="AF14" i="16"/>
  <c r="AE14" i="16"/>
  <c r="AD14" i="16"/>
  <c r="K14" i="16"/>
  <c r="J14" i="16"/>
  <c r="H14" i="16"/>
  <c r="I14" i="16" s="1"/>
  <c r="AJ13" i="16"/>
  <c r="AI13" i="16"/>
  <c r="AH13" i="16"/>
  <c r="AG13" i="16"/>
  <c r="AF13" i="16"/>
  <c r="AE13" i="16"/>
  <c r="AD13" i="16"/>
  <c r="K13" i="16"/>
  <c r="J13" i="16"/>
  <c r="H13" i="16"/>
  <c r="I13" i="16" s="1"/>
  <c r="AJ12" i="16"/>
  <c r="AI12" i="16"/>
  <c r="AH12" i="16"/>
  <c r="AG12" i="16"/>
  <c r="AF12" i="16"/>
  <c r="AE12" i="16"/>
  <c r="AD12" i="16"/>
  <c r="K12" i="16"/>
  <c r="J12" i="16"/>
  <c r="H12" i="16"/>
  <c r="I12" i="16" s="1"/>
  <c r="AJ11" i="16"/>
  <c r="AI11" i="16"/>
  <c r="AH11" i="16"/>
  <c r="AG11" i="16"/>
  <c r="AF11" i="16"/>
  <c r="AE11" i="16"/>
  <c r="AD11" i="16"/>
  <c r="K11" i="16"/>
  <c r="J11" i="16"/>
  <c r="H11" i="16"/>
  <c r="I11" i="16" s="1"/>
  <c r="AJ10" i="16"/>
  <c r="AI10" i="16"/>
  <c r="AH10" i="16"/>
  <c r="AG10" i="16"/>
  <c r="AF10" i="16"/>
  <c r="AE10" i="16"/>
  <c r="AD10" i="16"/>
  <c r="K10" i="16"/>
  <c r="J10" i="16"/>
  <c r="H10" i="16"/>
  <c r="I10" i="16" s="1"/>
  <c r="AJ9" i="16"/>
  <c r="AI9" i="16"/>
  <c r="AH9" i="16"/>
  <c r="AG9" i="16"/>
  <c r="AF9" i="16"/>
  <c r="AE9" i="16"/>
  <c r="AD9" i="16"/>
  <c r="K9" i="16"/>
  <c r="J9" i="16"/>
  <c r="H9" i="16"/>
  <c r="I9" i="16" s="1"/>
  <c r="AJ8" i="16"/>
  <c r="AI8" i="16"/>
  <c r="AH8" i="16"/>
  <c r="AG8" i="16"/>
  <c r="AF8" i="16"/>
  <c r="AE8" i="16"/>
  <c r="AD8" i="16"/>
  <c r="K8" i="16"/>
  <c r="J8" i="16"/>
  <c r="H8" i="16"/>
  <c r="I8" i="16" s="1"/>
  <c r="AJ7" i="16"/>
  <c r="AI7" i="16"/>
  <c r="AH7" i="16"/>
  <c r="AG7" i="16"/>
  <c r="AF7" i="16"/>
  <c r="AE7" i="16"/>
  <c r="AD7" i="16"/>
  <c r="K7" i="16"/>
  <c r="J7" i="16"/>
  <c r="H7" i="16"/>
  <c r="I7" i="16" s="1"/>
  <c r="AJ3" i="16"/>
  <c r="AI3" i="16"/>
  <c r="AH3" i="16"/>
  <c r="AG3" i="16"/>
  <c r="AF3" i="16"/>
  <c r="AE3" i="16"/>
  <c r="AC3" i="16"/>
  <c r="S3" i="16"/>
  <c r="F26" i="14"/>
  <c r="F25" i="14"/>
  <c r="H41" i="15"/>
  <c r="I41" i="15"/>
  <c r="J41" i="15"/>
  <c r="K41" i="15"/>
  <c r="AD41" i="15"/>
  <c r="AE41" i="15"/>
  <c r="AF41" i="15"/>
  <c r="AG41" i="15"/>
  <c r="AH41" i="15"/>
  <c r="AI41" i="15"/>
  <c r="AJ41" i="15"/>
  <c r="U29" i="14"/>
  <c r="T29" i="14"/>
  <c r="S29" i="14"/>
  <c r="R29" i="14"/>
  <c r="Q29" i="14"/>
  <c r="P29" i="14"/>
  <c r="O29" i="14"/>
  <c r="W29" i="14" s="1"/>
  <c r="M29" i="14"/>
  <c r="G29" i="14"/>
  <c r="F29" i="14"/>
  <c r="C1" i="14"/>
  <c r="AJ40" i="15"/>
  <c r="AI40" i="15"/>
  <c r="AH40" i="15"/>
  <c r="AG40" i="15"/>
  <c r="AF40" i="15"/>
  <c r="AE40" i="15"/>
  <c r="AD40" i="15"/>
  <c r="K40" i="15"/>
  <c r="J40" i="15"/>
  <c r="H40" i="15"/>
  <c r="I40" i="15" s="1"/>
  <c r="AJ39" i="15"/>
  <c r="AI39" i="15"/>
  <c r="AH39" i="15"/>
  <c r="AG39" i="15"/>
  <c r="AF39" i="15"/>
  <c r="AE39" i="15"/>
  <c r="AD39" i="15"/>
  <c r="K39" i="15"/>
  <c r="J39" i="15"/>
  <c r="I39" i="15"/>
  <c r="H39" i="15"/>
  <c r="AJ38" i="15"/>
  <c r="AI38" i="15"/>
  <c r="AH38" i="15"/>
  <c r="AG38" i="15"/>
  <c r="AF38" i="15"/>
  <c r="AE38" i="15"/>
  <c r="AD38" i="15"/>
  <c r="K38" i="15"/>
  <c r="J38" i="15"/>
  <c r="H38" i="15"/>
  <c r="I38" i="15" s="1"/>
  <c r="AJ37" i="15"/>
  <c r="AI37" i="15"/>
  <c r="AH37" i="15"/>
  <c r="AG37" i="15"/>
  <c r="AF37" i="15"/>
  <c r="AE37" i="15"/>
  <c r="AD37" i="15"/>
  <c r="K37" i="15"/>
  <c r="J37" i="15"/>
  <c r="H37" i="15"/>
  <c r="I37" i="15" s="1"/>
  <c r="AJ36" i="15"/>
  <c r="AI36" i="15"/>
  <c r="AH36" i="15"/>
  <c r="AG36" i="15"/>
  <c r="AF36" i="15"/>
  <c r="AE36" i="15"/>
  <c r="AD36" i="15"/>
  <c r="K36" i="15"/>
  <c r="J36" i="15"/>
  <c r="H36" i="15"/>
  <c r="I36" i="15" s="1"/>
  <c r="AJ34" i="15"/>
  <c r="AI34" i="15"/>
  <c r="AH34" i="15"/>
  <c r="AG34" i="15"/>
  <c r="AF34" i="15"/>
  <c r="AE34" i="15"/>
  <c r="AD34" i="15"/>
  <c r="K34" i="15"/>
  <c r="J34" i="15"/>
  <c r="H34" i="15"/>
  <c r="I34" i="15" s="1"/>
  <c r="AJ33" i="15"/>
  <c r="AI33" i="15"/>
  <c r="AH33" i="15"/>
  <c r="AG33" i="15"/>
  <c r="AF33" i="15"/>
  <c r="AE33" i="15"/>
  <c r="AD33" i="15"/>
  <c r="K33" i="15"/>
  <c r="J33" i="15"/>
  <c r="H33" i="15"/>
  <c r="I33" i="15" s="1"/>
  <c r="AJ32" i="15"/>
  <c r="AI32" i="15"/>
  <c r="AH32" i="15"/>
  <c r="AG32" i="15"/>
  <c r="AF32" i="15"/>
  <c r="AE32" i="15"/>
  <c r="AD32" i="15"/>
  <c r="K32" i="15"/>
  <c r="J32" i="15"/>
  <c r="H32" i="15"/>
  <c r="I32" i="15" s="1"/>
  <c r="AJ31" i="15"/>
  <c r="AI31" i="15"/>
  <c r="AH31" i="15"/>
  <c r="AG31" i="15"/>
  <c r="AF31" i="15"/>
  <c r="AE31" i="15"/>
  <c r="AD31" i="15"/>
  <c r="K31" i="15"/>
  <c r="J31" i="15"/>
  <c r="H31" i="15"/>
  <c r="I31" i="15" s="1"/>
  <c r="AJ30" i="15"/>
  <c r="AI30" i="15"/>
  <c r="AH30" i="15"/>
  <c r="AG30" i="15"/>
  <c r="AF30" i="15"/>
  <c r="AE30" i="15"/>
  <c r="AD30" i="15"/>
  <c r="K30" i="15"/>
  <c r="J30" i="15"/>
  <c r="H30" i="15"/>
  <c r="I30" i="15" s="1"/>
  <c r="AJ29" i="15"/>
  <c r="AI29" i="15"/>
  <c r="AH29" i="15"/>
  <c r="AG29" i="15"/>
  <c r="AF29" i="15"/>
  <c r="AE29" i="15"/>
  <c r="AD29" i="15"/>
  <c r="K29" i="15"/>
  <c r="J29" i="15"/>
  <c r="H29" i="15"/>
  <c r="I29" i="15" s="1"/>
  <c r="AJ28" i="15"/>
  <c r="AI28" i="15"/>
  <c r="AH28" i="15"/>
  <c r="AG28" i="15"/>
  <c r="AF28" i="15"/>
  <c r="AE28" i="15"/>
  <c r="AD28" i="15"/>
  <c r="K28" i="15"/>
  <c r="J28" i="15"/>
  <c r="H28" i="15"/>
  <c r="I28" i="15" s="1"/>
  <c r="AJ27" i="15"/>
  <c r="AI27" i="15"/>
  <c r="AH27" i="15"/>
  <c r="AG27" i="15"/>
  <c r="AF27" i="15"/>
  <c r="AE27" i="15"/>
  <c r="AD27" i="15"/>
  <c r="K27" i="15"/>
  <c r="J27" i="15"/>
  <c r="I27" i="15"/>
  <c r="H27" i="15"/>
  <c r="AJ26" i="15"/>
  <c r="AI26" i="15"/>
  <c r="AH26" i="15"/>
  <c r="AG26" i="15"/>
  <c r="AF26" i="15"/>
  <c r="AE26" i="15"/>
  <c r="AD26" i="15"/>
  <c r="K26" i="15"/>
  <c r="J26" i="15"/>
  <c r="I26" i="15"/>
  <c r="H26" i="15"/>
  <c r="AJ25" i="15"/>
  <c r="AI25" i="15"/>
  <c r="AH25" i="15"/>
  <c r="AG25" i="15"/>
  <c r="AF25" i="15"/>
  <c r="AE25" i="15"/>
  <c r="AD25" i="15"/>
  <c r="K25" i="15"/>
  <c r="J25" i="15"/>
  <c r="I25" i="15"/>
  <c r="H25" i="15"/>
  <c r="AJ24" i="15"/>
  <c r="AI24" i="15"/>
  <c r="AH24" i="15"/>
  <c r="AG24" i="15"/>
  <c r="AF24" i="15"/>
  <c r="AE24" i="15"/>
  <c r="AD24" i="15"/>
  <c r="K24" i="15"/>
  <c r="J24" i="15"/>
  <c r="H24" i="15"/>
  <c r="I24" i="15" s="1"/>
  <c r="AJ23" i="15"/>
  <c r="AI23" i="15"/>
  <c r="AH23" i="15"/>
  <c r="AG23" i="15"/>
  <c r="AF23" i="15"/>
  <c r="AE23" i="15"/>
  <c r="AD23" i="15"/>
  <c r="K23" i="15"/>
  <c r="J23" i="15"/>
  <c r="I23" i="15"/>
  <c r="H23" i="15"/>
  <c r="AJ22" i="15"/>
  <c r="AI22" i="15"/>
  <c r="AH22" i="15"/>
  <c r="AG22" i="15"/>
  <c r="AF22" i="15"/>
  <c r="AE22" i="15"/>
  <c r="AD22" i="15"/>
  <c r="K22" i="15"/>
  <c r="J22" i="15"/>
  <c r="H22" i="15"/>
  <c r="I22" i="15" s="1"/>
  <c r="AJ21" i="15"/>
  <c r="AI21" i="15"/>
  <c r="AH21" i="15"/>
  <c r="AG21" i="15"/>
  <c r="AF21" i="15"/>
  <c r="AE21" i="15"/>
  <c r="AD21" i="15"/>
  <c r="K21" i="15"/>
  <c r="J21" i="15"/>
  <c r="H21" i="15"/>
  <c r="I21" i="15" s="1"/>
  <c r="AJ20" i="15"/>
  <c r="AI20" i="15"/>
  <c r="AH20" i="15"/>
  <c r="AG20" i="15"/>
  <c r="AF20" i="15"/>
  <c r="AE20" i="15"/>
  <c r="AD20" i="15"/>
  <c r="K20" i="15"/>
  <c r="J20" i="15"/>
  <c r="H20" i="15"/>
  <c r="I20" i="15" s="1"/>
  <c r="AJ19" i="15"/>
  <c r="AI19" i="15"/>
  <c r="AH19" i="15"/>
  <c r="AG19" i="15"/>
  <c r="AF19" i="15"/>
  <c r="AE19" i="15"/>
  <c r="AD19" i="15"/>
  <c r="K19" i="15"/>
  <c r="J19" i="15"/>
  <c r="H19" i="15"/>
  <c r="I19" i="15" s="1"/>
  <c r="AJ18" i="15"/>
  <c r="AI18" i="15"/>
  <c r="AH18" i="15"/>
  <c r="AG18" i="15"/>
  <c r="AF18" i="15"/>
  <c r="AE18" i="15"/>
  <c r="AD18" i="15"/>
  <c r="K18" i="15"/>
  <c r="J18" i="15"/>
  <c r="H18" i="15"/>
  <c r="I18" i="15" s="1"/>
  <c r="AJ17" i="15"/>
  <c r="AI17" i="15"/>
  <c r="AH17" i="15"/>
  <c r="AG17" i="15"/>
  <c r="AF17" i="15"/>
  <c r="AE17" i="15"/>
  <c r="AD17" i="15"/>
  <c r="K17" i="15"/>
  <c r="J17" i="15"/>
  <c r="H17" i="15"/>
  <c r="I17" i="15" s="1"/>
  <c r="AJ16" i="15"/>
  <c r="AI16" i="15"/>
  <c r="AH16" i="15"/>
  <c r="AG16" i="15"/>
  <c r="AF16" i="15"/>
  <c r="AE16" i="15"/>
  <c r="AD16" i="15"/>
  <c r="K16" i="15"/>
  <c r="J16" i="15"/>
  <c r="H16" i="15"/>
  <c r="I16" i="15" s="1"/>
  <c r="AJ15" i="15"/>
  <c r="AI15" i="15"/>
  <c r="AH15" i="15"/>
  <c r="AG15" i="15"/>
  <c r="AF15" i="15"/>
  <c r="AE15" i="15"/>
  <c r="AD15" i="15"/>
  <c r="K15" i="15"/>
  <c r="J15" i="15"/>
  <c r="I15" i="15"/>
  <c r="H15" i="15"/>
  <c r="AJ14" i="15"/>
  <c r="AI14" i="15"/>
  <c r="AH14" i="15"/>
  <c r="AG14" i="15"/>
  <c r="AF14" i="15"/>
  <c r="AE14" i="15"/>
  <c r="AD14" i="15"/>
  <c r="K14" i="15"/>
  <c r="J14" i="15"/>
  <c r="I14" i="15"/>
  <c r="H14" i="15"/>
  <c r="AJ13" i="15"/>
  <c r="AI13" i="15"/>
  <c r="AH13" i="15"/>
  <c r="AG13" i="15"/>
  <c r="AF13" i="15"/>
  <c r="AE13" i="15"/>
  <c r="AD13" i="15"/>
  <c r="K13" i="15"/>
  <c r="J13" i="15"/>
  <c r="H13" i="15"/>
  <c r="I13" i="15" s="1"/>
  <c r="AJ12" i="15"/>
  <c r="AI12" i="15"/>
  <c r="AH12" i="15"/>
  <c r="AG12" i="15"/>
  <c r="AF12" i="15"/>
  <c r="AE12" i="15"/>
  <c r="AD12" i="15"/>
  <c r="K12" i="15"/>
  <c r="J12" i="15"/>
  <c r="H12" i="15"/>
  <c r="I12" i="15" s="1"/>
  <c r="AJ11" i="15"/>
  <c r="AI11" i="15"/>
  <c r="AH11" i="15"/>
  <c r="AG11" i="15"/>
  <c r="AF11" i="15"/>
  <c r="AE11" i="15"/>
  <c r="AD11" i="15"/>
  <c r="K11" i="15"/>
  <c r="J11" i="15"/>
  <c r="H11" i="15"/>
  <c r="I11" i="15" s="1"/>
  <c r="AJ10" i="15"/>
  <c r="AI10" i="15"/>
  <c r="AH10" i="15"/>
  <c r="AG10" i="15"/>
  <c r="AF10" i="15"/>
  <c r="AE10" i="15"/>
  <c r="AD10" i="15"/>
  <c r="K10" i="15"/>
  <c r="J10" i="15"/>
  <c r="H10" i="15"/>
  <c r="I10" i="15" s="1"/>
  <c r="AJ9" i="15"/>
  <c r="AI9" i="15"/>
  <c r="AH9" i="15"/>
  <c r="AG9" i="15"/>
  <c r="AF9" i="15"/>
  <c r="AE9" i="15"/>
  <c r="AD9" i="15"/>
  <c r="K9" i="15"/>
  <c r="J9" i="15"/>
  <c r="H9" i="15"/>
  <c r="I9" i="15" s="1"/>
  <c r="AJ8" i="15"/>
  <c r="AI8" i="15"/>
  <c r="AH8" i="15"/>
  <c r="AG8" i="15"/>
  <c r="AF8" i="15"/>
  <c r="AE8" i="15"/>
  <c r="AD8" i="15"/>
  <c r="K8" i="15"/>
  <c r="J8" i="15"/>
  <c r="H8" i="15"/>
  <c r="I8" i="15" s="1"/>
  <c r="AJ7" i="15"/>
  <c r="AI7" i="15"/>
  <c r="AH7" i="15"/>
  <c r="AG7" i="15"/>
  <c r="AF7" i="15"/>
  <c r="AE7" i="15"/>
  <c r="AD7" i="15"/>
  <c r="K7" i="15"/>
  <c r="J7" i="15"/>
  <c r="H7" i="15"/>
  <c r="I7" i="15" s="1"/>
  <c r="AJ3" i="15"/>
  <c r="AI3" i="15"/>
  <c r="AH3" i="15"/>
  <c r="AG3" i="15"/>
  <c r="AF3" i="15"/>
  <c r="AE3" i="15"/>
  <c r="AC3" i="15"/>
  <c r="S3" i="15"/>
  <c r="M30" i="14"/>
  <c r="F30" i="14"/>
  <c r="U28" i="14"/>
  <c r="T28" i="14"/>
  <c r="S28" i="14"/>
  <c r="R28" i="14"/>
  <c r="Q28" i="14"/>
  <c r="P28" i="14"/>
  <c r="O28" i="14"/>
  <c r="M28" i="14"/>
  <c r="F28" i="14"/>
  <c r="U27" i="14"/>
  <c r="T27" i="14"/>
  <c r="S27" i="14"/>
  <c r="R27" i="14"/>
  <c r="Q27" i="14"/>
  <c r="P27" i="14"/>
  <c r="O27" i="14"/>
  <c r="M27" i="14"/>
  <c r="F27" i="14"/>
  <c r="U26" i="14"/>
  <c r="T26" i="14"/>
  <c r="S26" i="14"/>
  <c r="R26" i="14"/>
  <c r="Q26" i="14"/>
  <c r="P26" i="14"/>
  <c r="O26" i="14"/>
  <c r="M26" i="14"/>
  <c r="U25" i="14"/>
  <c r="T25" i="14"/>
  <c r="S25" i="14"/>
  <c r="R25" i="14"/>
  <c r="Q25" i="14"/>
  <c r="P25" i="14"/>
  <c r="O25" i="14"/>
  <c r="N25" i="14"/>
  <c r="M25" i="14"/>
  <c r="U21" i="14"/>
  <c r="T21" i="14"/>
  <c r="S21" i="14"/>
  <c r="R21" i="14"/>
  <c r="Q21" i="14"/>
  <c r="P21" i="14"/>
  <c r="O21" i="14"/>
  <c r="N21" i="14"/>
  <c r="F21" i="14" s="1"/>
  <c r="U20" i="14"/>
  <c r="T20" i="14"/>
  <c r="S20" i="14"/>
  <c r="R20" i="14"/>
  <c r="Q20" i="14"/>
  <c r="P20" i="14"/>
  <c r="O20" i="14"/>
  <c r="N20" i="14"/>
  <c r="F20" i="14"/>
  <c r="U19" i="14"/>
  <c r="T19" i="14"/>
  <c r="S19" i="14"/>
  <c r="R19" i="14"/>
  <c r="Q19" i="14"/>
  <c r="P19" i="14"/>
  <c r="O19" i="14"/>
  <c r="N19" i="14"/>
  <c r="F19" i="14"/>
  <c r="U18" i="14"/>
  <c r="T18" i="14"/>
  <c r="S18" i="14"/>
  <c r="R18" i="14"/>
  <c r="Q18" i="14"/>
  <c r="P18" i="14"/>
  <c r="O18" i="14"/>
  <c r="N18" i="14"/>
  <c r="F18" i="14" s="1"/>
  <c r="U17" i="14"/>
  <c r="T17" i="14"/>
  <c r="S17" i="14"/>
  <c r="R17" i="14"/>
  <c r="Q17" i="14"/>
  <c r="P17" i="14"/>
  <c r="O17" i="14"/>
  <c r="N17" i="14"/>
  <c r="F17" i="14" s="1"/>
  <c r="U16" i="14"/>
  <c r="T16" i="14"/>
  <c r="S16" i="14"/>
  <c r="R16" i="14"/>
  <c r="Q16" i="14"/>
  <c r="P16" i="14"/>
  <c r="O16" i="14"/>
  <c r="N16" i="14"/>
  <c r="F16" i="14"/>
  <c r="U15" i="14"/>
  <c r="T15" i="14"/>
  <c r="S15" i="14"/>
  <c r="R15" i="14"/>
  <c r="Q15" i="14"/>
  <c r="P15" i="14"/>
  <c r="O15" i="14"/>
  <c r="N15" i="14"/>
  <c r="F15" i="14"/>
  <c r="U14" i="14"/>
  <c r="T14" i="14"/>
  <c r="S14" i="14"/>
  <c r="R14" i="14"/>
  <c r="Q14" i="14"/>
  <c r="P14" i="14"/>
  <c r="O14" i="14"/>
  <c r="N14" i="14"/>
  <c r="F14" i="14" s="1"/>
  <c r="U13" i="14"/>
  <c r="T13" i="14"/>
  <c r="S13" i="14"/>
  <c r="R13" i="14"/>
  <c r="Q13" i="14"/>
  <c r="P13" i="14"/>
  <c r="O13" i="14"/>
  <c r="N13" i="14"/>
  <c r="F13" i="14" s="1"/>
  <c r="U12" i="14"/>
  <c r="T12" i="14"/>
  <c r="S12" i="14"/>
  <c r="R12" i="14"/>
  <c r="Q12" i="14"/>
  <c r="P12" i="14"/>
  <c r="O12" i="14"/>
  <c r="N12" i="14"/>
  <c r="F12" i="14"/>
  <c r="U11" i="14"/>
  <c r="T11" i="14"/>
  <c r="S11" i="14"/>
  <c r="R11" i="14"/>
  <c r="Q11" i="14"/>
  <c r="P11" i="14"/>
  <c r="O11" i="14"/>
  <c r="N11" i="14"/>
  <c r="F11" i="14"/>
  <c r="U10" i="14"/>
  <c r="T10" i="14"/>
  <c r="S10" i="14"/>
  <c r="R10" i="14"/>
  <c r="Q10" i="14"/>
  <c r="P10" i="14"/>
  <c r="O10" i="14"/>
  <c r="N10" i="14"/>
  <c r="F10" i="14" s="1"/>
  <c r="U9" i="14"/>
  <c r="T9" i="14"/>
  <c r="S9" i="14"/>
  <c r="R9" i="14"/>
  <c r="Q9" i="14"/>
  <c r="P9" i="14"/>
  <c r="O9" i="14"/>
  <c r="N9" i="14"/>
  <c r="F9" i="14" s="1"/>
  <c r="U8" i="14"/>
  <c r="T8" i="14"/>
  <c r="S8" i="14"/>
  <c r="R8" i="14"/>
  <c r="Q8" i="14"/>
  <c r="P8" i="14"/>
  <c r="O8" i="14"/>
  <c r="N8" i="14"/>
  <c r="F8" i="14"/>
  <c r="U7" i="14"/>
  <c r="T7" i="14"/>
  <c r="S7" i="14"/>
  <c r="R7" i="14"/>
  <c r="Q7" i="14"/>
  <c r="P7" i="14"/>
  <c r="O7" i="14"/>
  <c r="N7" i="14"/>
  <c r="F7" i="14"/>
  <c r="U6" i="14"/>
  <c r="T6" i="14"/>
  <c r="S6" i="14"/>
  <c r="R6" i="14"/>
  <c r="Q6" i="14"/>
  <c r="P6" i="14"/>
  <c r="O6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29" i="1"/>
  <c r="E28" i="1"/>
  <c r="E27" i="1"/>
  <c r="E26" i="1"/>
  <c r="E25" i="1"/>
  <c r="I32" i="3"/>
  <c r="H32" i="3"/>
  <c r="G32" i="3"/>
  <c r="F32" i="3"/>
  <c r="E32" i="3"/>
  <c r="D32" i="3"/>
  <c r="J31" i="3"/>
  <c r="J30" i="3"/>
  <c r="I27" i="3"/>
  <c r="H27" i="3"/>
  <c r="G27" i="3"/>
  <c r="F27" i="3"/>
  <c r="E27" i="3"/>
  <c r="D27" i="3"/>
  <c r="J26" i="3"/>
  <c r="J25" i="3"/>
  <c r="G12" i="14" l="1"/>
  <c r="G16" i="14"/>
  <c r="G20" i="14"/>
  <c r="W25" i="14"/>
  <c r="W28" i="14"/>
  <c r="G8" i="14"/>
  <c r="G21" i="14"/>
  <c r="G27" i="14"/>
  <c r="G13" i="14"/>
  <c r="G26" i="14"/>
  <c r="W27" i="14"/>
  <c r="G17" i="14"/>
  <c r="G7" i="14"/>
  <c r="G11" i="14"/>
  <c r="G15" i="14"/>
  <c r="G19" i="14"/>
  <c r="G9" i="14"/>
  <c r="G10" i="14"/>
  <c r="G14" i="14"/>
  <c r="G18" i="14"/>
  <c r="G28" i="14"/>
  <c r="W26" i="14"/>
  <c r="J32" i="3"/>
  <c r="J27" i="3"/>
  <c r="L24" i="1" l="1"/>
  <c r="K24" i="1"/>
  <c r="J24" i="1"/>
  <c r="I24" i="1"/>
  <c r="H24" i="1"/>
  <c r="I21" i="3"/>
  <c r="H21" i="3"/>
  <c r="G21" i="3"/>
  <c r="F21" i="3"/>
  <c r="E21" i="3"/>
  <c r="D21" i="3"/>
  <c r="J20" i="3"/>
  <c r="J21" i="3" s="1"/>
  <c r="J19" i="3"/>
  <c r="I16" i="3"/>
  <c r="H16" i="3"/>
  <c r="G16" i="3"/>
  <c r="F16" i="3"/>
  <c r="E16" i="3"/>
  <c r="D16" i="3"/>
  <c r="J15" i="3"/>
  <c r="J14" i="3"/>
  <c r="J16" i="3" l="1"/>
  <c r="N21" i="1"/>
  <c r="N20" i="1"/>
  <c r="N19" i="1"/>
  <c r="N18" i="1"/>
  <c r="M21" i="1"/>
  <c r="M20" i="1"/>
  <c r="M19" i="1"/>
  <c r="M18" i="1"/>
  <c r="M13" i="1"/>
  <c r="N17" i="1"/>
  <c r="M17" i="1"/>
  <c r="M16" i="1"/>
  <c r="N16" i="1"/>
  <c r="N15" i="1"/>
  <c r="M15" i="1"/>
  <c r="M14" i="1"/>
  <c r="N14" i="1"/>
  <c r="N13" i="1"/>
  <c r="N12" i="1"/>
  <c r="M12" i="1"/>
  <c r="N11" i="1"/>
  <c r="M11" i="1"/>
  <c r="N10" i="1"/>
  <c r="M10" i="1"/>
  <c r="N9" i="1"/>
  <c r="M9" i="1"/>
  <c r="N8" i="1"/>
  <c r="M8" i="1"/>
  <c r="N7" i="1"/>
  <c r="M7" i="1"/>
  <c r="N25" i="1"/>
  <c r="M29" i="1"/>
  <c r="M28" i="1"/>
  <c r="M27" i="1"/>
  <c r="M26" i="1"/>
  <c r="M25" i="1"/>
  <c r="L29" i="1"/>
  <c r="L28" i="1"/>
  <c r="L27" i="1"/>
  <c r="L26" i="1"/>
  <c r="L25" i="1"/>
  <c r="K29" i="1"/>
  <c r="K28" i="1"/>
  <c r="K27" i="1"/>
  <c r="K26" i="1"/>
  <c r="K25" i="1"/>
  <c r="J29" i="1"/>
  <c r="J28" i="1"/>
  <c r="J27" i="1"/>
  <c r="J26" i="1"/>
  <c r="J25" i="1"/>
  <c r="I29" i="1"/>
  <c r="I28" i="1"/>
  <c r="I27" i="1"/>
  <c r="I26" i="1"/>
  <c r="I25" i="1"/>
  <c r="H29" i="1"/>
  <c r="H28" i="1"/>
  <c r="H27" i="1"/>
  <c r="H26" i="1"/>
  <c r="H25" i="1"/>
  <c r="H21" i="1"/>
  <c r="I21" i="1"/>
  <c r="J21" i="1"/>
  <c r="K21" i="1"/>
  <c r="L21" i="1"/>
  <c r="H20" i="1"/>
  <c r="I20" i="1"/>
  <c r="J20" i="1"/>
  <c r="K20" i="1"/>
  <c r="L20" i="1"/>
  <c r="H19" i="1"/>
  <c r="I19" i="1"/>
  <c r="J19" i="1"/>
  <c r="K19" i="1"/>
  <c r="L19" i="1"/>
  <c r="H18" i="1"/>
  <c r="I18" i="1"/>
  <c r="J18" i="1"/>
  <c r="K18" i="1"/>
  <c r="L18" i="1"/>
  <c r="H17" i="1"/>
  <c r="I17" i="1"/>
  <c r="J17" i="1"/>
  <c r="K17" i="1"/>
  <c r="L17" i="1"/>
  <c r="H16" i="1"/>
  <c r="I16" i="1"/>
  <c r="J16" i="1"/>
  <c r="K16" i="1"/>
  <c r="L16" i="1"/>
  <c r="H15" i="1"/>
  <c r="I15" i="1"/>
  <c r="J15" i="1"/>
  <c r="K15" i="1"/>
  <c r="L15" i="1"/>
  <c r="L14" i="1"/>
  <c r="K14" i="1"/>
  <c r="J14" i="1"/>
  <c r="I14" i="1"/>
  <c r="H14" i="1"/>
  <c r="L13" i="1"/>
  <c r="K13" i="1"/>
  <c r="J13" i="1"/>
  <c r="I13" i="1"/>
  <c r="H13" i="1"/>
  <c r="L12" i="1"/>
  <c r="K12" i="1"/>
  <c r="J12" i="1"/>
  <c r="I12" i="1"/>
  <c r="H12" i="1"/>
  <c r="L11" i="1"/>
  <c r="K11" i="1"/>
  <c r="J11" i="1"/>
  <c r="I11" i="1"/>
  <c r="H11" i="1"/>
  <c r="L10" i="1"/>
  <c r="K10" i="1"/>
  <c r="J10" i="1"/>
  <c r="I10" i="1"/>
  <c r="H10" i="1"/>
  <c r="L9" i="1"/>
  <c r="K9" i="1"/>
  <c r="J9" i="1"/>
  <c r="I9" i="1"/>
  <c r="H9" i="1"/>
  <c r="L8" i="1"/>
  <c r="K8" i="1"/>
  <c r="J8" i="1"/>
  <c r="I8" i="1"/>
  <c r="H8" i="1"/>
  <c r="L7" i="1"/>
  <c r="K7" i="1"/>
  <c r="J7" i="1"/>
  <c r="I7" i="1"/>
  <c r="H7" i="1"/>
  <c r="H6" i="1"/>
  <c r="I6" i="1"/>
  <c r="I11" i="3"/>
  <c r="H11" i="3"/>
  <c r="G11" i="3"/>
  <c r="F11" i="3"/>
  <c r="E11" i="3"/>
  <c r="D11" i="3"/>
  <c r="J10" i="3"/>
  <c r="J9" i="3"/>
  <c r="C1" i="1"/>
  <c r="D29" i="1"/>
  <c r="D28" i="1"/>
  <c r="D27" i="1"/>
  <c r="D26" i="1"/>
  <c r="D25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U29" i="1"/>
  <c r="T29" i="1"/>
  <c r="S29" i="1"/>
  <c r="R29" i="1"/>
  <c r="Q29" i="1"/>
  <c r="P29" i="1"/>
  <c r="O29" i="1"/>
  <c r="U28" i="1"/>
  <c r="T28" i="1"/>
  <c r="S28" i="1"/>
  <c r="R28" i="1"/>
  <c r="Q28" i="1"/>
  <c r="P28" i="1"/>
  <c r="O28" i="1"/>
  <c r="U27" i="1"/>
  <c r="T27" i="1"/>
  <c r="S27" i="1"/>
  <c r="R27" i="1"/>
  <c r="Q27" i="1"/>
  <c r="P27" i="1"/>
  <c r="O27" i="1"/>
  <c r="U26" i="1"/>
  <c r="T26" i="1"/>
  <c r="S26" i="1"/>
  <c r="R26" i="1"/>
  <c r="Q26" i="1"/>
  <c r="P26" i="1"/>
  <c r="O26" i="1"/>
  <c r="U25" i="1"/>
  <c r="T25" i="1"/>
  <c r="S25" i="1"/>
  <c r="R25" i="1"/>
  <c r="Q25" i="1"/>
  <c r="P25" i="1"/>
  <c r="O25" i="1"/>
  <c r="U21" i="1"/>
  <c r="T21" i="1"/>
  <c r="S21" i="1"/>
  <c r="R21" i="1"/>
  <c r="Q21" i="1"/>
  <c r="P21" i="1"/>
  <c r="O21" i="1"/>
  <c r="U20" i="1"/>
  <c r="T20" i="1"/>
  <c r="S20" i="1"/>
  <c r="R20" i="1"/>
  <c r="Q20" i="1"/>
  <c r="P20" i="1"/>
  <c r="O20" i="1"/>
  <c r="U19" i="1"/>
  <c r="T19" i="1"/>
  <c r="S19" i="1"/>
  <c r="R19" i="1"/>
  <c r="Q19" i="1"/>
  <c r="P19" i="1"/>
  <c r="O19" i="1"/>
  <c r="U18" i="1"/>
  <c r="T18" i="1"/>
  <c r="S18" i="1"/>
  <c r="R18" i="1"/>
  <c r="Q18" i="1"/>
  <c r="P18" i="1"/>
  <c r="O18" i="1"/>
  <c r="U17" i="1"/>
  <c r="T17" i="1"/>
  <c r="S17" i="1"/>
  <c r="R17" i="1"/>
  <c r="Q17" i="1"/>
  <c r="P17" i="1"/>
  <c r="O17" i="1"/>
  <c r="U16" i="1"/>
  <c r="T16" i="1"/>
  <c r="S16" i="1"/>
  <c r="R16" i="1"/>
  <c r="Q16" i="1"/>
  <c r="P16" i="1"/>
  <c r="O16" i="1"/>
  <c r="U15" i="1"/>
  <c r="T15" i="1"/>
  <c r="S15" i="1"/>
  <c r="R15" i="1"/>
  <c r="Q15" i="1"/>
  <c r="P15" i="1"/>
  <c r="O15" i="1"/>
  <c r="U14" i="1"/>
  <c r="T14" i="1"/>
  <c r="S14" i="1"/>
  <c r="R14" i="1"/>
  <c r="Q14" i="1"/>
  <c r="P14" i="1"/>
  <c r="O14" i="1"/>
  <c r="U13" i="1"/>
  <c r="T13" i="1"/>
  <c r="S13" i="1"/>
  <c r="R13" i="1"/>
  <c r="Q13" i="1"/>
  <c r="P13" i="1"/>
  <c r="O13" i="1"/>
  <c r="U12" i="1"/>
  <c r="T12" i="1"/>
  <c r="S12" i="1"/>
  <c r="R12" i="1"/>
  <c r="Q12" i="1"/>
  <c r="P12" i="1"/>
  <c r="O12" i="1"/>
  <c r="U11" i="1"/>
  <c r="T11" i="1"/>
  <c r="S11" i="1"/>
  <c r="R11" i="1"/>
  <c r="Q11" i="1"/>
  <c r="P11" i="1"/>
  <c r="O11" i="1"/>
  <c r="U10" i="1"/>
  <c r="T10" i="1"/>
  <c r="S10" i="1"/>
  <c r="R10" i="1"/>
  <c r="Q10" i="1"/>
  <c r="P10" i="1"/>
  <c r="O10" i="1"/>
  <c r="U9" i="1"/>
  <c r="T9" i="1"/>
  <c r="S9" i="1"/>
  <c r="R9" i="1"/>
  <c r="Q9" i="1"/>
  <c r="P9" i="1"/>
  <c r="O9" i="1"/>
  <c r="U8" i="1"/>
  <c r="T8" i="1"/>
  <c r="S8" i="1"/>
  <c r="R8" i="1"/>
  <c r="Q8" i="1"/>
  <c r="P8" i="1"/>
  <c r="O8" i="1"/>
  <c r="U7" i="1"/>
  <c r="T7" i="1"/>
  <c r="S7" i="1"/>
  <c r="R7" i="1"/>
  <c r="Q7" i="1"/>
  <c r="P7" i="1"/>
  <c r="O7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U6" i="1"/>
  <c r="T6" i="1"/>
  <c r="S6" i="1"/>
  <c r="R6" i="1"/>
  <c r="Q6" i="1"/>
  <c r="P6" i="1"/>
  <c r="O6" i="1"/>
  <c r="M6" i="1"/>
  <c r="L6" i="1"/>
  <c r="K6" i="1"/>
  <c r="J6" i="1"/>
  <c r="K40" i="2"/>
  <c r="J40" i="2"/>
  <c r="K39" i="2"/>
  <c r="J39" i="2"/>
  <c r="K38" i="2"/>
  <c r="J38" i="2"/>
  <c r="K37" i="2"/>
  <c r="J37" i="2"/>
  <c r="K36" i="2"/>
  <c r="J36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E7" i="1"/>
  <c r="D7" i="1"/>
  <c r="J11" i="3" l="1"/>
  <c r="G26" i="1"/>
  <c r="G19" i="1"/>
  <c r="G14" i="1"/>
  <c r="G9" i="1"/>
  <c r="G21" i="1"/>
  <c r="G12" i="1"/>
  <c r="G27" i="1"/>
  <c r="G8" i="1"/>
  <c r="G13" i="1"/>
  <c r="G16" i="1"/>
  <c r="G20" i="1"/>
  <c r="G28" i="1"/>
  <c r="G29" i="1"/>
  <c r="G15" i="1"/>
  <c r="G10" i="1"/>
  <c r="G11" i="1"/>
  <c r="G17" i="1"/>
  <c r="G18" i="1"/>
  <c r="F29" i="1"/>
  <c r="F14" i="1"/>
  <c r="F21" i="1"/>
  <c r="F9" i="1"/>
  <c r="F27" i="1"/>
  <c r="F17" i="1"/>
  <c r="F10" i="1"/>
  <c r="F8" i="1"/>
  <c r="F11" i="1"/>
  <c r="F13" i="1"/>
  <c r="F16" i="1"/>
  <c r="F18" i="1"/>
  <c r="F20" i="1"/>
  <c r="F26" i="1"/>
  <c r="F28" i="1"/>
  <c r="F15" i="1"/>
  <c r="G7" i="1"/>
  <c r="F12" i="1"/>
  <c r="F7" i="1"/>
  <c r="F19" i="1"/>
  <c r="I6" i="3" l="1"/>
  <c r="H6" i="3"/>
  <c r="G6" i="3"/>
  <c r="F6" i="3"/>
  <c r="E6" i="3"/>
  <c r="D6" i="3"/>
  <c r="J5" i="3"/>
  <c r="J4" i="3"/>
  <c r="J6" i="3" l="1"/>
  <c r="AJ40" i="2"/>
  <c r="AI40" i="2"/>
  <c r="AH40" i="2"/>
  <c r="AG40" i="2"/>
  <c r="AF40" i="2"/>
  <c r="AE40" i="2"/>
  <c r="AD40" i="2"/>
  <c r="H40" i="2"/>
  <c r="I40" i="2" s="1"/>
  <c r="AJ39" i="2"/>
  <c r="AI39" i="2"/>
  <c r="AH39" i="2"/>
  <c r="AG39" i="2"/>
  <c r="AF39" i="2"/>
  <c r="AE39" i="2"/>
  <c r="AD39" i="2"/>
  <c r="H39" i="2"/>
  <c r="I39" i="2" s="1"/>
  <c r="AJ38" i="2"/>
  <c r="AI38" i="2"/>
  <c r="AH38" i="2"/>
  <c r="AG38" i="2"/>
  <c r="AF38" i="2"/>
  <c r="AE38" i="2"/>
  <c r="AD38" i="2"/>
  <c r="H38" i="2"/>
  <c r="I38" i="2" s="1"/>
  <c r="AJ37" i="2"/>
  <c r="AI37" i="2"/>
  <c r="AH37" i="2"/>
  <c r="AG37" i="2"/>
  <c r="AF37" i="2"/>
  <c r="AE37" i="2"/>
  <c r="AD37" i="2"/>
  <c r="H37" i="2"/>
  <c r="I37" i="2" s="1"/>
  <c r="AJ36" i="2"/>
  <c r="AI36" i="2"/>
  <c r="AH36" i="2"/>
  <c r="AG36" i="2"/>
  <c r="AF36" i="2"/>
  <c r="AE36" i="2"/>
  <c r="AD36" i="2"/>
  <c r="H36" i="2"/>
  <c r="I36" i="2" s="1"/>
  <c r="AJ34" i="2"/>
  <c r="AI34" i="2"/>
  <c r="AH34" i="2"/>
  <c r="AG34" i="2"/>
  <c r="AF34" i="2"/>
  <c r="AE34" i="2"/>
  <c r="AD34" i="2"/>
  <c r="H34" i="2"/>
  <c r="I34" i="2" s="1"/>
  <c r="AJ33" i="2"/>
  <c r="AI33" i="2"/>
  <c r="AH33" i="2"/>
  <c r="AG33" i="2"/>
  <c r="AF33" i="2"/>
  <c r="AE33" i="2"/>
  <c r="AD33" i="2"/>
  <c r="H33" i="2"/>
  <c r="I33" i="2" s="1"/>
  <c r="AJ32" i="2"/>
  <c r="AI32" i="2"/>
  <c r="AH32" i="2"/>
  <c r="AG32" i="2"/>
  <c r="AF32" i="2"/>
  <c r="AE32" i="2"/>
  <c r="AD32" i="2"/>
  <c r="H32" i="2"/>
  <c r="I32" i="2" s="1"/>
  <c r="AJ31" i="2"/>
  <c r="AI31" i="2"/>
  <c r="AH31" i="2"/>
  <c r="AG31" i="2"/>
  <c r="AF31" i="2"/>
  <c r="AE31" i="2"/>
  <c r="AD31" i="2"/>
  <c r="H31" i="2"/>
  <c r="I31" i="2" s="1"/>
  <c r="AJ30" i="2"/>
  <c r="AI30" i="2"/>
  <c r="AH30" i="2"/>
  <c r="AG30" i="2"/>
  <c r="AF30" i="2"/>
  <c r="AE30" i="2"/>
  <c r="AD30" i="2"/>
  <c r="H30" i="2"/>
  <c r="I30" i="2" s="1"/>
  <c r="AJ29" i="2"/>
  <c r="AI29" i="2"/>
  <c r="AH29" i="2"/>
  <c r="AG29" i="2"/>
  <c r="AF29" i="2"/>
  <c r="AE29" i="2"/>
  <c r="AD29" i="2"/>
  <c r="H29" i="2"/>
  <c r="I29" i="2" s="1"/>
  <c r="AJ28" i="2"/>
  <c r="AI28" i="2"/>
  <c r="AH28" i="2"/>
  <c r="AG28" i="2"/>
  <c r="AF28" i="2"/>
  <c r="AE28" i="2"/>
  <c r="AD28" i="2"/>
  <c r="H28" i="2"/>
  <c r="I28" i="2" s="1"/>
  <c r="AJ27" i="2"/>
  <c r="AI27" i="2"/>
  <c r="AH27" i="2"/>
  <c r="AG27" i="2"/>
  <c r="AF27" i="2"/>
  <c r="AE27" i="2"/>
  <c r="AD27" i="2"/>
  <c r="H27" i="2"/>
  <c r="I27" i="2" s="1"/>
  <c r="AJ26" i="2"/>
  <c r="AI26" i="2"/>
  <c r="AH26" i="2"/>
  <c r="AG26" i="2"/>
  <c r="AF26" i="2"/>
  <c r="AE26" i="2"/>
  <c r="AD26" i="2"/>
  <c r="H26" i="2"/>
  <c r="I26" i="2" s="1"/>
  <c r="AJ25" i="2"/>
  <c r="AI25" i="2"/>
  <c r="AH25" i="2"/>
  <c r="AG25" i="2"/>
  <c r="AF25" i="2"/>
  <c r="AE25" i="2"/>
  <c r="AD25" i="2"/>
  <c r="H25" i="2"/>
  <c r="I25" i="2" s="1"/>
  <c r="AJ24" i="2"/>
  <c r="AI24" i="2"/>
  <c r="AH24" i="2"/>
  <c r="AG24" i="2"/>
  <c r="AF24" i="2"/>
  <c r="AE24" i="2"/>
  <c r="AD24" i="2"/>
  <c r="H24" i="2"/>
  <c r="I24" i="2" s="1"/>
  <c r="AJ23" i="2"/>
  <c r="AI23" i="2"/>
  <c r="AH23" i="2"/>
  <c r="AG23" i="2"/>
  <c r="AF23" i="2"/>
  <c r="AE23" i="2"/>
  <c r="AD23" i="2"/>
  <c r="H23" i="2"/>
  <c r="I23" i="2" s="1"/>
  <c r="AJ22" i="2"/>
  <c r="AI22" i="2"/>
  <c r="AH22" i="2"/>
  <c r="AG22" i="2"/>
  <c r="AF22" i="2"/>
  <c r="AE22" i="2"/>
  <c r="AD22" i="2"/>
  <c r="H22" i="2"/>
  <c r="I22" i="2" s="1"/>
  <c r="AJ21" i="2"/>
  <c r="AI21" i="2"/>
  <c r="AH21" i="2"/>
  <c r="AG21" i="2"/>
  <c r="AF21" i="2"/>
  <c r="AE21" i="2"/>
  <c r="AD21" i="2"/>
  <c r="H21" i="2"/>
  <c r="I21" i="2" s="1"/>
  <c r="AJ20" i="2"/>
  <c r="AI20" i="2"/>
  <c r="AH20" i="2"/>
  <c r="AG20" i="2"/>
  <c r="AF20" i="2"/>
  <c r="AE20" i="2"/>
  <c r="AD20" i="2"/>
  <c r="H20" i="2"/>
  <c r="I20" i="2" s="1"/>
  <c r="AJ19" i="2"/>
  <c r="AI19" i="2"/>
  <c r="AH19" i="2"/>
  <c r="AG19" i="2"/>
  <c r="AF19" i="2"/>
  <c r="AE19" i="2"/>
  <c r="AD19" i="2"/>
  <c r="H19" i="2"/>
  <c r="I19" i="2" s="1"/>
  <c r="AJ18" i="2"/>
  <c r="AI18" i="2"/>
  <c r="AH18" i="2"/>
  <c r="AG18" i="2"/>
  <c r="AF18" i="2"/>
  <c r="AE18" i="2"/>
  <c r="AD18" i="2"/>
  <c r="H18" i="2"/>
  <c r="I18" i="2" s="1"/>
  <c r="AJ17" i="2"/>
  <c r="AI17" i="2"/>
  <c r="AH17" i="2"/>
  <c r="AG17" i="2"/>
  <c r="AF17" i="2"/>
  <c r="AE17" i="2"/>
  <c r="AD17" i="2"/>
  <c r="H17" i="2"/>
  <c r="I17" i="2" s="1"/>
  <c r="AJ16" i="2"/>
  <c r="AI16" i="2"/>
  <c r="AH16" i="2"/>
  <c r="AG16" i="2"/>
  <c r="AF16" i="2"/>
  <c r="AE16" i="2"/>
  <c r="AD16" i="2"/>
  <c r="H16" i="2"/>
  <c r="I16" i="2" s="1"/>
  <c r="AJ15" i="2"/>
  <c r="AI15" i="2"/>
  <c r="AH15" i="2"/>
  <c r="AG15" i="2"/>
  <c r="AF15" i="2"/>
  <c r="AE15" i="2"/>
  <c r="AD15" i="2"/>
  <c r="H15" i="2"/>
  <c r="I15" i="2" s="1"/>
  <c r="AJ14" i="2"/>
  <c r="AI14" i="2"/>
  <c r="AH14" i="2"/>
  <c r="AG14" i="2"/>
  <c r="AF14" i="2"/>
  <c r="AE14" i="2"/>
  <c r="AD14" i="2"/>
  <c r="H14" i="2"/>
  <c r="I14" i="2" s="1"/>
  <c r="AJ13" i="2"/>
  <c r="AI13" i="2"/>
  <c r="AH13" i="2"/>
  <c r="AG13" i="2"/>
  <c r="AF13" i="2"/>
  <c r="AE13" i="2"/>
  <c r="AD13" i="2"/>
  <c r="H13" i="2"/>
  <c r="I13" i="2" s="1"/>
  <c r="AJ12" i="2"/>
  <c r="AI12" i="2"/>
  <c r="AH12" i="2"/>
  <c r="AG12" i="2"/>
  <c r="AF12" i="2"/>
  <c r="AE12" i="2"/>
  <c r="AD12" i="2"/>
  <c r="H12" i="2"/>
  <c r="I12" i="2" s="1"/>
  <c r="AJ11" i="2"/>
  <c r="AI11" i="2"/>
  <c r="AH11" i="2"/>
  <c r="AG11" i="2"/>
  <c r="AF11" i="2"/>
  <c r="AE11" i="2"/>
  <c r="AD11" i="2"/>
  <c r="H11" i="2"/>
  <c r="I11" i="2" s="1"/>
  <c r="AJ10" i="2"/>
  <c r="AI10" i="2"/>
  <c r="AH10" i="2"/>
  <c r="AG10" i="2"/>
  <c r="AF10" i="2"/>
  <c r="AE10" i="2"/>
  <c r="AD10" i="2"/>
  <c r="H10" i="2"/>
  <c r="I10" i="2" s="1"/>
  <c r="AJ9" i="2"/>
  <c r="AI9" i="2"/>
  <c r="AH9" i="2"/>
  <c r="AG9" i="2"/>
  <c r="AF9" i="2"/>
  <c r="AE9" i="2"/>
  <c r="AD9" i="2"/>
  <c r="H9" i="2"/>
  <c r="I9" i="2" s="1"/>
  <c r="AJ8" i="2"/>
  <c r="AI8" i="2"/>
  <c r="AH8" i="2"/>
  <c r="AG8" i="2"/>
  <c r="AF8" i="2"/>
  <c r="AE8" i="2"/>
  <c r="AD8" i="2"/>
  <c r="H8" i="2"/>
  <c r="I8" i="2" s="1"/>
  <c r="AJ7" i="2"/>
  <c r="AI7" i="2"/>
  <c r="AH7" i="2"/>
  <c r="AG7" i="2"/>
  <c r="AF7" i="2"/>
  <c r="AE7" i="2"/>
  <c r="AD7" i="2"/>
  <c r="H7" i="2"/>
  <c r="I7" i="2" s="1"/>
  <c r="AJ3" i="2"/>
  <c r="AI3" i="2"/>
  <c r="AH3" i="2"/>
  <c r="AG3" i="2"/>
  <c r="AF3" i="2"/>
  <c r="AE3" i="2"/>
  <c r="AC3" i="2"/>
  <c r="S3" i="2"/>
  <c r="W29" i="1"/>
  <c r="W28" i="1"/>
  <c r="W27" i="1"/>
  <c r="W26" i="1"/>
  <c r="W25" i="1"/>
</calcChain>
</file>

<file path=xl/sharedStrings.xml><?xml version="1.0" encoding="utf-8"?>
<sst xmlns="http://schemas.openxmlformats.org/spreadsheetml/2006/main" count="2244" uniqueCount="130">
  <si>
    <t>Vehicle Trip Plan</t>
  </si>
  <si>
    <t>Actual Dispatch</t>
  </si>
  <si>
    <t>T-1</t>
  </si>
  <si>
    <t>T-2</t>
  </si>
  <si>
    <t>T-3</t>
  </si>
  <si>
    <t>T-4</t>
  </si>
  <si>
    <t>T-5</t>
  </si>
  <si>
    <t>T-6</t>
  </si>
  <si>
    <t>T-7</t>
  </si>
  <si>
    <t>T-8</t>
  </si>
  <si>
    <t>Customer
 Part No.</t>
  </si>
  <si>
    <t>Description</t>
  </si>
  <si>
    <t>Material Code</t>
  </si>
  <si>
    <t>Customer's
 Todays Plan</t>
  </si>
  <si>
    <t>Vehicle No</t>
  </si>
  <si>
    <t>Intime</t>
  </si>
  <si>
    <t>Out Time</t>
  </si>
  <si>
    <t>CE open STK</t>
  </si>
  <si>
    <t>542468900289ZZ</t>
  </si>
  <si>
    <t>Cluster GB</t>
  </si>
  <si>
    <t>753000360-200</t>
  </si>
  <si>
    <t>542468900289ZV</t>
  </si>
  <si>
    <t>Cluster ULS</t>
  </si>
  <si>
    <t>753000360-324</t>
  </si>
  <si>
    <t>542468900289ZQ</t>
  </si>
  <si>
    <t>Cluster Titan Brown</t>
  </si>
  <si>
    <t>753000360-011</t>
  </si>
  <si>
    <t>542468910103CC</t>
  </si>
  <si>
    <t>Console LLG</t>
  </si>
  <si>
    <t>753000370-009</t>
  </si>
  <si>
    <t>542468910103D1</t>
  </si>
  <si>
    <t>Console KLG</t>
  </si>
  <si>
    <t>753000370-452</t>
  </si>
  <si>
    <t>542569500104D1</t>
  </si>
  <si>
    <t>HMSL KLG</t>
  </si>
  <si>
    <t>630131090-452</t>
  </si>
  <si>
    <t>542569500104CC</t>
  </si>
  <si>
    <t>HMSL LLG</t>
  </si>
  <si>
    <t>542469500102D1</t>
  </si>
  <si>
    <t>102D1</t>
  </si>
  <si>
    <t>586118320-083</t>
  </si>
  <si>
    <t>542469500118D1</t>
  </si>
  <si>
    <t>118D1</t>
  </si>
  <si>
    <t>586688560-083</t>
  </si>
  <si>
    <t>542469500119D1</t>
  </si>
  <si>
    <t>119D1</t>
  </si>
  <si>
    <t>586688570-083</t>
  </si>
  <si>
    <t>542469500120D1</t>
  </si>
  <si>
    <t>120D1</t>
  </si>
  <si>
    <t>586450180-083</t>
  </si>
  <si>
    <t>546769500115D1</t>
  </si>
  <si>
    <t>115D1</t>
  </si>
  <si>
    <t>586688580-083</t>
  </si>
  <si>
    <t>546769500133D1</t>
  </si>
  <si>
    <t>133D1</t>
  </si>
  <si>
    <t>586688590-083</t>
  </si>
  <si>
    <t>546769500134D1</t>
  </si>
  <si>
    <t>134D1</t>
  </si>
  <si>
    <t>586688600-083</t>
  </si>
  <si>
    <t>546769500135D1</t>
  </si>
  <si>
    <t>135D1</t>
  </si>
  <si>
    <t>586688610-083</t>
  </si>
  <si>
    <t>546469500102ZX</t>
  </si>
  <si>
    <t>102ZX</t>
  </si>
  <si>
    <t>587136190-083</t>
  </si>
  <si>
    <t>546469500109ZY</t>
  </si>
  <si>
    <t>109ZY</t>
  </si>
  <si>
    <t>587136180-083</t>
  </si>
  <si>
    <t>546469500114ZY</t>
  </si>
  <si>
    <t>114ZY</t>
  </si>
  <si>
    <t>587011990-083</t>
  </si>
  <si>
    <t>546469500114ZZ</t>
  </si>
  <si>
    <t>114ZZ</t>
  </si>
  <si>
    <t>587011990-220</t>
  </si>
  <si>
    <t>546469500102ZZ</t>
  </si>
  <si>
    <t>102ZZ</t>
  </si>
  <si>
    <t>587136190-220</t>
  </si>
  <si>
    <t>GAP</t>
  </si>
  <si>
    <t>T=9</t>
  </si>
  <si>
    <t>Vehicle No.</t>
  </si>
  <si>
    <t>Stocking Norm</t>
  </si>
  <si>
    <t>Stock at 
Customer End</t>
  </si>
  <si>
    <t>Stock on 
Wheel</t>
  </si>
  <si>
    <t>Dispatch Requirement</t>
  </si>
  <si>
    <t>Short against Requirement</t>
  </si>
  <si>
    <t>No Of Trolley</t>
  </si>
  <si>
    <t>In time</t>
  </si>
  <si>
    <t>Time</t>
  </si>
  <si>
    <t>Actual</t>
  </si>
  <si>
    <t>TAIL GATE</t>
  </si>
  <si>
    <t>631161170-220</t>
  </si>
  <si>
    <t>SIDE RH</t>
  </si>
  <si>
    <t>631161221-220</t>
  </si>
  <si>
    <t>SIDE LH</t>
  </si>
  <si>
    <t>631161222-220</t>
  </si>
  <si>
    <t>FR RUBRAIL  RH</t>
  </si>
  <si>
    <t>631161181-220</t>
  </si>
  <si>
    <t>FR RUBRAIL  LH</t>
  </si>
  <si>
    <t>631161182-220</t>
  </si>
  <si>
    <t>RR RUBRAIL  RH</t>
  </si>
  <si>
    <t>631161191-220</t>
  </si>
  <si>
    <t>RR RUBRAIL  LH</t>
  </si>
  <si>
    <t>631161192-220</t>
  </si>
  <si>
    <t>FR WHEEL ARCH RH</t>
  </si>
  <si>
    <t>631161201-220</t>
  </si>
  <si>
    <t>FR WHEEL ARCH LH</t>
  </si>
  <si>
    <t>631161202-220</t>
  </si>
  <si>
    <t>RR WHEEL ARCH RH</t>
  </si>
  <si>
    <t>631161211-220</t>
  </si>
  <si>
    <t>RR WHEEL ARCH LH</t>
  </si>
  <si>
    <t>631161212-220</t>
  </si>
  <si>
    <t>ROOF RAIL RH</t>
  </si>
  <si>
    <t>631122171-010</t>
  </si>
  <si>
    <t>ROOF RAIL LH</t>
  </si>
  <si>
    <t>631122172-010</t>
  </si>
  <si>
    <t>-</t>
  </si>
  <si>
    <t>Vehicle Trip Plan No. of Trollies</t>
  </si>
  <si>
    <t>Remarks</t>
  </si>
  <si>
    <t>Date</t>
  </si>
  <si>
    <t>Total</t>
  </si>
  <si>
    <t>Plan</t>
  </si>
  <si>
    <t>Gap</t>
  </si>
  <si>
    <t>Total Plan</t>
  </si>
  <si>
    <t>Total Actual</t>
  </si>
  <si>
    <t>FG not available</t>
  </si>
  <si>
    <t>One trip loss due to non-availability of FG and One trip loass due to Non-availability of empty trolley</t>
  </si>
  <si>
    <t>.5 Trip loss due to FG shortage.</t>
  </si>
  <si>
    <t>One trip loss due to non-availability of FG and One trip loass due to Non-availability</t>
  </si>
  <si>
    <t>546469500120ZY</t>
  </si>
  <si>
    <t>120ZY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</si>
</sst>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15" fontId="3" fillId="0" borderId="0" xfId="0" applyNumberFormat="1" applyFont="1"/>
    <xf numFmtId="0" fontId="2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/>
    </xf>
    <xf numFmtId="20" fontId="1" fillId="2" borderId="1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20" fontId="0" fillId="3" borderId="1" xfId="0" applyNumberFormat="1" applyFill="1" applyBorder="1"/>
    <xf numFmtId="0" fontId="1" fillId="3" borderId="1" xfId="0" applyFont="1" applyFill="1" applyBorder="1" applyAlignment="1">
      <alignment horizontal="center" vertical="center" wrapText="1"/>
    </xf>
    <xf numFmtId="20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9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20" fontId="4" fillId="3" borderId="9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wrapText="1"/>
    </xf>
    <xf numFmtId="0" fontId="0" fillId="0" borderId="1" xfId="0" applyBorder="1" applyAlignment="1">
      <alignment wrapText="1"/>
    </xf>
    <xf numFmtId="0" fontId="8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/>
    </xf>
    <xf numFmtId="15" fontId="4" fillId="0" borderId="3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191F-A5C3-4031-927B-FA761DD1D0FC}">
  <dimension ref="A1:AJ49"/>
  <sheetViews>
    <sheetView showZeros="0" zoomScale="70" zoomScaleNormal="70" workbookViewId="0">
      <pane xSplit="12" ySplit="6" topLeftCell="O7" activePane="bottomRight" state="frozen"/>
      <selection activeCell="G18" sqref="G18"/>
      <selection pane="topRight" activeCell="G18" sqref="G18"/>
      <selection pane="bottomLeft" activeCell="G18" sqref="G18"/>
      <selection pane="bottomRight" activeCell="T6" sqref="T6:Y21"/>
    </sheetView>
  </sheetViews>
  <sheetFormatPr defaultRowHeight="14.5" x14ac:dyDescent="0.35"/>
  <cols>
    <col min="1" max="1" width="15.453125" bestFit="1" customWidth="1"/>
    <col min="2" max="2" width="17.1796875" bestFit="1" customWidth="1"/>
    <col min="3" max="3" width="13.54296875" bestFit="1" customWidth="1"/>
    <col min="4" max="4" width="13.54296875" style="24" customWidth="1"/>
    <col min="5" max="5" width="14" customWidth="1"/>
    <col min="6" max="6" width="12.7265625" bestFit="1" customWidth="1"/>
    <col min="7" max="7" width="6.81640625" customWidth="1"/>
    <col min="8" max="8" width="14.08984375" customWidth="1"/>
    <col min="9" max="11" width="13" customWidth="1"/>
    <col min="12" max="12" width="13.36328125" customWidth="1"/>
    <col min="13" max="18" width="6.453125" bestFit="1" customWidth="1"/>
    <col min="19" max="19" width="5.6328125" customWidth="1"/>
    <col min="20" max="22" width="6.453125" bestFit="1" customWidth="1"/>
    <col min="23" max="25" width="6.453125" customWidth="1"/>
    <col min="26" max="27" width="6.453125" bestFit="1" customWidth="1"/>
    <col min="28" max="29" width="5.7265625" customWidth="1"/>
    <col min="30" max="30" width="10" bestFit="1" customWidth="1"/>
    <col min="31" max="36" width="5.7265625" customWidth="1"/>
  </cols>
  <sheetData>
    <row r="1" spans="1:36" ht="18.5" x14ac:dyDescent="0.45">
      <c r="F1" s="2">
        <v>45902</v>
      </c>
      <c r="M1" s="54" t="s">
        <v>0</v>
      </c>
      <c r="N1" s="54"/>
      <c r="O1" s="54"/>
      <c r="P1" s="54"/>
      <c r="Q1" s="54"/>
      <c r="R1" s="54"/>
      <c r="S1" s="54"/>
      <c r="T1" s="55" t="s">
        <v>1</v>
      </c>
      <c r="U1" s="56"/>
      <c r="V1" s="56"/>
      <c r="W1" s="56"/>
      <c r="X1" s="56"/>
      <c r="Y1" s="56"/>
      <c r="Z1" s="56"/>
      <c r="AA1" s="56"/>
      <c r="AB1" s="56"/>
      <c r="AC1" s="56"/>
      <c r="AD1" s="56"/>
      <c r="AE1" s="55" t="s">
        <v>77</v>
      </c>
      <c r="AF1" s="56"/>
      <c r="AG1" s="56"/>
      <c r="AH1" s="56"/>
      <c r="AI1" s="56"/>
      <c r="AJ1" s="56"/>
    </row>
    <row r="2" spans="1:36" x14ac:dyDescent="0.35">
      <c r="B2" s="57"/>
      <c r="C2" s="58"/>
      <c r="L2" s="25"/>
      <c r="M2" s="26" t="s">
        <v>2</v>
      </c>
      <c r="N2" s="26" t="s">
        <v>3</v>
      </c>
      <c r="O2" s="26" t="s">
        <v>4</v>
      </c>
      <c r="P2" s="26" t="s">
        <v>5</v>
      </c>
      <c r="Q2" s="26" t="s">
        <v>6</v>
      </c>
      <c r="R2" s="26" t="s">
        <v>7</v>
      </c>
      <c r="S2" s="26"/>
      <c r="T2" s="27" t="s">
        <v>2</v>
      </c>
      <c r="U2" s="27" t="s">
        <v>3</v>
      </c>
      <c r="V2" s="27" t="s">
        <v>4</v>
      </c>
      <c r="W2" s="27" t="s">
        <v>5</v>
      </c>
      <c r="X2" s="27" t="s">
        <v>6</v>
      </c>
      <c r="Y2" s="27" t="s">
        <v>7</v>
      </c>
      <c r="Z2" s="27" t="s">
        <v>8</v>
      </c>
      <c r="AA2" s="27" t="s">
        <v>9</v>
      </c>
      <c r="AB2" s="27" t="s">
        <v>78</v>
      </c>
      <c r="AC2" s="27"/>
      <c r="AD2" s="27" t="s">
        <v>79</v>
      </c>
      <c r="AE2" s="27" t="s">
        <v>2</v>
      </c>
      <c r="AF2" s="27" t="s">
        <v>3</v>
      </c>
      <c r="AG2" s="27" t="s">
        <v>4</v>
      </c>
      <c r="AH2" s="27" t="s">
        <v>5</v>
      </c>
      <c r="AI2" s="27" t="s">
        <v>6</v>
      </c>
      <c r="AJ2" s="27" t="s">
        <v>7</v>
      </c>
    </row>
    <row r="3" spans="1:36" x14ac:dyDescent="0.35">
      <c r="A3" s="49" t="s">
        <v>10</v>
      </c>
      <c r="B3" s="50" t="s">
        <v>11</v>
      </c>
      <c r="C3" s="50" t="s">
        <v>12</v>
      </c>
      <c r="D3" s="50" t="s">
        <v>80</v>
      </c>
      <c r="E3" s="59" t="s">
        <v>13</v>
      </c>
      <c r="F3" s="49" t="s">
        <v>81</v>
      </c>
      <c r="G3" s="49" t="s">
        <v>82</v>
      </c>
      <c r="H3" s="49" t="s">
        <v>83</v>
      </c>
      <c r="I3" s="51" t="s">
        <v>84</v>
      </c>
      <c r="J3" s="49" t="s">
        <v>122</v>
      </c>
      <c r="K3" s="49" t="s">
        <v>123</v>
      </c>
      <c r="L3" s="46" t="s">
        <v>85</v>
      </c>
      <c r="M3" s="22">
        <v>6</v>
      </c>
      <c r="N3" s="22">
        <v>6</v>
      </c>
      <c r="O3" s="22">
        <v>6</v>
      </c>
      <c r="P3" s="22">
        <v>6</v>
      </c>
      <c r="Q3" s="22">
        <v>6</v>
      </c>
      <c r="R3" s="22">
        <v>6</v>
      </c>
      <c r="S3" s="22">
        <v>36</v>
      </c>
      <c r="T3" s="28">
        <v>6</v>
      </c>
      <c r="U3" s="28">
        <v>3</v>
      </c>
      <c r="V3" s="28">
        <v>5</v>
      </c>
      <c r="W3" s="28">
        <v>4</v>
      </c>
      <c r="X3" s="28">
        <v>5</v>
      </c>
      <c r="Y3" s="28">
        <v>5</v>
      </c>
      <c r="Z3" s="28"/>
      <c r="AA3" s="28"/>
      <c r="AB3" s="28"/>
      <c r="AC3" s="28">
        <v>28</v>
      </c>
      <c r="AD3" s="28"/>
      <c r="AE3" s="28">
        <v>0</v>
      </c>
      <c r="AF3" s="28">
        <v>-3</v>
      </c>
      <c r="AG3" s="28">
        <v>-4</v>
      </c>
      <c r="AH3" s="28">
        <v>4</v>
      </c>
      <c r="AI3" s="28">
        <v>-2</v>
      </c>
      <c r="AJ3" s="28">
        <v>-8</v>
      </c>
    </row>
    <row r="4" spans="1:36" x14ac:dyDescent="0.35">
      <c r="A4" s="49"/>
      <c r="B4" s="50"/>
      <c r="C4" s="50"/>
      <c r="D4" s="50"/>
      <c r="E4" s="59"/>
      <c r="F4" s="49"/>
      <c r="G4" s="50"/>
      <c r="H4" s="50"/>
      <c r="I4" s="52"/>
      <c r="J4" s="49"/>
      <c r="K4" s="49"/>
      <c r="L4" s="46" t="s">
        <v>14</v>
      </c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 t="s">
        <v>16</v>
      </c>
      <c r="AE4" s="27"/>
      <c r="AF4" s="27"/>
      <c r="AG4" s="27"/>
      <c r="AH4" s="27"/>
      <c r="AI4" s="27"/>
      <c r="AJ4" s="27"/>
    </row>
    <row r="5" spans="1:36" x14ac:dyDescent="0.35">
      <c r="A5" s="49"/>
      <c r="B5" s="50"/>
      <c r="C5" s="50"/>
      <c r="D5" s="50"/>
      <c r="E5" s="59"/>
      <c r="F5" s="49"/>
      <c r="G5" s="50"/>
      <c r="H5" s="50"/>
      <c r="I5" s="52"/>
      <c r="J5" s="49"/>
      <c r="K5" s="49"/>
      <c r="L5" s="46"/>
      <c r="M5" s="26"/>
      <c r="N5" s="26"/>
      <c r="O5" s="26"/>
      <c r="P5" s="26"/>
      <c r="Q5" s="26"/>
      <c r="R5" s="26"/>
      <c r="S5" s="26"/>
      <c r="T5" s="29"/>
      <c r="U5" s="27"/>
      <c r="V5" s="27"/>
      <c r="W5" s="27"/>
      <c r="X5" s="27"/>
      <c r="Y5" s="27"/>
      <c r="Z5" s="27"/>
      <c r="AA5" s="27"/>
      <c r="AB5" s="27"/>
      <c r="AC5" s="27"/>
      <c r="AD5" s="30" t="s">
        <v>86</v>
      </c>
      <c r="AE5" s="27"/>
      <c r="AF5" s="27"/>
      <c r="AG5" s="27"/>
      <c r="AH5" s="27"/>
      <c r="AI5" s="27"/>
      <c r="AJ5" s="27"/>
    </row>
    <row r="6" spans="1:36" ht="16" x14ac:dyDescent="0.35">
      <c r="A6" s="49"/>
      <c r="B6" s="50"/>
      <c r="C6" s="50"/>
      <c r="D6" s="50"/>
      <c r="E6" s="59"/>
      <c r="F6" s="49"/>
      <c r="G6" s="50"/>
      <c r="H6" s="50"/>
      <c r="I6" s="53"/>
      <c r="J6" s="49"/>
      <c r="K6" s="49"/>
      <c r="L6" s="46" t="s">
        <v>87</v>
      </c>
      <c r="M6" s="10">
        <v>0.27083333333333331</v>
      </c>
      <c r="N6" s="10">
        <v>0.375</v>
      </c>
      <c r="O6" s="10">
        <v>0.52083333333333337</v>
      </c>
      <c r="P6" s="10">
        <v>0.64583333333333337</v>
      </c>
      <c r="Q6" s="10">
        <v>0.75</v>
      </c>
      <c r="R6" s="10">
        <v>0.83333333333333337</v>
      </c>
      <c r="S6" s="10"/>
      <c r="T6" s="11">
        <v>0.27083333333333331</v>
      </c>
      <c r="U6" s="11">
        <v>0.375</v>
      </c>
      <c r="V6" s="11">
        <v>0.48819444444444443</v>
      </c>
      <c r="W6" s="11">
        <v>0.6645833333333333</v>
      </c>
      <c r="X6" s="11">
        <v>0.75</v>
      </c>
      <c r="Y6" s="11">
        <v>0.79166666666666663</v>
      </c>
      <c r="Z6" s="11"/>
      <c r="AA6" s="11"/>
      <c r="AB6" s="11"/>
      <c r="AC6" s="27"/>
      <c r="AD6" s="31" t="s">
        <v>88</v>
      </c>
      <c r="AE6" s="31">
        <v>0.27083333333333331</v>
      </c>
      <c r="AF6" s="31">
        <v>0.29166666666666669</v>
      </c>
      <c r="AG6" s="31">
        <v>0.40625</v>
      </c>
      <c r="AH6" s="31">
        <v>0.46875</v>
      </c>
      <c r="AI6" s="31">
        <v>0.61458333333333337</v>
      </c>
      <c r="AJ6" s="31"/>
    </row>
    <row r="7" spans="1:36" ht="18.5" x14ac:dyDescent="0.35">
      <c r="A7" s="32" t="s">
        <v>18</v>
      </c>
      <c r="B7" s="32" t="s">
        <v>19</v>
      </c>
      <c r="C7" s="32" t="s">
        <v>20</v>
      </c>
      <c r="D7" s="33">
        <v>184</v>
      </c>
      <c r="E7" s="14">
        <v>0</v>
      </c>
      <c r="F7" s="15">
        <v>112</v>
      </c>
      <c r="G7" s="33"/>
      <c r="H7" s="33">
        <v>72</v>
      </c>
      <c r="I7" s="33">
        <v>0</v>
      </c>
      <c r="J7" s="33">
        <v>96</v>
      </c>
      <c r="K7" s="33">
        <v>0</v>
      </c>
      <c r="L7" s="34"/>
      <c r="M7" s="8"/>
      <c r="N7" s="8"/>
      <c r="O7" s="8">
        <v>96</v>
      </c>
      <c r="P7" s="8"/>
      <c r="Q7" s="8"/>
      <c r="R7" s="8"/>
      <c r="S7" s="8"/>
      <c r="T7" s="9"/>
      <c r="U7" s="9"/>
      <c r="V7" s="9"/>
      <c r="W7" s="9"/>
      <c r="X7" s="9"/>
      <c r="Y7" s="9"/>
      <c r="Z7" s="9"/>
      <c r="AA7" s="9"/>
      <c r="AB7" s="9"/>
      <c r="AC7" s="28"/>
      <c r="AD7" s="28">
        <v>0</v>
      </c>
      <c r="AE7" s="28">
        <v>0</v>
      </c>
      <c r="AF7" s="28">
        <v>0</v>
      </c>
      <c r="AG7" s="28">
        <v>-96</v>
      </c>
      <c r="AH7" s="28">
        <v>-96</v>
      </c>
      <c r="AI7" s="28">
        <v>-96</v>
      </c>
      <c r="AJ7" s="28">
        <v>-96</v>
      </c>
    </row>
    <row r="8" spans="1:36" ht="18.5" x14ac:dyDescent="0.35">
      <c r="A8" s="32" t="s">
        <v>21</v>
      </c>
      <c r="B8" s="32" t="s">
        <v>22</v>
      </c>
      <c r="C8" s="32" t="s">
        <v>23</v>
      </c>
      <c r="D8" s="33">
        <v>199</v>
      </c>
      <c r="E8" s="14">
        <v>350</v>
      </c>
      <c r="F8" s="15">
        <v>104</v>
      </c>
      <c r="G8" s="33"/>
      <c r="H8" s="33">
        <v>445</v>
      </c>
      <c r="I8" s="33">
        <v>61</v>
      </c>
      <c r="J8" s="33">
        <v>384</v>
      </c>
      <c r="K8" s="33">
        <v>0</v>
      </c>
      <c r="L8" s="34"/>
      <c r="M8" s="8"/>
      <c r="N8" s="8"/>
      <c r="O8" s="8">
        <v>96</v>
      </c>
      <c r="P8" s="8">
        <v>96</v>
      </c>
      <c r="Q8" s="8">
        <v>192</v>
      </c>
      <c r="R8" s="8"/>
      <c r="S8" s="8"/>
      <c r="T8" s="9"/>
      <c r="U8" s="9"/>
      <c r="V8" s="9">
        <v>288</v>
      </c>
      <c r="W8" s="9"/>
      <c r="X8" s="9">
        <v>96</v>
      </c>
      <c r="Y8" s="9"/>
      <c r="Z8" s="9"/>
      <c r="AA8" s="9"/>
      <c r="AB8" s="9"/>
      <c r="AC8" s="28"/>
      <c r="AD8" s="28">
        <v>0</v>
      </c>
      <c r="AE8" s="28">
        <v>0</v>
      </c>
      <c r="AF8" s="28">
        <v>0</v>
      </c>
      <c r="AG8" s="28">
        <v>-96</v>
      </c>
      <c r="AH8" s="28">
        <v>-192</v>
      </c>
      <c r="AI8" s="28">
        <v>-384</v>
      </c>
      <c r="AJ8" s="28">
        <v>-384</v>
      </c>
    </row>
    <row r="9" spans="1:36" ht="18.5" x14ac:dyDescent="0.35">
      <c r="A9" s="32" t="s">
        <v>24</v>
      </c>
      <c r="B9" s="32" t="s">
        <v>25</v>
      </c>
      <c r="C9" s="32" t="s">
        <v>26</v>
      </c>
      <c r="D9" s="33">
        <v>168</v>
      </c>
      <c r="E9" s="14">
        <v>40</v>
      </c>
      <c r="F9" s="15">
        <v>126</v>
      </c>
      <c r="G9" s="33"/>
      <c r="H9" s="33">
        <v>82</v>
      </c>
      <c r="I9" s="33">
        <v>0</v>
      </c>
      <c r="J9" s="33">
        <v>96</v>
      </c>
      <c r="K9" s="33">
        <v>0</v>
      </c>
      <c r="L9" s="34"/>
      <c r="M9" s="8"/>
      <c r="N9" s="8"/>
      <c r="O9" s="8"/>
      <c r="P9" s="8">
        <v>96</v>
      </c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28"/>
      <c r="AD9" s="28">
        <v>0</v>
      </c>
      <c r="AE9" s="28">
        <v>0</v>
      </c>
      <c r="AF9" s="28">
        <v>0</v>
      </c>
      <c r="AG9" s="28">
        <v>0</v>
      </c>
      <c r="AH9" s="28">
        <v>-96</v>
      </c>
      <c r="AI9" s="28">
        <v>-96</v>
      </c>
      <c r="AJ9" s="28">
        <v>-96</v>
      </c>
    </row>
    <row r="10" spans="1:36" ht="18.5" x14ac:dyDescent="0.35">
      <c r="A10" s="35" t="s">
        <v>27</v>
      </c>
      <c r="B10" s="32" t="s">
        <v>28</v>
      </c>
      <c r="C10" s="32" t="s">
        <v>29</v>
      </c>
      <c r="D10" s="33">
        <v>200</v>
      </c>
      <c r="E10" s="14">
        <v>14</v>
      </c>
      <c r="F10" s="15">
        <v>240</v>
      </c>
      <c r="G10" s="33"/>
      <c r="H10" s="33">
        <v>0</v>
      </c>
      <c r="I10" s="33">
        <v>0</v>
      </c>
      <c r="J10" s="33">
        <v>0</v>
      </c>
      <c r="K10" s="33">
        <v>0</v>
      </c>
      <c r="L10" s="34"/>
      <c r="M10" s="8"/>
      <c r="N10" s="8"/>
      <c r="O10" s="8"/>
      <c r="P10" s="8"/>
      <c r="Q10" s="8"/>
      <c r="R10" s="8"/>
      <c r="S10" s="8"/>
      <c r="T10" s="9"/>
      <c r="U10" s="9"/>
      <c r="V10" s="9"/>
      <c r="W10" s="9"/>
      <c r="X10" s="9"/>
      <c r="Y10" s="9"/>
      <c r="Z10" s="9"/>
      <c r="AA10" s="9"/>
      <c r="AB10" s="9"/>
      <c r="AC10" s="28"/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</row>
    <row r="11" spans="1:36" ht="18.5" x14ac:dyDescent="0.35">
      <c r="A11" s="32" t="s">
        <v>30</v>
      </c>
      <c r="B11" s="32" t="s">
        <v>31</v>
      </c>
      <c r="C11" s="32" t="s">
        <v>32</v>
      </c>
      <c r="D11" s="33">
        <v>260</v>
      </c>
      <c r="E11" s="14">
        <v>294</v>
      </c>
      <c r="F11" s="15">
        <v>241</v>
      </c>
      <c r="G11" s="33"/>
      <c r="H11" s="33">
        <v>313</v>
      </c>
      <c r="I11" s="33">
        <v>53</v>
      </c>
      <c r="J11" s="33">
        <v>260</v>
      </c>
      <c r="K11" s="33">
        <v>0</v>
      </c>
      <c r="L11" s="34"/>
      <c r="M11" s="8"/>
      <c r="N11" s="8"/>
      <c r="O11" s="8">
        <v>130</v>
      </c>
      <c r="P11" s="8">
        <v>130</v>
      </c>
      <c r="Q11" s="8"/>
      <c r="R11" s="8"/>
      <c r="S11" s="8"/>
      <c r="T11" s="9"/>
      <c r="U11" s="9"/>
      <c r="V11" s="9">
        <v>130</v>
      </c>
      <c r="W11" s="9"/>
      <c r="X11" s="9">
        <v>130</v>
      </c>
      <c r="Y11" s="9"/>
      <c r="Z11" s="9"/>
      <c r="AA11" s="9"/>
      <c r="AB11" s="9"/>
      <c r="AC11" s="28"/>
      <c r="AD11" s="28">
        <v>0</v>
      </c>
      <c r="AE11" s="28">
        <v>0</v>
      </c>
      <c r="AF11" s="28">
        <v>0</v>
      </c>
      <c r="AG11" s="28">
        <v>-130</v>
      </c>
      <c r="AH11" s="28">
        <v>-260</v>
      </c>
      <c r="AI11" s="28">
        <v>-260</v>
      </c>
      <c r="AJ11" s="28">
        <v>-260</v>
      </c>
    </row>
    <row r="12" spans="1:36" ht="18.5" x14ac:dyDescent="0.35">
      <c r="A12" s="32" t="s">
        <v>33</v>
      </c>
      <c r="B12" s="32" t="s">
        <v>34</v>
      </c>
      <c r="C12" s="32" t="s">
        <v>35</v>
      </c>
      <c r="D12" s="33">
        <v>140</v>
      </c>
      <c r="E12" s="14">
        <v>0</v>
      </c>
      <c r="F12" s="15">
        <v>200</v>
      </c>
      <c r="G12" s="33"/>
      <c r="H12" s="33">
        <v>0</v>
      </c>
      <c r="I12" s="33">
        <v>0</v>
      </c>
      <c r="J12" s="33">
        <v>0</v>
      </c>
      <c r="K12" s="33">
        <v>0</v>
      </c>
      <c r="L12" s="34"/>
      <c r="M12" s="8"/>
      <c r="N12" s="8"/>
      <c r="O12" s="8"/>
      <c r="P12" s="8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28"/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</row>
    <row r="13" spans="1:36" ht="18.5" x14ac:dyDescent="0.35">
      <c r="A13" s="32" t="s">
        <v>36</v>
      </c>
      <c r="B13" s="32" t="s">
        <v>37</v>
      </c>
      <c r="C13" s="32">
        <v>630131090</v>
      </c>
      <c r="D13" s="33">
        <v>140</v>
      </c>
      <c r="E13" s="14">
        <v>40</v>
      </c>
      <c r="F13" s="15">
        <v>160</v>
      </c>
      <c r="G13" s="33"/>
      <c r="H13" s="33">
        <v>20</v>
      </c>
      <c r="I13" s="33">
        <v>20</v>
      </c>
      <c r="J13" s="33">
        <v>0</v>
      </c>
      <c r="K13" s="33">
        <v>0</v>
      </c>
      <c r="L13" s="34"/>
      <c r="M13" s="8"/>
      <c r="N13" s="8"/>
      <c r="O13" s="8"/>
      <c r="P13" s="8"/>
      <c r="Q13" s="8"/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28"/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</row>
    <row r="14" spans="1:36" ht="18.5" x14ac:dyDescent="0.35">
      <c r="A14" s="32" t="s">
        <v>38</v>
      </c>
      <c r="B14" s="32" t="s">
        <v>39</v>
      </c>
      <c r="C14" s="32" t="s">
        <v>40</v>
      </c>
      <c r="D14" s="33">
        <v>42</v>
      </c>
      <c r="E14" s="14">
        <v>73</v>
      </c>
      <c r="F14" s="15">
        <v>14</v>
      </c>
      <c r="G14" s="33"/>
      <c r="H14" s="33">
        <v>101</v>
      </c>
      <c r="I14" s="33">
        <v>3</v>
      </c>
      <c r="J14" s="33">
        <v>98</v>
      </c>
      <c r="K14" s="33">
        <v>0</v>
      </c>
      <c r="L14" s="34"/>
      <c r="M14" s="8">
        <v>14</v>
      </c>
      <c r="N14" s="8">
        <v>14</v>
      </c>
      <c r="O14" s="8">
        <v>14</v>
      </c>
      <c r="P14" s="8">
        <v>14</v>
      </c>
      <c r="Q14" s="8">
        <v>14</v>
      </c>
      <c r="R14" s="8">
        <v>28</v>
      </c>
      <c r="S14" s="8"/>
      <c r="T14" s="9">
        <v>14</v>
      </c>
      <c r="U14" s="9">
        <v>14</v>
      </c>
      <c r="V14" s="9">
        <v>14</v>
      </c>
      <c r="W14" s="9">
        <v>14</v>
      </c>
      <c r="X14" s="9">
        <v>14</v>
      </c>
      <c r="Y14" s="9"/>
      <c r="Z14" s="9"/>
      <c r="AA14" s="9"/>
      <c r="AB14" s="9"/>
      <c r="AC14" s="28"/>
      <c r="AD14" s="28">
        <v>0</v>
      </c>
      <c r="AE14" s="28">
        <v>-14</v>
      </c>
      <c r="AF14" s="28">
        <v>-28</v>
      </c>
      <c r="AG14" s="28">
        <v>-42</v>
      </c>
      <c r="AH14" s="28">
        <v>-56</v>
      </c>
      <c r="AI14" s="28">
        <v>-70</v>
      </c>
      <c r="AJ14" s="28">
        <v>-98</v>
      </c>
    </row>
    <row r="15" spans="1:36" ht="18.5" x14ac:dyDescent="0.35">
      <c r="A15" s="32" t="s">
        <v>41</v>
      </c>
      <c r="B15" s="32" t="s">
        <v>42</v>
      </c>
      <c r="C15" s="32" t="s">
        <v>43</v>
      </c>
      <c r="D15" s="33">
        <v>28</v>
      </c>
      <c r="E15" s="14">
        <v>6</v>
      </c>
      <c r="F15" s="15">
        <v>33</v>
      </c>
      <c r="G15" s="33"/>
      <c r="H15" s="33">
        <v>1</v>
      </c>
      <c r="I15" s="33">
        <v>0</v>
      </c>
      <c r="J15" s="33">
        <v>14</v>
      </c>
      <c r="K15" s="33">
        <v>0</v>
      </c>
      <c r="L15" s="34"/>
      <c r="M15" s="8"/>
      <c r="N15" s="8"/>
      <c r="O15" s="8">
        <v>14</v>
      </c>
      <c r="P15" s="8"/>
      <c r="Q15" s="8"/>
      <c r="R15" s="8"/>
      <c r="S15" s="8"/>
      <c r="T15" s="9"/>
      <c r="U15" s="9">
        <v>14</v>
      </c>
      <c r="V15" s="9"/>
      <c r="W15" s="9"/>
      <c r="X15" s="9"/>
      <c r="Y15" s="9"/>
      <c r="Z15" s="9"/>
      <c r="AA15" s="9"/>
      <c r="AB15" s="9"/>
      <c r="AC15" s="28"/>
      <c r="AD15" s="28">
        <v>0</v>
      </c>
      <c r="AE15" s="28">
        <v>0</v>
      </c>
      <c r="AF15" s="28">
        <v>0</v>
      </c>
      <c r="AG15" s="28">
        <v>-14</v>
      </c>
      <c r="AH15" s="28">
        <v>-14</v>
      </c>
      <c r="AI15" s="28">
        <v>-14</v>
      </c>
      <c r="AJ15" s="28">
        <v>-14</v>
      </c>
    </row>
    <row r="16" spans="1:36" ht="18.5" x14ac:dyDescent="0.35">
      <c r="A16" s="32" t="s">
        <v>44</v>
      </c>
      <c r="B16" s="32" t="s">
        <v>45</v>
      </c>
      <c r="C16" s="32" t="s">
        <v>46</v>
      </c>
      <c r="D16" s="33">
        <v>84</v>
      </c>
      <c r="E16" s="14">
        <v>277</v>
      </c>
      <c r="F16" s="15">
        <v>50</v>
      </c>
      <c r="G16" s="33"/>
      <c r="H16" s="33">
        <v>311</v>
      </c>
      <c r="I16" s="33">
        <v>3</v>
      </c>
      <c r="J16" s="33">
        <v>308</v>
      </c>
      <c r="K16" s="33">
        <v>0</v>
      </c>
      <c r="L16" s="34"/>
      <c r="M16" s="8">
        <v>14</v>
      </c>
      <c r="N16" s="8">
        <v>42</v>
      </c>
      <c r="O16" s="8">
        <v>56</v>
      </c>
      <c r="P16" s="8">
        <v>70</v>
      </c>
      <c r="Q16" s="8">
        <v>70</v>
      </c>
      <c r="R16" s="8">
        <v>56</v>
      </c>
      <c r="S16" s="8"/>
      <c r="T16" s="9">
        <v>14</v>
      </c>
      <c r="U16" s="9">
        <v>42</v>
      </c>
      <c r="V16" s="9">
        <v>42</v>
      </c>
      <c r="W16" s="9">
        <v>42</v>
      </c>
      <c r="X16" s="9">
        <v>56</v>
      </c>
      <c r="Y16" s="9">
        <v>56</v>
      </c>
      <c r="Z16" s="9"/>
      <c r="AA16" s="9"/>
      <c r="AB16" s="9"/>
      <c r="AC16" s="28"/>
      <c r="AD16" s="28">
        <v>0</v>
      </c>
      <c r="AE16" s="28">
        <v>-14</v>
      </c>
      <c r="AF16" s="28">
        <v>-56</v>
      </c>
      <c r="AG16" s="28">
        <v>-112</v>
      </c>
      <c r="AH16" s="28">
        <v>-182</v>
      </c>
      <c r="AI16" s="28">
        <v>-252</v>
      </c>
      <c r="AJ16" s="28">
        <v>-308</v>
      </c>
    </row>
    <row r="17" spans="1:36" ht="18.5" x14ac:dyDescent="0.35">
      <c r="A17" s="32" t="s">
        <v>47</v>
      </c>
      <c r="B17" s="32" t="s">
        <v>48</v>
      </c>
      <c r="C17" s="32" t="s">
        <v>49</v>
      </c>
      <c r="D17" s="33">
        <v>28</v>
      </c>
      <c r="E17" s="14">
        <v>14</v>
      </c>
      <c r="F17" s="15">
        <v>28</v>
      </c>
      <c r="G17" s="33"/>
      <c r="H17" s="33">
        <v>14</v>
      </c>
      <c r="I17" s="33">
        <v>0</v>
      </c>
      <c r="J17" s="33">
        <v>28</v>
      </c>
      <c r="K17" s="33">
        <v>0</v>
      </c>
      <c r="L17" s="34"/>
      <c r="M17" s="8">
        <v>14</v>
      </c>
      <c r="N17" s="8">
        <v>14</v>
      </c>
      <c r="O17" s="8"/>
      <c r="P17" s="8"/>
      <c r="Q17" s="8"/>
      <c r="R17" s="8"/>
      <c r="S17" s="8"/>
      <c r="T17" s="9">
        <v>14</v>
      </c>
      <c r="U17" s="9"/>
      <c r="V17" s="9"/>
      <c r="W17" s="9"/>
      <c r="X17" s="9"/>
      <c r="Y17" s="9"/>
      <c r="Z17" s="9"/>
      <c r="AA17" s="9"/>
      <c r="AB17" s="9"/>
      <c r="AC17" s="28"/>
      <c r="AD17" s="28">
        <v>0</v>
      </c>
      <c r="AE17" s="28">
        <v>-14</v>
      </c>
      <c r="AF17" s="28">
        <v>-28</v>
      </c>
      <c r="AG17" s="28">
        <v>-28</v>
      </c>
      <c r="AH17" s="28">
        <v>-28</v>
      </c>
      <c r="AI17" s="28">
        <v>-28</v>
      </c>
      <c r="AJ17" s="28">
        <v>-28</v>
      </c>
    </row>
    <row r="18" spans="1:36" ht="18.5" x14ac:dyDescent="0.35">
      <c r="A18" s="32" t="s">
        <v>50</v>
      </c>
      <c r="B18" s="32" t="s">
        <v>51</v>
      </c>
      <c r="C18" s="32" t="s">
        <v>52</v>
      </c>
      <c r="D18" s="33">
        <v>0</v>
      </c>
      <c r="E18" s="14">
        <v>0</v>
      </c>
      <c r="F18" s="15">
        <v>0</v>
      </c>
      <c r="G18" s="33"/>
      <c r="H18" s="33">
        <v>0</v>
      </c>
      <c r="I18" s="33">
        <v>0</v>
      </c>
      <c r="J18" s="33">
        <v>0</v>
      </c>
      <c r="K18" s="33">
        <v>0</v>
      </c>
      <c r="L18" s="34"/>
      <c r="M18" s="8"/>
      <c r="N18" s="8"/>
      <c r="O18" s="8"/>
      <c r="P18" s="8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28"/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</row>
    <row r="19" spans="1:36" ht="18.5" x14ac:dyDescent="0.35">
      <c r="A19" s="32" t="s">
        <v>53</v>
      </c>
      <c r="B19" s="32" t="s">
        <v>54</v>
      </c>
      <c r="C19" s="32" t="s">
        <v>55</v>
      </c>
      <c r="D19" s="33">
        <v>28</v>
      </c>
      <c r="E19" s="14">
        <v>0</v>
      </c>
      <c r="F19" s="15">
        <v>14</v>
      </c>
      <c r="G19" s="33"/>
      <c r="H19" s="33">
        <v>14</v>
      </c>
      <c r="I19" s="33">
        <v>0</v>
      </c>
      <c r="J19" s="33">
        <v>14</v>
      </c>
      <c r="K19" s="33">
        <v>0</v>
      </c>
      <c r="L19" s="34"/>
      <c r="M19" s="8">
        <v>14</v>
      </c>
      <c r="N19" s="8"/>
      <c r="O19" s="8"/>
      <c r="P19" s="8"/>
      <c r="Q19" s="8"/>
      <c r="R19" s="8"/>
      <c r="S19" s="8"/>
      <c r="T19" s="9">
        <v>14</v>
      </c>
      <c r="U19" s="9"/>
      <c r="V19" s="9"/>
      <c r="W19" s="9"/>
      <c r="X19" s="9"/>
      <c r="Y19" s="9"/>
      <c r="Z19" s="9"/>
      <c r="AA19" s="9"/>
      <c r="AB19" s="9"/>
      <c r="AC19" s="28"/>
      <c r="AD19" s="28">
        <v>0</v>
      </c>
      <c r="AE19" s="28">
        <v>-14</v>
      </c>
      <c r="AF19" s="28">
        <v>-14</v>
      </c>
      <c r="AG19" s="28">
        <v>-14</v>
      </c>
      <c r="AH19" s="28">
        <v>-14</v>
      </c>
      <c r="AI19" s="28">
        <v>-14</v>
      </c>
      <c r="AJ19" s="28">
        <v>-14</v>
      </c>
    </row>
    <row r="20" spans="1:36" ht="18.5" x14ac:dyDescent="0.35">
      <c r="A20" s="32" t="s">
        <v>56</v>
      </c>
      <c r="B20" s="32" t="s">
        <v>57</v>
      </c>
      <c r="C20" s="32" t="s">
        <v>58</v>
      </c>
      <c r="D20" s="33">
        <v>28</v>
      </c>
      <c r="E20" s="14">
        <v>12</v>
      </c>
      <c r="F20" s="15">
        <v>36</v>
      </c>
      <c r="G20" s="33"/>
      <c r="H20" s="33">
        <v>4</v>
      </c>
      <c r="I20" s="33">
        <v>0</v>
      </c>
      <c r="J20" s="33">
        <v>28</v>
      </c>
      <c r="K20" s="33">
        <v>0</v>
      </c>
      <c r="L20" s="34"/>
      <c r="M20" s="8">
        <v>14</v>
      </c>
      <c r="N20" s="8">
        <v>14</v>
      </c>
      <c r="O20" s="8"/>
      <c r="P20" s="8"/>
      <c r="Q20" s="8"/>
      <c r="R20" s="8"/>
      <c r="S20" s="8"/>
      <c r="T20" s="9">
        <v>14</v>
      </c>
      <c r="U20" s="9"/>
      <c r="V20" s="9"/>
      <c r="W20" s="9"/>
      <c r="X20" s="9"/>
      <c r="Y20" s="9">
        <v>14</v>
      </c>
      <c r="Z20" s="9"/>
      <c r="AA20" s="9"/>
      <c r="AB20" s="9"/>
      <c r="AC20" s="28"/>
      <c r="AD20" s="28">
        <v>0</v>
      </c>
      <c r="AE20" s="28">
        <v>-14</v>
      </c>
      <c r="AF20" s="28">
        <v>-28</v>
      </c>
      <c r="AG20" s="28">
        <v>-28</v>
      </c>
      <c r="AH20" s="28">
        <v>-28</v>
      </c>
      <c r="AI20" s="28">
        <v>-28</v>
      </c>
      <c r="AJ20" s="28">
        <v>-28</v>
      </c>
    </row>
    <row r="21" spans="1:36" ht="18.5" x14ac:dyDescent="0.35">
      <c r="A21" s="32" t="s">
        <v>59</v>
      </c>
      <c r="B21" s="32" t="s">
        <v>60</v>
      </c>
      <c r="C21" s="32" t="s">
        <v>61</v>
      </c>
      <c r="D21" s="33">
        <v>28</v>
      </c>
      <c r="E21" s="14">
        <v>8</v>
      </c>
      <c r="F21" s="15">
        <v>38</v>
      </c>
      <c r="G21" s="33"/>
      <c r="H21" s="33">
        <v>0</v>
      </c>
      <c r="I21" s="33">
        <v>0</v>
      </c>
      <c r="J21" s="33">
        <v>14</v>
      </c>
      <c r="K21" s="33">
        <v>0</v>
      </c>
      <c r="L21" s="34"/>
      <c r="M21" s="8">
        <v>14</v>
      </c>
      <c r="N21" s="8"/>
      <c r="O21" s="8"/>
      <c r="P21" s="8"/>
      <c r="Q21" s="8"/>
      <c r="R21" s="8"/>
      <c r="S21" s="8"/>
      <c r="T21" s="9"/>
      <c r="U21" s="9"/>
      <c r="V21" s="9"/>
      <c r="W21" s="9">
        <v>14</v>
      </c>
      <c r="X21" s="9"/>
      <c r="Y21" s="9"/>
      <c r="Z21" s="9"/>
      <c r="AA21" s="9"/>
      <c r="AB21" s="9"/>
      <c r="AC21" s="28"/>
      <c r="AD21" s="28">
        <v>0</v>
      </c>
      <c r="AE21" s="28">
        <v>-14</v>
      </c>
      <c r="AF21" s="28">
        <v>-14</v>
      </c>
      <c r="AG21" s="28">
        <v>-14</v>
      </c>
      <c r="AH21" s="28">
        <v>-14</v>
      </c>
      <c r="AI21" s="28">
        <v>-14</v>
      </c>
      <c r="AJ21" s="28">
        <v>-14</v>
      </c>
    </row>
    <row r="22" spans="1:36" ht="16" x14ac:dyDescent="0.35">
      <c r="A22" s="35">
        <v>542474700122</v>
      </c>
      <c r="B22" s="32" t="s">
        <v>89</v>
      </c>
      <c r="C22" s="32" t="s">
        <v>90</v>
      </c>
      <c r="D22" s="33">
        <v>50</v>
      </c>
      <c r="E22" s="36">
        <v>0</v>
      </c>
      <c r="F22" s="33">
        <v>55</v>
      </c>
      <c r="G22" s="33"/>
      <c r="H22" s="33">
        <v>0</v>
      </c>
      <c r="I22" s="33">
        <v>0</v>
      </c>
      <c r="J22" s="33">
        <v>0</v>
      </c>
      <c r="K22" s="33">
        <v>0</v>
      </c>
      <c r="L22" s="34"/>
      <c r="M22" s="37"/>
      <c r="N22" s="37"/>
      <c r="O22" s="37"/>
      <c r="P22" s="22"/>
      <c r="Q22" s="22"/>
      <c r="R22" s="22"/>
      <c r="S22" s="22"/>
      <c r="T22" s="38"/>
      <c r="U22" s="38"/>
      <c r="V22" s="38"/>
      <c r="W22" s="38"/>
      <c r="X22" s="38"/>
      <c r="Y22" s="38"/>
      <c r="Z22" s="28"/>
      <c r="AA22" s="28"/>
      <c r="AB22" s="28"/>
      <c r="AC22" s="28"/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</row>
    <row r="23" spans="1:36" ht="16" x14ac:dyDescent="0.35">
      <c r="A23" s="35">
        <v>542463700115</v>
      </c>
      <c r="B23" s="32" t="s">
        <v>91</v>
      </c>
      <c r="C23" s="32" t="s">
        <v>92</v>
      </c>
      <c r="D23" s="33">
        <v>50</v>
      </c>
      <c r="E23" s="36">
        <v>0</v>
      </c>
      <c r="F23" s="33">
        <v>60</v>
      </c>
      <c r="G23" s="33"/>
      <c r="H23" s="33">
        <v>0</v>
      </c>
      <c r="I23" s="33">
        <v>0</v>
      </c>
      <c r="J23" s="33">
        <v>0</v>
      </c>
      <c r="K23" s="33">
        <v>0</v>
      </c>
      <c r="L23" s="34"/>
      <c r="M23" s="37"/>
      <c r="N23" s="37"/>
      <c r="O23" s="37"/>
      <c r="P23" s="22"/>
      <c r="Q23" s="22"/>
      <c r="R23" s="22"/>
      <c r="S23" s="22"/>
      <c r="T23" s="38"/>
      <c r="U23" s="38"/>
      <c r="V23" s="38"/>
      <c r="W23" s="38"/>
      <c r="X23" s="38"/>
      <c r="Y23" s="38"/>
      <c r="Z23" s="28"/>
      <c r="AA23" s="28"/>
      <c r="AB23" s="28"/>
      <c r="AC23" s="28"/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</row>
    <row r="24" spans="1:36" ht="16" x14ac:dyDescent="0.35">
      <c r="A24" s="35">
        <v>542463700114</v>
      </c>
      <c r="B24" s="32" t="s">
        <v>93</v>
      </c>
      <c r="C24" s="32" t="s">
        <v>94</v>
      </c>
      <c r="D24" s="33">
        <v>50</v>
      </c>
      <c r="E24" s="36">
        <v>0</v>
      </c>
      <c r="F24" s="33">
        <v>42</v>
      </c>
      <c r="G24" s="33"/>
      <c r="H24" s="33">
        <v>8</v>
      </c>
      <c r="I24" s="33">
        <v>8</v>
      </c>
      <c r="J24" s="33">
        <v>0</v>
      </c>
      <c r="K24" s="33">
        <v>0</v>
      </c>
      <c r="L24" s="34"/>
      <c r="M24" s="37"/>
      <c r="N24" s="37"/>
      <c r="O24" s="37"/>
      <c r="P24" s="22"/>
      <c r="Q24" s="22"/>
      <c r="R24" s="22"/>
      <c r="S24" s="22"/>
      <c r="T24" s="38"/>
      <c r="U24" s="38"/>
      <c r="V24" s="38"/>
      <c r="W24" s="38"/>
      <c r="X24" s="38"/>
      <c r="Y24" s="38"/>
      <c r="Z24" s="28"/>
      <c r="AA24" s="28"/>
      <c r="AB24" s="28"/>
      <c r="AC24" s="28"/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</row>
    <row r="25" spans="1:36" ht="16" x14ac:dyDescent="0.35">
      <c r="A25" s="35">
        <v>542472700140</v>
      </c>
      <c r="B25" s="32" t="s">
        <v>95</v>
      </c>
      <c r="C25" s="32" t="s">
        <v>96</v>
      </c>
      <c r="D25" s="33">
        <v>50</v>
      </c>
      <c r="E25" s="36">
        <v>0</v>
      </c>
      <c r="F25" s="33">
        <v>60</v>
      </c>
      <c r="G25" s="33"/>
      <c r="H25" s="33">
        <v>0</v>
      </c>
      <c r="I25" s="33">
        <v>0</v>
      </c>
      <c r="J25" s="33">
        <v>0</v>
      </c>
      <c r="K25" s="33">
        <v>0</v>
      </c>
      <c r="L25" s="34"/>
      <c r="M25" s="37"/>
      <c r="N25" s="37"/>
      <c r="O25" s="37"/>
      <c r="P25" s="22"/>
      <c r="Q25" s="22"/>
      <c r="R25" s="22"/>
      <c r="S25" s="22"/>
      <c r="T25" s="38"/>
      <c r="U25" s="38"/>
      <c r="V25" s="38"/>
      <c r="W25" s="38"/>
      <c r="X25" s="38"/>
      <c r="Y25" s="38"/>
      <c r="Z25" s="28"/>
      <c r="AA25" s="28"/>
      <c r="AB25" s="28"/>
      <c r="AC25" s="28"/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</row>
    <row r="26" spans="1:36" ht="16" x14ac:dyDescent="0.35">
      <c r="A26" s="35">
        <v>542472700139</v>
      </c>
      <c r="B26" s="32" t="s">
        <v>97</v>
      </c>
      <c r="C26" s="32" t="s">
        <v>98</v>
      </c>
      <c r="D26" s="33">
        <v>50</v>
      </c>
      <c r="E26" s="36">
        <v>0</v>
      </c>
      <c r="F26" s="33">
        <v>40</v>
      </c>
      <c r="G26" s="33"/>
      <c r="H26" s="33">
        <v>10</v>
      </c>
      <c r="I26" s="33">
        <v>10</v>
      </c>
      <c r="J26" s="33">
        <v>0</v>
      </c>
      <c r="K26" s="33">
        <v>0</v>
      </c>
      <c r="L26" s="34"/>
      <c r="M26" s="37"/>
      <c r="N26" s="37"/>
      <c r="O26" s="37"/>
      <c r="P26" s="22"/>
      <c r="Q26" s="22"/>
      <c r="R26" s="22"/>
      <c r="S26" s="22"/>
      <c r="T26" s="38"/>
      <c r="U26" s="38"/>
      <c r="V26" s="38"/>
      <c r="W26" s="38"/>
      <c r="X26" s="38"/>
      <c r="Y26" s="38"/>
      <c r="Z26" s="28"/>
      <c r="AA26" s="28"/>
      <c r="AB26" s="28"/>
      <c r="AC26" s="28"/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</row>
    <row r="27" spans="1:36" ht="16" x14ac:dyDescent="0.35">
      <c r="A27" s="35">
        <v>542473700124</v>
      </c>
      <c r="B27" s="32" t="s">
        <v>99</v>
      </c>
      <c r="C27" s="32" t="s">
        <v>100</v>
      </c>
      <c r="D27" s="33">
        <v>50</v>
      </c>
      <c r="E27" s="36">
        <v>0</v>
      </c>
      <c r="F27" s="33">
        <v>35</v>
      </c>
      <c r="G27" s="33"/>
      <c r="H27" s="33">
        <v>15</v>
      </c>
      <c r="I27" s="33">
        <v>15</v>
      </c>
      <c r="J27" s="33">
        <v>0</v>
      </c>
      <c r="K27" s="33">
        <v>0</v>
      </c>
      <c r="L27" s="34"/>
      <c r="M27" s="37"/>
      <c r="N27" s="37"/>
      <c r="O27" s="37"/>
      <c r="P27" s="22"/>
      <c r="Q27" s="22"/>
      <c r="R27" s="22"/>
      <c r="S27" s="22"/>
      <c r="T27" s="38"/>
      <c r="U27" s="38"/>
      <c r="V27" s="38"/>
      <c r="W27" s="38"/>
      <c r="X27" s="38"/>
      <c r="Y27" s="38"/>
      <c r="Z27" s="28"/>
      <c r="AA27" s="28"/>
      <c r="AB27" s="28"/>
      <c r="AC27" s="28"/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</row>
    <row r="28" spans="1:36" ht="16" x14ac:dyDescent="0.35">
      <c r="A28" s="35">
        <v>542473700123</v>
      </c>
      <c r="B28" s="32" t="s">
        <v>101</v>
      </c>
      <c r="C28" s="32" t="s">
        <v>102</v>
      </c>
      <c r="D28" s="33">
        <v>50</v>
      </c>
      <c r="E28" s="36">
        <v>0</v>
      </c>
      <c r="F28" s="33">
        <v>36</v>
      </c>
      <c r="G28" s="33"/>
      <c r="H28" s="33">
        <v>14</v>
      </c>
      <c r="I28" s="33">
        <v>14</v>
      </c>
      <c r="J28" s="33">
        <v>0</v>
      </c>
      <c r="K28" s="33">
        <v>0</v>
      </c>
      <c r="L28" s="34"/>
      <c r="M28" s="37"/>
      <c r="N28" s="37"/>
      <c r="O28" s="37"/>
      <c r="P28" s="22"/>
      <c r="Q28" s="22"/>
      <c r="R28" s="22"/>
      <c r="S28" s="22"/>
      <c r="T28" s="38"/>
      <c r="U28" s="38"/>
      <c r="V28" s="38"/>
      <c r="W28" s="38"/>
      <c r="X28" s="38"/>
      <c r="Y28" s="38"/>
      <c r="Z28" s="28"/>
      <c r="AA28" s="28"/>
      <c r="AB28" s="28"/>
      <c r="AC28" s="28"/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</row>
    <row r="29" spans="1:36" ht="16" x14ac:dyDescent="0.35">
      <c r="A29" s="39">
        <v>542488100121</v>
      </c>
      <c r="B29" s="40" t="s">
        <v>103</v>
      </c>
      <c r="C29" s="40" t="s">
        <v>104</v>
      </c>
      <c r="D29" s="33">
        <v>50</v>
      </c>
      <c r="E29" s="36">
        <v>0</v>
      </c>
      <c r="F29" s="8">
        <v>250</v>
      </c>
      <c r="G29" s="33"/>
      <c r="H29" s="33">
        <v>0</v>
      </c>
      <c r="I29" s="33">
        <v>0</v>
      </c>
      <c r="J29" s="33">
        <v>0</v>
      </c>
      <c r="K29" s="33">
        <v>0</v>
      </c>
      <c r="L29" s="34"/>
      <c r="M29" s="37"/>
      <c r="N29" s="37"/>
      <c r="O29" s="37"/>
      <c r="P29" s="22"/>
      <c r="Q29" s="22"/>
      <c r="R29" s="22"/>
      <c r="S29" s="22"/>
      <c r="T29" s="38"/>
      <c r="U29" s="38"/>
      <c r="V29" s="38"/>
      <c r="W29" s="38"/>
      <c r="X29" s="38"/>
      <c r="Y29" s="38"/>
      <c r="Z29" s="28"/>
      <c r="AA29" s="28"/>
      <c r="AB29" s="28"/>
      <c r="AC29" s="28"/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</row>
    <row r="30" spans="1:36" ht="16" x14ac:dyDescent="0.35">
      <c r="A30" s="39">
        <v>542488100120</v>
      </c>
      <c r="B30" s="40" t="s">
        <v>105</v>
      </c>
      <c r="C30" s="40" t="s">
        <v>106</v>
      </c>
      <c r="D30" s="33">
        <v>50</v>
      </c>
      <c r="E30" s="36">
        <v>0</v>
      </c>
      <c r="F30" s="8">
        <v>50</v>
      </c>
      <c r="G30" s="33"/>
      <c r="H30" s="33">
        <v>0</v>
      </c>
      <c r="I30" s="33">
        <v>0</v>
      </c>
      <c r="J30" s="33">
        <v>0</v>
      </c>
      <c r="K30" s="33">
        <v>0</v>
      </c>
      <c r="L30" s="34"/>
      <c r="M30" s="37"/>
      <c r="N30" s="37"/>
      <c r="O30" s="37"/>
      <c r="P30" s="22"/>
      <c r="Q30" s="22"/>
      <c r="R30" s="22"/>
      <c r="S30" s="22"/>
      <c r="T30" s="38"/>
      <c r="U30" s="38"/>
      <c r="V30" s="38"/>
      <c r="W30" s="38"/>
      <c r="X30" s="38"/>
      <c r="Y30" s="38"/>
      <c r="Z30" s="28"/>
      <c r="AA30" s="28"/>
      <c r="AB30" s="28"/>
      <c r="AC30" s="28"/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</row>
    <row r="31" spans="1:36" ht="16" x14ac:dyDescent="0.35">
      <c r="A31" s="39">
        <v>542488100123</v>
      </c>
      <c r="B31" s="40" t="s">
        <v>107</v>
      </c>
      <c r="C31" s="40" t="s">
        <v>108</v>
      </c>
      <c r="D31" s="33">
        <v>50</v>
      </c>
      <c r="E31" s="36">
        <v>0</v>
      </c>
      <c r="F31" s="8">
        <v>70</v>
      </c>
      <c r="G31" s="33"/>
      <c r="H31" s="33">
        <v>0</v>
      </c>
      <c r="I31" s="33">
        <v>0</v>
      </c>
      <c r="J31" s="33">
        <v>0</v>
      </c>
      <c r="K31" s="33">
        <v>0</v>
      </c>
      <c r="L31" s="34"/>
      <c r="M31" s="37"/>
      <c r="N31" s="37"/>
      <c r="O31" s="37"/>
      <c r="P31" s="22"/>
      <c r="Q31" s="22"/>
      <c r="R31" s="22"/>
      <c r="S31" s="22"/>
      <c r="T31" s="38"/>
      <c r="U31" s="38"/>
      <c r="V31" s="38"/>
      <c r="W31" s="38"/>
      <c r="X31" s="38"/>
      <c r="Y31" s="38"/>
      <c r="Z31" s="28"/>
      <c r="AA31" s="28"/>
      <c r="AB31" s="28"/>
      <c r="AC31" s="28"/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</row>
    <row r="32" spans="1:36" ht="16" x14ac:dyDescent="0.35">
      <c r="A32" s="39">
        <v>542488100122</v>
      </c>
      <c r="B32" s="40" t="s">
        <v>109</v>
      </c>
      <c r="C32" s="40" t="s">
        <v>110</v>
      </c>
      <c r="D32" s="33">
        <v>50</v>
      </c>
      <c r="E32" s="36">
        <v>0</v>
      </c>
      <c r="F32" s="8">
        <v>30</v>
      </c>
      <c r="G32" s="33"/>
      <c r="H32" s="33">
        <v>20</v>
      </c>
      <c r="I32" s="33">
        <v>20</v>
      </c>
      <c r="J32" s="33">
        <v>0</v>
      </c>
      <c r="K32" s="33">
        <v>0</v>
      </c>
      <c r="L32" s="34"/>
      <c r="M32" s="37"/>
      <c r="N32" s="37"/>
      <c r="O32" s="37"/>
      <c r="P32" s="22"/>
      <c r="Q32" s="22"/>
      <c r="R32" s="22"/>
      <c r="S32" s="22"/>
      <c r="T32" s="38"/>
      <c r="U32" s="38"/>
      <c r="V32" s="38"/>
      <c r="W32" s="38"/>
      <c r="X32" s="38"/>
      <c r="Y32" s="38"/>
      <c r="Z32" s="28"/>
      <c r="AA32" s="28"/>
      <c r="AB32" s="28"/>
      <c r="AC32" s="28"/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</row>
    <row r="33" spans="1:36" ht="16" x14ac:dyDescent="0.35">
      <c r="A33" s="35">
        <v>542490600102</v>
      </c>
      <c r="B33" s="32" t="s">
        <v>111</v>
      </c>
      <c r="C33" s="32" t="s">
        <v>112</v>
      </c>
      <c r="D33" s="33">
        <v>50</v>
      </c>
      <c r="E33" s="36">
        <v>0</v>
      </c>
      <c r="F33" s="33">
        <v>40</v>
      </c>
      <c r="G33" s="33"/>
      <c r="H33" s="33">
        <v>10</v>
      </c>
      <c r="I33" s="33">
        <v>10</v>
      </c>
      <c r="J33" s="33">
        <v>0</v>
      </c>
      <c r="K33" s="33">
        <v>0</v>
      </c>
      <c r="L33" s="34"/>
      <c r="M33" s="37"/>
      <c r="N33" s="37"/>
      <c r="O33" s="37"/>
      <c r="P33" s="22"/>
      <c r="Q33" s="22"/>
      <c r="R33" s="22"/>
      <c r="S33" s="22"/>
      <c r="T33" s="38"/>
      <c r="U33" s="38"/>
      <c r="V33" s="38"/>
      <c r="W33" s="38"/>
      <c r="X33" s="38"/>
      <c r="Y33" s="38"/>
      <c r="Z33" s="28"/>
      <c r="AA33" s="28"/>
      <c r="AB33" s="28"/>
      <c r="AC33" s="28"/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</row>
    <row r="34" spans="1:36" ht="16" x14ac:dyDescent="0.35">
      <c r="A34" s="35">
        <v>542490600101</v>
      </c>
      <c r="B34" s="32" t="s">
        <v>113</v>
      </c>
      <c r="C34" s="32" t="s">
        <v>114</v>
      </c>
      <c r="D34" s="33">
        <v>50</v>
      </c>
      <c r="E34" s="36">
        <v>0</v>
      </c>
      <c r="F34" s="33">
        <v>40</v>
      </c>
      <c r="G34" s="33"/>
      <c r="H34" s="33">
        <v>10</v>
      </c>
      <c r="I34" s="33">
        <v>10</v>
      </c>
      <c r="J34" s="33">
        <v>0</v>
      </c>
      <c r="K34" s="33">
        <v>0</v>
      </c>
      <c r="L34" s="34"/>
      <c r="M34" s="37"/>
      <c r="N34" s="37"/>
      <c r="O34" s="37"/>
      <c r="P34" s="22"/>
      <c r="Q34" s="22"/>
      <c r="R34" s="22"/>
      <c r="S34" s="22"/>
      <c r="T34" s="38"/>
      <c r="U34" s="38"/>
      <c r="V34" s="38"/>
      <c r="W34" s="38"/>
      <c r="X34" s="38"/>
      <c r="Y34" s="38"/>
      <c r="Z34" s="28"/>
      <c r="AA34" s="28"/>
      <c r="AB34" s="28"/>
      <c r="AC34" s="28"/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</row>
    <row r="35" spans="1:36" ht="16" x14ac:dyDescent="0.35">
      <c r="A35" s="33"/>
      <c r="B35" s="33"/>
      <c r="C35" s="33"/>
      <c r="D35" s="33"/>
      <c r="E35" s="33"/>
      <c r="F35" s="33"/>
      <c r="G35" s="33"/>
      <c r="H35" s="33"/>
      <c r="I35" s="33"/>
      <c r="J35" s="33">
        <v>1.625</v>
      </c>
      <c r="K35" s="33">
        <v>0</v>
      </c>
      <c r="L35" s="34"/>
      <c r="M35" s="10">
        <v>0.25</v>
      </c>
      <c r="N35" s="10">
        <v>0.33333333333333331</v>
      </c>
      <c r="O35" s="10">
        <v>0.45833333333333331</v>
      </c>
      <c r="P35" s="10">
        <v>0.58333333333333337</v>
      </c>
      <c r="Q35" s="10"/>
      <c r="R35" s="17"/>
      <c r="S35" s="8"/>
      <c r="T35" s="11">
        <v>0.25</v>
      </c>
      <c r="U35" s="11">
        <v>0.40416666666666667</v>
      </c>
      <c r="V35" s="11">
        <v>0.47638888888888886</v>
      </c>
      <c r="W35" s="11">
        <v>0.56458333333333333</v>
      </c>
      <c r="X35" s="11">
        <v>0.70833333333333337</v>
      </c>
      <c r="Y35" s="11"/>
      <c r="Z35" s="11"/>
      <c r="AA35" s="11"/>
      <c r="AB35" s="31"/>
      <c r="AC35" s="41"/>
      <c r="AD35" s="31" t="s">
        <v>88</v>
      </c>
      <c r="AE35" s="31">
        <v>0.27083333333333331</v>
      </c>
      <c r="AF35" s="31"/>
      <c r="AG35" s="31"/>
      <c r="AH35" s="31"/>
      <c r="AI35" s="31"/>
      <c r="AJ35" s="31"/>
    </row>
    <row r="36" spans="1:36" ht="18.5" x14ac:dyDescent="0.35">
      <c r="A36" s="32" t="s">
        <v>62</v>
      </c>
      <c r="B36" s="32" t="s">
        <v>63</v>
      </c>
      <c r="C36" s="32" t="s">
        <v>64</v>
      </c>
      <c r="D36" s="33">
        <v>80</v>
      </c>
      <c r="E36" s="14">
        <v>179</v>
      </c>
      <c r="F36" s="15">
        <v>12</v>
      </c>
      <c r="G36" s="33"/>
      <c r="H36" s="33">
        <v>247</v>
      </c>
      <c r="I36" s="33">
        <v>0</v>
      </c>
      <c r="J36" s="33">
        <v>248</v>
      </c>
      <c r="K36" s="33">
        <v>0</v>
      </c>
      <c r="L36" s="34"/>
      <c r="M36" s="18">
        <v>92</v>
      </c>
      <c r="N36" s="18">
        <v>28</v>
      </c>
      <c r="O36" s="18">
        <v>48</v>
      </c>
      <c r="P36" s="18">
        <v>80</v>
      </c>
      <c r="Q36" s="18"/>
      <c r="R36" s="19"/>
      <c r="S36" s="8"/>
      <c r="T36" s="9">
        <v>92</v>
      </c>
      <c r="U36" s="9">
        <v>28</v>
      </c>
      <c r="V36" s="20">
        <v>28</v>
      </c>
      <c r="W36" s="20">
        <v>32</v>
      </c>
      <c r="X36" s="20">
        <v>28</v>
      </c>
      <c r="Y36" s="20"/>
      <c r="Z36" s="20"/>
      <c r="AA36" s="20"/>
      <c r="AB36" s="42"/>
      <c r="AC36" s="28"/>
      <c r="AD36" s="28">
        <v>0</v>
      </c>
      <c r="AE36" s="28">
        <v>-92</v>
      </c>
      <c r="AF36" s="28">
        <v>-120</v>
      </c>
      <c r="AG36" s="28">
        <v>-168</v>
      </c>
      <c r="AH36" s="28">
        <v>-248</v>
      </c>
      <c r="AI36" s="28">
        <v>-248</v>
      </c>
      <c r="AJ36" s="28">
        <v>-248</v>
      </c>
    </row>
    <row r="37" spans="1:36" ht="18.5" x14ac:dyDescent="0.35">
      <c r="A37" s="32" t="s">
        <v>65</v>
      </c>
      <c r="B37" s="32" t="s">
        <v>66</v>
      </c>
      <c r="C37" s="32" t="s">
        <v>67</v>
      </c>
      <c r="D37" s="33">
        <v>32</v>
      </c>
      <c r="E37" s="14">
        <v>12</v>
      </c>
      <c r="F37" s="15">
        <v>46</v>
      </c>
      <c r="G37" s="33"/>
      <c r="H37" s="33">
        <v>0</v>
      </c>
      <c r="I37" s="33">
        <v>0</v>
      </c>
      <c r="J37" s="33">
        <v>0</v>
      </c>
      <c r="K37" s="33">
        <v>0</v>
      </c>
      <c r="L37" s="34"/>
      <c r="M37" s="8"/>
      <c r="N37" s="8"/>
      <c r="O37" s="8"/>
      <c r="P37" s="8"/>
      <c r="Q37" s="18"/>
      <c r="R37" s="22"/>
      <c r="S37" s="8"/>
      <c r="T37" s="9"/>
      <c r="U37" s="9"/>
      <c r="V37" s="9"/>
      <c r="W37" s="9"/>
      <c r="X37" s="9"/>
      <c r="Y37" s="9"/>
      <c r="Z37" s="9"/>
      <c r="AA37" s="9"/>
      <c r="AB37" s="27"/>
      <c r="AC37" s="28"/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</row>
    <row r="38" spans="1:36" ht="18.5" x14ac:dyDescent="0.35">
      <c r="A38" s="32" t="s">
        <v>68</v>
      </c>
      <c r="B38" s="32" t="s">
        <v>69</v>
      </c>
      <c r="C38" s="32" t="s">
        <v>70</v>
      </c>
      <c r="D38" s="33">
        <v>64</v>
      </c>
      <c r="E38" s="14">
        <v>8</v>
      </c>
      <c r="F38" s="15">
        <v>146</v>
      </c>
      <c r="G38" s="33"/>
      <c r="H38" s="33">
        <v>0</v>
      </c>
      <c r="I38" s="33">
        <v>0</v>
      </c>
      <c r="J38" s="33">
        <v>0</v>
      </c>
      <c r="K38" s="33">
        <v>0</v>
      </c>
      <c r="L38" s="34"/>
      <c r="M38" s="8"/>
      <c r="N38" s="8"/>
      <c r="O38" s="8"/>
      <c r="P38" s="8"/>
      <c r="Q38" s="18"/>
      <c r="R38" s="22"/>
      <c r="S38" s="8"/>
      <c r="T38" s="9"/>
      <c r="U38" s="9"/>
      <c r="V38" s="9"/>
      <c r="W38" s="9"/>
      <c r="X38" s="9"/>
      <c r="Y38" s="9"/>
      <c r="Z38" s="9"/>
      <c r="AA38" s="9"/>
      <c r="AB38" s="27"/>
      <c r="AC38" s="28"/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</row>
    <row r="39" spans="1:36" ht="18.5" x14ac:dyDescent="0.35">
      <c r="A39" s="32" t="s">
        <v>71</v>
      </c>
      <c r="B39" s="32" t="s">
        <v>72</v>
      </c>
      <c r="C39" s="32" t="s">
        <v>73</v>
      </c>
      <c r="D39" s="33">
        <v>32</v>
      </c>
      <c r="E39" s="14">
        <v>20</v>
      </c>
      <c r="F39" s="15">
        <v>51</v>
      </c>
      <c r="G39" s="33"/>
      <c r="H39" s="33">
        <v>1</v>
      </c>
      <c r="I39" s="33">
        <v>0</v>
      </c>
      <c r="J39" s="33">
        <v>48</v>
      </c>
      <c r="K39" s="33">
        <v>0</v>
      </c>
      <c r="L39" s="34"/>
      <c r="M39" s="8"/>
      <c r="N39" s="8">
        <v>16</v>
      </c>
      <c r="O39" s="8">
        <v>32</v>
      </c>
      <c r="P39" s="22"/>
      <c r="Q39" s="18"/>
      <c r="R39" s="23"/>
      <c r="S39" s="8"/>
      <c r="T39" s="9"/>
      <c r="U39" s="9">
        <v>16</v>
      </c>
      <c r="V39" s="9">
        <v>16</v>
      </c>
      <c r="W39" s="9"/>
      <c r="X39" s="9"/>
      <c r="Y39" s="9"/>
      <c r="Z39" s="9"/>
      <c r="AA39" s="9"/>
      <c r="AB39" s="27"/>
      <c r="AC39" s="28"/>
      <c r="AD39" s="28">
        <v>0</v>
      </c>
      <c r="AE39" s="28">
        <v>0</v>
      </c>
      <c r="AF39" s="28">
        <v>-16</v>
      </c>
      <c r="AG39" s="28">
        <v>-48</v>
      </c>
      <c r="AH39" s="28">
        <v>-48</v>
      </c>
      <c r="AI39" s="28">
        <v>-48</v>
      </c>
      <c r="AJ39" s="28">
        <v>-48</v>
      </c>
    </row>
    <row r="40" spans="1:36" ht="18.5" x14ac:dyDescent="0.4">
      <c r="A40" s="32" t="s">
        <v>74</v>
      </c>
      <c r="B40" s="32" t="s">
        <v>75</v>
      </c>
      <c r="C40" s="32" t="s">
        <v>76</v>
      </c>
      <c r="D40" s="33">
        <v>32</v>
      </c>
      <c r="E40" s="14">
        <v>17</v>
      </c>
      <c r="F40" s="15">
        <v>29</v>
      </c>
      <c r="G40" s="33"/>
      <c r="H40" s="33">
        <v>20</v>
      </c>
      <c r="I40" s="33">
        <v>4</v>
      </c>
      <c r="J40" s="33">
        <v>16</v>
      </c>
      <c r="K40" s="33">
        <v>0</v>
      </c>
      <c r="L40" s="34" t="s">
        <v>115</v>
      </c>
      <c r="M40" s="8"/>
      <c r="N40" s="8"/>
      <c r="O40" s="8"/>
      <c r="P40" s="22">
        <v>16</v>
      </c>
      <c r="Q40" s="18"/>
      <c r="R40" s="23"/>
      <c r="S40" s="22"/>
      <c r="T40" s="9"/>
      <c r="U40" s="9"/>
      <c r="V40" s="9"/>
      <c r="W40" s="9">
        <v>12</v>
      </c>
      <c r="X40" s="9"/>
      <c r="Y40" s="9"/>
      <c r="Z40" s="6"/>
      <c r="AA40" s="27"/>
      <c r="AB40" s="27"/>
      <c r="AC40" s="28"/>
      <c r="AD40" s="28">
        <v>0</v>
      </c>
      <c r="AE40" s="28">
        <v>0</v>
      </c>
      <c r="AF40" s="28">
        <v>0</v>
      </c>
      <c r="AG40" s="28">
        <v>0</v>
      </c>
      <c r="AH40" s="28">
        <v>-16</v>
      </c>
      <c r="AI40" s="28">
        <v>-16</v>
      </c>
      <c r="AJ40" s="28">
        <v>-16</v>
      </c>
    </row>
    <row r="45" spans="1:36" x14ac:dyDescent="0.35">
      <c r="A45">
        <v>27</v>
      </c>
    </row>
    <row r="46" spans="1:36" x14ac:dyDescent="0.35">
      <c r="A46">
        <v>32</v>
      </c>
    </row>
    <row r="47" spans="1:36" x14ac:dyDescent="0.35">
      <c r="A47">
        <v>16</v>
      </c>
    </row>
    <row r="48" spans="1:36" x14ac:dyDescent="0.35">
      <c r="A48">
        <v>12</v>
      </c>
    </row>
    <row r="49" spans="1:1" x14ac:dyDescent="0.35">
      <c r="A49">
        <v>21</v>
      </c>
    </row>
  </sheetData>
  <protectedRanges>
    <protectedRange sqref="R40" name="Range1_1_2_1_2_1_1_1_1_1_1_1_1"/>
    <protectedRange sqref="R39" name="Range1_1_2_1_2_1_1_1_1_2_1_1_1"/>
    <protectedRange sqref="R36:R38" name="Range1_1_2_1_2_1_1_1_1_2_1_2_4_1_2"/>
    <protectedRange sqref="F22:F34" name="Range1_2_1"/>
    <protectedRange sqref="Q39" name="Range1_1_2_1_2_1_1_1_1_2_1_1_1_1_1"/>
    <protectedRange sqref="Q40" name="Range1_1_2_1_2_1_1_1_1_1_1_1_1_1_1_1"/>
    <protectedRange sqref="Q36:Q38" name="Range1_1_2_1_2_1_1_1_1_2_1_2_4_1_2_1"/>
    <protectedRange sqref="P40" name="Range1_1_2_1_2_1_2_1_1_1"/>
    <protectedRange sqref="P39" name="Range1_1_2_1_2_1_1_1_1_2_1_2_4_1_1_1"/>
    <protectedRange sqref="F13" name="Range1_5_1_1"/>
    <protectedRange sqref="F12" name="Range1_2_3_1_1"/>
    <protectedRange sqref="F7:F11" name="Range1_3_2"/>
  </protectedRanges>
  <mergeCells count="15">
    <mergeCell ref="M1:S1"/>
    <mergeCell ref="T1:AD1"/>
    <mergeCell ref="AE1:AJ1"/>
    <mergeCell ref="B2:C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</mergeCells>
  <conditionalFormatting sqref="I7:K40">
    <cfRule type="cellIs" dxfId="81" priority="5" operator="greaterThan">
      <formula>0</formula>
    </cfRule>
  </conditionalFormatting>
  <conditionalFormatting sqref="P39:P40">
    <cfRule type="cellIs" dxfId="80" priority="1" operator="lessThan">
      <formula>0</formula>
    </cfRule>
  </conditionalFormatting>
  <conditionalFormatting sqref="R40">
    <cfRule type="cellIs" dxfId="79" priority="4" operator="lessThan">
      <formula>0</formula>
    </cfRule>
  </conditionalFormatting>
  <conditionalFormatting sqref="R36:S39">
    <cfRule type="cellIs" dxfId="78" priority="3" operator="lessThan">
      <formula>0</formula>
    </cfRule>
  </conditionalFormatting>
  <conditionalFormatting sqref="Z39">
    <cfRule type="cellIs" dxfId="77" priority="2" operator="lessThan">
      <formula>0</formula>
    </cfRule>
  </conditionalFormatting>
  <conditionalFormatting sqref="AA36:AA39">
    <cfRule type="cellIs" dxfId="76" priority="6" operator="lessThan">
      <formula>0</formula>
    </cfRule>
  </conditionalFormatting>
  <conditionalFormatting sqref="AE3:AJ3">
    <cfRule type="cellIs" dxfId="75" priority="7" operator="lessThan">
      <formula>0</formula>
    </cfRule>
  </conditionalFormatting>
  <conditionalFormatting sqref="AE7:AJ34 AE36:AJ40">
    <cfRule type="cellIs" dxfId="74" priority="8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98" orientation="landscape" horizontalDpi="200" verticalDpi="200" r:id="rId1"/>
  <headerFooter>
    <oddFooter>&amp;L_x000D_&amp;1#&amp;"Calibri Light"&amp;8&amp;K000000 Classified as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4543-7CA0-40E4-AE78-7FC8DF211720}">
  <sheetPr>
    <pageSetUpPr fitToPage="1"/>
  </sheetPr>
  <dimension ref="A1:W29"/>
  <sheetViews>
    <sheetView showZeros="0" zoomScale="70" zoomScaleNormal="70" workbookViewId="0">
      <pane xSplit="5" ySplit="6" topLeftCell="F13" activePane="bottomRight" state="frozen"/>
      <selection activeCell="M7" sqref="M7"/>
      <selection pane="topRight" activeCell="M7" sqref="M7"/>
      <selection pane="bottomLeft" activeCell="M7" sqref="M7"/>
      <selection pane="bottomRight" activeCell="O6" sqref="O6:T21"/>
    </sheetView>
  </sheetViews>
  <sheetFormatPr defaultRowHeight="16" x14ac:dyDescent="0.4"/>
  <cols>
    <col min="1" max="1" width="18.26953125" style="1" bestFit="1" customWidth="1"/>
    <col min="2" max="2" width="18.54296875" style="1" bestFit="1" customWidth="1"/>
    <col min="3" max="3" width="17" style="1" customWidth="1"/>
    <col min="4" max="4" width="12.54296875" style="1" bestFit="1" customWidth="1"/>
    <col min="5" max="7" width="12" style="1" customWidth="1"/>
    <col min="8" max="8" width="9.08984375" style="1" customWidth="1"/>
    <col min="9" max="9" width="6.453125" style="1" bestFit="1" customWidth="1"/>
    <col min="10" max="15" width="6.36328125" style="1" customWidth="1"/>
    <col min="16" max="16" width="6.453125" style="1" bestFit="1" customWidth="1"/>
    <col min="17" max="23" width="6.36328125" style="1" customWidth="1"/>
    <col min="24" max="16384" width="8.7265625" style="1"/>
  </cols>
  <sheetData>
    <row r="1" spans="1:23" ht="18.5" x14ac:dyDescent="0.45">
      <c r="C1" s="2">
        <v>45902</v>
      </c>
      <c r="D1" s="60"/>
      <c r="H1" s="62" t="s">
        <v>0</v>
      </c>
      <c r="I1" s="62"/>
      <c r="J1" s="62"/>
      <c r="K1" s="62"/>
      <c r="L1" s="62"/>
      <c r="M1" s="62"/>
      <c r="N1" s="3"/>
      <c r="O1" s="63" t="s">
        <v>1</v>
      </c>
      <c r="P1" s="64"/>
      <c r="Q1" s="64"/>
      <c r="R1" s="64"/>
      <c r="S1" s="64"/>
      <c r="T1" s="64"/>
      <c r="U1" s="64"/>
      <c r="V1" s="64"/>
      <c r="W1" s="64"/>
    </row>
    <row r="2" spans="1:23" x14ac:dyDescent="0.4">
      <c r="B2" s="65"/>
      <c r="C2" s="66"/>
      <c r="D2" s="61"/>
      <c r="E2" s="4"/>
      <c r="F2" s="4"/>
      <c r="G2" s="4"/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O2" s="6" t="s">
        <v>2</v>
      </c>
      <c r="P2" s="6" t="s">
        <v>3</v>
      </c>
      <c r="Q2" s="6" t="s">
        <v>4</v>
      </c>
      <c r="R2" s="6" t="s">
        <v>5</v>
      </c>
      <c r="S2" s="6" t="s">
        <v>6</v>
      </c>
      <c r="T2" s="6" t="s">
        <v>7</v>
      </c>
      <c r="U2" s="6" t="s">
        <v>8</v>
      </c>
      <c r="V2" s="6" t="s">
        <v>9</v>
      </c>
      <c r="W2" s="6"/>
    </row>
    <row r="3" spans="1:23" x14ac:dyDescent="0.4">
      <c r="A3" s="59" t="s">
        <v>10</v>
      </c>
      <c r="B3" s="67" t="s">
        <v>11</v>
      </c>
      <c r="C3" s="67" t="s">
        <v>12</v>
      </c>
      <c r="D3" s="59" t="s">
        <v>13</v>
      </c>
      <c r="E3" s="7" t="s">
        <v>14</v>
      </c>
      <c r="F3" s="68" t="s">
        <v>122</v>
      </c>
      <c r="G3" s="68" t="s">
        <v>123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/>
      <c r="W3" s="9"/>
    </row>
    <row r="4" spans="1:23" x14ac:dyDescent="0.4">
      <c r="A4" s="59"/>
      <c r="B4" s="67"/>
      <c r="C4" s="67"/>
      <c r="D4" s="59"/>
      <c r="E4" s="7" t="s">
        <v>15</v>
      </c>
      <c r="F4" s="69"/>
      <c r="G4" s="69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</row>
    <row r="5" spans="1:23" x14ac:dyDescent="0.4">
      <c r="A5" s="59"/>
      <c r="B5" s="67"/>
      <c r="C5" s="67"/>
      <c r="D5" s="59"/>
      <c r="E5" s="7" t="s">
        <v>16</v>
      </c>
      <c r="F5" s="69"/>
      <c r="G5" s="69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</row>
    <row r="6" spans="1:23" ht="16" customHeight="1" x14ac:dyDescent="0.4">
      <c r="A6" s="59"/>
      <c r="B6" s="67"/>
      <c r="C6" s="67"/>
      <c r="D6" s="59"/>
      <c r="E6" s="7" t="s">
        <v>17</v>
      </c>
      <c r="F6" s="70"/>
      <c r="G6" s="70"/>
      <c r="H6" s="10">
        <v>0.27083333333333331</v>
      </c>
      <c r="I6" s="10">
        <v>0.375</v>
      </c>
      <c r="J6" s="10">
        <v>0.52083333333333337</v>
      </c>
      <c r="K6" s="10">
        <v>0.64583333333333337</v>
      </c>
      <c r="L6" s="10">
        <v>0.75</v>
      </c>
      <c r="M6" s="10">
        <v>0.83333333333333337</v>
      </c>
      <c r="N6" s="10">
        <v>0</v>
      </c>
      <c r="O6" s="11">
        <v>0.27083333333333331</v>
      </c>
      <c r="P6" s="11">
        <v>0.375</v>
      </c>
      <c r="Q6" s="11">
        <v>0.48819444444444443</v>
      </c>
      <c r="R6" s="11">
        <v>0.6645833333333333</v>
      </c>
      <c r="S6" s="11">
        <v>0.75</v>
      </c>
      <c r="T6" s="11">
        <v>0.79166666666666663</v>
      </c>
      <c r="U6" s="11">
        <v>0</v>
      </c>
      <c r="V6" s="11"/>
      <c r="W6" s="12"/>
    </row>
    <row r="7" spans="1:23" ht="17.5" customHeight="1" x14ac:dyDescent="0.4">
      <c r="A7" s="13" t="s">
        <v>18</v>
      </c>
      <c r="B7" s="13" t="s">
        <v>19</v>
      </c>
      <c r="C7" s="13" t="s">
        <v>20</v>
      </c>
      <c r="D7" s="14">
        <v>0</v>
      </c>
      <c r="E7" s="15">
        <v>112</v>
      </c>
      <c r="F7" s="15">
        <v>96</v>
      </c>
      <c r="G7" s="15">
        <v>0</v>
      </c>
      <c r="H7" s="8">
        <v>0</v>
      </c>
      <c r="I7" s="8">
        <v>0</v>
      </c>
      <c r="J7" s="8">
        <v>0</v>
      </c>
      <c r="K7" s="8">
        <v>0</v>
      </c>
      <c r="L7" s="8">
        <v>96</v>
      </c>
      <c r="M7" s="8">
        <v>0</v>
      </c>
      <c r="N7" s="8">
        <v>0</v>
      </c>
      <c r="O7" s="9"/>
      <c r="P7" s="9"/>
      <c r="Q7" s="9"/>
      <c r="R7" s="9"/>
      <c r="S7" s="9"/>
      <c r="T7" s="9"/>
      <c r="U7" s="9">
        <v>0</v>
      </c>
      <c r="V7" s="9"/>
      <c r="W7" s="9"/>
    </row>
    <row r="8" spans="1:23" ht="17.5" customHeight="1" x14ac:dyDescent="0.4">
      <c r="A8" s="13" t="s">
        <v>21</v>
      </c>
      <c r="B8" s="13" t="s">
        <v>22</v>
      </c>
      <c r="C8" s="13" t="s">
        <v>23</v>
      </c>
      <c r="D8" s="14">
        <v>350</v>
      </c>
      <c r="E8" s="15">
        <v>192</v>
      </c>
      <c r="F8" s="15">
        <v>384</v>
      </c>
      <c r="G8" s="15">
        <v>0</v>
      </c>
      <c r="H8" s="8">
        <v>0</v>
      </c>
      <c r="I8" s="8">
        <v>0</v>
      </c>
      <c r="J8" s="8">
        <v>0</v>
      </c>
      <c r="K8" s="8">
        <v>0</v>
      </c>
      <c r="L8" s="8">
        <v>96</v>
      </c>
      <c r="M8" s="8">
        <v>96</v>
      </c>
      <c r="N8" s="8">
        <v>192</v>
      </c>
      <c r="O8" s="9"/>
      <c r="P8" s="9"/>
      <c r="Q8" s="9">
        <v>288</v>
      </c>
      <c r="R8" s="9"/>
      <c r="S8" s="9">
        <v>96</v>
      </c>
      <c r="T8" s="9"/>
      <c r="U8" s="9">
        <v>0</v>
      </c>
      <c r="V8" s="9"/>
      <c r="W8" s="9"/>
    </row>
    <row r="9" spans="1:23" ht="17.5" customHeight="1" x14ac:dyDescent="0.4">
      <c r="A9" s="13" t="s">
        <v>24</v>
      </c>
      <c r="B9" s="13" t="s">
        <v>25</v>
      </c>
      <c r="C9" s="13" t="s">
        <v>26</v>
      </c>
      <c r="D9" s="14">
        <v>40</v>
      </c>
      <c r="E9" s="15">
        <v>40</v>
      </c>
      <c r="F9" s="15">
        <v>96</v>
      </c>
      <c r="G9" s="15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96</v>
      </c>
      <c r="N9" s="8">
        <v>0</v>
      </c>
      <c r="O9" s="9"/>
      <c r="P9" s="9"/>
      <c r="Q9" s="9"/>
      <c r="R9" s="9"/>
      <c r="S9" s="9"/>
      <c r="T9" s="9"/>
      <c r="U9" s="9">
        <v>0</v>
      </c>
      <c r="V9" s="9"/>
      <c r="W9" s="9"/>
    </row>
    <row r="10" spans="1:23" ht="17.5" customHeight="1" x14ac:dyDescent="0.4">
      <c r="A10" s="16" t="s">
        <v>27</v>
      </c>
      <c r="B10" s="13" t="s">
        <v>28</v>
      </c>
      <c r="C10" s="13" t="s">
        <v>29</v>
      </c>
      <c r="D10" s="14">
        <v>14</v>
      </c>
      <c r="E10" s="15">
        <v>240</v>
      </c>
      <c r="F10" s="15">
        <v>0</v>
      </c>
      <c r="G10" s="15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9"/>
      <c r="P10" s="9"/>
      <c r="Q10" s="9"/>
      <c r="R10" s="9"/>
      <c r="S10" s="9"/>
      <c r="T10" s="9"/>
      <c r="U10" s="9">
        <v>0</v>
      </c>
      <c r="V10" s="9"/>
      <c r="W10" s="9"/>
    </row>
    <row r="11" spans="1:23" ht="17.5" customHeight="1" x14ac:dyDescent="0.4">
      <c r="A11" s="13" t="s">
        <v>30</v>
      </c>
      <c r="B11" s="13" t="s">
        <v>31</v>
      </c>
      <c r="C11" s="13" t="s">
        <v>32</v>
      </c>
      <c r="D11" s="14">
        <v>294</v>
      </c>
      <c r="E11" s="15">
        <v>130</v>
      </c>
      <c r="F11" s="15">
        <v>260</v>
      </c>
      <c r="G11" s="15">
        <v>0</v>
      </c>
      <c r="H11" s="8">
        <v>0</v>
      </c>
      <c r="I11" s="8">
        <v>0</v>
      </c>
      <c r="J11" s="8">
        <v>0</v>
      </c>
      <c r="K11" s="8">
        <v>0</v>
      </c>
      <c r="L11" s="8">
        <v>130</v>
      </c>
      <c r="M11" s="8">
        <v>130</v>
      </c>
      <c r="N11" s="8">
        <v>0</v>
      </c>
      <c r="O11" s="9"/>
      <c r="P11" s="9"/>
      <c r="Q11" s="9">
        <v>130</v>
      </c>
      <c r="R11" s="9"/>
      <c r="S11" s="9">
        <v>130</v>
      </c>
      <c r="T11" s="9"/>
      <c r="U11" s="9">
        <v>0</v>
      </c>
      <c r="V11" s="9"/>
      <c r="W11" s="9"/>
    </row>
    <row r="12" spans="1:23" ht="17.5" customHeight="1" x14ac:dyDescent="0.4">
      <c r="A12" s="13" t="s">
        <v>33</v>
      </c>
      <c r="B12" s="13" t="s">
        <v>34</v>
      </c>
      <c r="C12" s="13" t="s">
        <v>35</v>
      </c>
      <c r="D12" s="14">
        <v>0</v>
      </c>
      <c r="E12" s="15">
        <v>200</v>
      </c>
      <c r="F12" s="15">
        <v>0</v>
      </c>
      <c r="G12" s="15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9"/>
      <c r="P12" s="9"/>
      <c r="Q12" s="9"/>
      <c r="R12" s="9"/>
      <c r="S12" s="9"/>
      <c r="T12" s="9"/>
      <c r="U12" s="9">
        <v>0</v>
      </c>
      <c r="V12" s="9"/>
      <c r="W12" s="9"/>
    </row>
    <row r="13" spans="1:23" ht="17.5" customHeight="1" x14ac:dyDescent="0.4">
      <c r="A13" s="13" t="s">
        <v>36</v>
      </c>
      <c r="B13" s="13" t="s">
        <v>37</v>
      </c>
      <c r="C13" s="13">
        <v>630131090</v>
      </c>
      <c r="D13" s="14">
        <v>40</v>
      </c>
      <c r="E13" s="15">
        <v>40</v>
      </c>
      <c r="F13" s="15">
        <v>0</v>
      </c>
      <c r="G13" s="15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9"/>
      <c r="P13" s="9"/>
      <c r="Q13" s="9"/>
      <c r="R13" s="9"/>
      <c r="S13" s="9"/>
      <c r="T13" s="9"/>
      <c r="U13" s="9">
        <v>0</v>
      </c>
      <c r="V13" s="9"/>
      <c r="W13" s="9"/>
    </row>
    <row r="14" spans="1:23" ht="17.5" customHeight="1" x14ac:dyDescent="0.4">
      <c r="A14" s="13" t="s">
        <v>38</v>
      </c>
      <c r="B14" s="13" t="s">
        <v>39</v>
      </c>
      <c r="C14" s="13" t="s">
        <v>40</v>
      </c>
      <c r="D14" s="14">
        <v>73</v>
      </c>
      <c r="E14" s="15">
        <v>45</v>
      </c>
      <c r="F14" s="15">
        <v>70</v>
      </c>
      <c r="G14" s="15">
        <v>0</v>
      </c>
      <c r="H14" s="8">
        <v>0</v>
      </c>
      <c r="I14" s="8">
        <v>0</v>
      </c>
      <c r="J14" s="8">
        <v>14</v>
      </c>
      <c r="K14" s="8">
        <v>14</v>
      </c>
      <c r="L14" s="8">
        <v>14</v>
      </c>
      <c r="M14" s="8">
        <v>14</v>
      </c>
      <c r="N14" s="8">
        <v>14</v>
      </c>
      <c r="O14" s="9">
        <v>14</v>
      </c>
      <c r="P14" s="9">
        <v>14</v>
      </c>
      <c r="Q14" s="9">
        <v>14</v>
      </c>
      <c r="R14" s="9">
        <v>14</v>
      </c>
      <c r="S14" s="9">
        <v>14</v>
      </c>
      <c r="T14" s="9"/>
      <c r="U14" s="9">
        <v>0</v>
      </c>
      <c r="V14" s="9"/>
      <c r="W14" s="9"/>
    </row>
    <row r="15" spans="1:23" ht="17.5" customHeight="1" x14ac:dyDescent="0.4">
      <c r="A15" s="13" t="s">
        <v>41</v>
      </c>
      <c r="B15" s="13" t="s">
        <v>42</v>
      </c>
      <c r="C15" s="13" t="s">
        <v>43</v>
      </c>
      <c r="D15" s="14">
        <v>6</v>
      </c>
      <c r="E15" s="15">
        <v>10</v>
      </c>
      <c r="F15" s="15">
        <v>14</v>
      </c>
      <c r="G15" s="15">
        <v>0</v>
      </c>
      <c r="H15" s="8">
        <v>0</v>
      </c>
      <c r="I15" s="8">
        <v>0</v>
      </c>
      <c r="J15" s="8">
        <v>0</v>
      </c>
      <c r="K15" s="8">
        <v>0</v>
      </c>
      <c r="L15" s="8">
        <v>14</v>
      </c>
      <c r="M15" s="8">
        <v>0</v>
      </c>
      <c r="N15" s="8">
        <v>0</v>
      </c>
      <c r="O15" s="9"/>
      <c r="P15" s="9">
        <v>14</v>
      </c>
      <c r="Q15" s="9"/>
      <c r="R15" s="9"/>
      <c r="S15" s="9"/>
      <c r="T15" s="9"/>
      <c r="U15" s="9">
        <v>0</v>
      </c>
      <c r="V15" s="9"/>
      <c r="W15" s="9"/>
    </row>
    <row r="16" spans="1:23" ht="17.5" customHeight="1" x14ac:dyDescent="0.4">
      <c r="A16" s="13" t="s">
        <v>44</v>
      </c>
      <c r="B16" s="13" t="s">
        <v>45</v>
      </c>
      <c r="C16" s="13" t="s">
        <v>46</v>
      </c>
      <c r="D16" s="14">
        <v>277</v>
      </c>
      <c r="E16" s="15">
        <v>20</v>
      </c>
      <c r="F16" s="15">
        <v>252</v>
      </c>
      <c r="G16" s="15">
        <v>0</v>
      </c>
      <c r="H16" s="8">
        <v>0</v>
      </c>
      <c r="I16" s="8">
        <v>0</v>
      </c>
      <c r="J16" s="8">
        <v>14</v>
      </c>
      <c r="K16" s="8">
        <v>42</v>
      </c>
      <c r="L16" s="8">
        <v>56</v>
      </c>
      <c r="M16" s="8">
        <v>70</v>
      </c>
      <c r="N16" s="8">
        <v>70</v>
      </c>
      <c r="O16" s="9">
        <v>14</v>
      </c>
      <c r="P16" s="9">
        <v>42</v>
      </c>
      <c r="Q16" s="9">
        <v>42</v>
      </c>
      <c r="R16" s="9">
        <v>42</v>
      </c>
      <c r="S16" s="9">
        <v>56</v>
      </c>
      <c r="T16" s="9">
        <v>56</v>
      </c>
      <c r="U16" s="9">
        <v>0</v>
      </c>
      <c r="V16" s="9"/>
      <c r="W16" s="9"/>
    </row>
    <row r="17" spans="1:23" ht="17.5" customHeight="1" x14ac:dyDescent="0.4">
      <c r="A17" s="13" t="s">
        <v>47</v>
      </c>
      <c r="B17" s="13" t="s">
        <v>48</v>
      </c>
      <c r="C17" s="13" t="s">
        <v>49</v>
      </c>
      <c r="D17" s="14">
        <v>14</v>
      </c>
      <c r="E17" s="15">
        <v>22</v>
      </c>
      <c r="F17" s="15">
        <v>28</v>
      </c>
      <c r="G17" s="15">
        <v>0</v>
      </c>
      <c r="H17" s="8">
        <v>0</v>
      </c>
      <c r="I17" s="8">
        <v>0</v>
      </c>
      <c r="J17" s="8">
        <v>14</v>
      </c>
      <c r="K17" s="8">
        <v>14</v>
      </c>
      <c r="L17" s="8">
        <v>0</v>
      </c>
      <c r="M17" s="8">
        <v>0</v>
      </c>
      <c r="N17" s="8">
        <v>0</v>
      </c>
      <c r="O17" s="9">
        <v>14</v>
      </c>
      <c r="P17" s="9"/>
      <c r="Q17" s="9"/>
      <c r="R17" s="9"/>
      <c r="S17" s="9"/>
      <c r="T17" s="9"/>
      <c r="U17" s="9">
        <v>0</v>
      </c>
      <c r="V17" s="9"/>
      <c r="W17" s="9"/>
    </row>
    <row r="18" spans="1:23" ht="17.5" customHeight="1" x14ac:dyDescent="0.4">
      <c r="A18" s="13" t="s">
        <v>50</v>
      </c>
      <c r="B18" s="13" t="s">
        <v>51</v>
      </c>
      <c r="C18" s="13" t="s">
        <v>52</v>
      </c>
      <c r="D18" s="14">
        <v>0</v>
      </c>
      <c r="E18" s="15">
        <v>0</v>
      </c>
      <c r="F18" s="15">
        <v>0</v>
      </c>
      <c r="G18" s="15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9"/>
      <c r="P18" s="9"/>
      <c r="Q18" s="9"/>
      <c r="R18" s="9"/>
      <c r="S18" s="9"/>
      <c r="T18" s="9"/>
      <c r="U18" s="9">
        <v>0</v>
      </c>
      <c r="V18" s="9"/>
      <c r="W18" s="9"/>
    </row>
    <row r="19" spans="1:23" ht="17.5" customHeight="1" x14ac:dyDescent="0.4">
      <c r="A19" s="13" t="s">
        <v>53</v>
      </c>
      <c r="B19" s="13" t="s">
        <v>54</v>
      </c>
      <c r="C19" s="13" t="s">
        <v>55</v>
      </c>
      <c r="D19" s="14">
        <v>0</v>
      </c>
      <c r="E19" s="15">
        <v>15</v>
      </c>
      <c r="F19" s="15">
        <v>14</v>
      </c>
      <c r="G19" s="15">
        <v>0</v>
      </c>
      <c r="H19" s="8">
        <v>0</v>
      </c>
      <c r="I19" s="8">
        <v>0</v>
      </c>
      <c r="J19" s="8">
        <v>14</v>
      </c>
      <c r="K19" s="8">
        <v>0</v>
      </c>
      <c r="L19" s="8">
        <v>0</v>
      </c>
      <c r="M19" s="8">
        <v>0</v>
      </c>
      <c r="N19" s="8">
        <v>0</v>
      </c>
      <c r="O19" s="9">
        <v>14</v>
      </c>
      <c r="P19" s="9"/>
      <c r="Q19" s="9"/>
      <c r="R19" s="9"/>
      <c r="S19" s="9"/>
      <c r="T19" s="9"/>
      <c r="U19" s="9">
        <v>0</v>
      </c>
      <c r="V19" s="9"/>
      <c r="W19" s="9"/>
    </row>
    <row r="20" spans="1:23" ht="17.5" customHeight="1" x14ac:dyDescent="0.4">
      <c r="A20" s="13" t="s">
        <v>56</v>
      </c>
      <c r="B20" s="13" t="s">
        <v>57</v>
      </c>
      <c r="C20" s="13" t="s">
        <v>58</v>
      </c>
      <c r="D20" s="14">
        <v>12</v>
      </c>
      <c r="E20" s="15">
        <v>22</v>
      </c>
      <c r="F20" s="15">
        <v>28</v>
      </c>
      <c r="G20" s="15">
        <v>0</v>
      </c>
      <c r="H20" s="8">
        <v>0</v>
      </c>
      <c r="I20" s="8">
        <v>0</v>
      </c>
      <c r="J20" s="8">
        <v>14</v>
      </c>
      <c r="K20" s="8">
        <v>14</v>
      </c>
      <c r="L20" s="8">
        <v>0</v>
      </c>
      <c r="M20" s="8">
        <v>0</v>
      </c>
      <c r="N20" s="8">
        <v>0</v>
      </c>
      <c r="O20" s="9">
        <v>14</v>
      </c>
      <c r="P20" s="9"/>
      <c r="Q20" s="9"/>
      <c r="R20" s="9"/>
      <c r="S20" s="9"/>
      <c r="T20" s="9">
        <v>14</v>
      </c>
      <c r="U20" s="9">
        <v>0</v>
      </c>
      <c r="V20" s="9"/>
      <c r="W20" s="9"/>
    </row>
    <row r="21" spans="1:23" ht="17.5" customHeight="1" x14ac:dyDescent="0.4">
      <c r="A21" s="13" t="s">
        <v>59</v>
      </c>
      <c r="B21" s="13" t="s">
        <v>60</v>
      </c>
      <c r="C21" s="13" t="s">
        <v>61</v>
      </c>
      <c r="D21" s="14">
        <v>8</v>
      </c>
      <c r="E21" s="15">
        <v>22</v>
      </c>
      <c r="F21" s="15">
        <v>14</v>
      </c>
      <c r="G21" s="15">
        <v>0</v>
      </c>
      <c r="H21" s="8">
        <v>0</v>
      </c>
      <c r="I21" s="8">
        <v>0</v>
      </c>
      <c r="J21" s="8">
        <v>14</v>
      </c>
      <c r="K21" s="8">
        <v>0</v>
      </c>
      <c r="L21" s="8">
        <v>0</v>
      </c>
      <c r="M21" s="8">
        <v>0</v>
      </c>
      <c r="N21" s="8">
        <v>0</v>
      </c>
      <c r="O21" s="9"/>
      <c r="P21" s="9"/>
      <c r="Q21" s="9"/>
      <c r="R21" s="9">
        <v>14</v>
      </c>
      <c r="S21" s="9"/>
      <c r="T21" s="9"/>
      <c r="U21" s="9">
        <v>0</v>
      </c>
      <c r="V21" s="9"/>
      <c r="W21" s="9"/>
    </row>
    <row r="22" spans="1:23" ht="32" customHeight="1" x14ac:dyDescent="0.4">
      <c r="A22" s="74" t="s">
        <v>10</v>
      </c>
      <c r="B22" s="74" t="s">
        <v>11</v>
      </c>
      <c r="C22" s="74" t="s">
        <v>12</v>
      </c>
      <c r="D22" s="74" t="s">
        <v>13</v>
      </c>
      <c r="E22" s="74" t="s">
        <v>17</v>
      </c>
      <c r="F22" s="68" t="s">
        <v>122</v>
      </c>
      <c r="G22" s="68" t="s">
        <v>123</v>
      </c>
      <c r="H22" s="71" t="s">
        <v>0</v>
      </c>
      <c r="I22" s="72"/>
      <c r="J22" s="72"/>
      <c r="K22" s="72"/>
      <c r="L22" s="72"/>
      <c r="M22" s="73"/>
      <c r="N22" s="8"/>
      <c r="O22" s="63" t="s">
        <v>1</v>
      </c>
      <c r="P22" s="64"/>
      <c r="Q22" s="64"/>
      <c r="R22" s="64"/>
      <c r="S22" s="64"/>
      <c r="T22" s="64"/>
      <c r="U22" s="64"/>
      <c r="V22" s="64"/>
      <c r="W22" s="64"/>
    </row>
    <row r="23" spans="1:23" ht="17.5" customHeight="1" x14ac:dyDescent="0.4">
      <c r="A23" s="75"/>
      <c r="B23" s="75"/>
      <c r="C23" s="75"/>
      <c r="D23" s="75"/>
      <c r="E23" s="75"/>
      <c r="F23" s="69"/>
      <c r="G23" s="69"/>
      <c r="H23" s="5" t="s">
        <v>2</v>
      </c>
      <c r="I23" s="5" t="s">
        <v>3</v>
      </c>
      <c r="J23" s="5" t="s">
        <v>4</v>
      </c>
      <c r="K23" s="5" t="s">
        <v>5</v>
      </c>
      <c r="L23" s="5" t="s">
        <v>6</v>
      </c>
      <c r="M23" s="5" t="s">
        <v>7</v>
      </c>
      <c r="N23" s="5" t="s">
        <v>8</v>
      </c>
      <c r="O23" s="6" t="s">
        <v>2</v>
      </c>
      <c r="P23" s="6" t="s">
        <v>3</v>
      </c>
      <c r="Q23" s="6" t="s">
        <v>4</v>
      </c>
      <c r="R23" s="6" t="s">
        <v>5</v>
      </c>
      <c r="S23" s="6" t="s">
        <v>6</v>
      </c>
      <c r="T23" s="6" t="s">
        <v>7</v>
      </c>
      <c r="U23" s="6" t="s">
        <v>8</v>
      </c>
      <c r="V23" s="11"/>
      <c r="W23" s="11"/>
    </row>
    <row r="24" spans="1:23" ht="17.5" customHeight="1" x14ac:dyDescent="0.4">
      <c r="A24" s="76"/>
      <c r="B24" s="76"/>
      <c r="C24" s="76"/>
      <c r="D24" s="76"/>
      <c r="E24" s="76"/>
      <c r="F24" s="69"/>
      <c r="G24" s="69"/>
      <c r="H24" s="10"/>
      <c r="I24" s="10"/>
      <c r="J24" s="10"/>
      <c r="K24" s="10"/>
      <c r="L24" s="10"/>
      <c r="M24" s="17"/>
      <c r="N24" s="8"/>
      <c r="O24" s="11">
        <v>0.25</v>
      </c>
      <c r="P24" s="11">
        <v>0.40416666666666667</v>
      </c>
      <c r="Q24" s="11">
        <v>0.47638888888888886</v>
      </c>
      <c r="R24" s="11">
        <v>0.56458333333333333</v>
      </c>
      <c r="S24" s="11">
        <v>0.70833333333333337</v>
      </c>
      <c r="T24" s="45"/>
      <c r="U24" s="45"/>
      <c r="V24" s="45"/>
      <c r="W24" s="11"/>
    </row>
    <row r="25" spans="1:23" ht="18.5" x14ac:dyDescent="0.4">
      <c r="A25" s="13" t="s">
        <v>62</v>
      </c>
      <c r="B25" s="13" t="s">
        <v>63</v>
      </c>
      <c r="C25" s="13" t="s">
        <v>64</v>
      </c>
      <c r="D25" s="14">
        <v>179</v>
      </c>
      <c r="E25" s="15">
        <v>12</v>
      </c>
      <c r="F25" s="15"/>
      <c r="G25" s="15"/>
      <c r="H25" s="8">
        <v>0</v>
      </c>
      <c r="I25" s="8">
        <v>0</v>
      </c>
      <c r="J25" s="8">
        <v>92</v>
      </c>
      <c r="K25" s="8">
        <v>28</v>
      </c>
      <c r="L25" s="8">
        <v>48</v>
      </c>
      <c r="M25" s="8">
        <v>80</v>
      </c>
      <c r="N25" s="8">
        <v>0</v>
      </c>
      <c r="O25" s="9">
        <v>92</v>
      </c>
      <c r="P25" s="9">
        <v>28</v>
      </c>
      <c r="Q25" s="20">
        <v>28</v>
      </c>
      <c r="R25" s="20">
        <v>32</v>
      </c>
      <c r="S25" s="20">
        <v>28</v>
      </c>
      <c r="T25" s="9">
        <v>0</v>
      </c>
      <c r="U25" s="9">
        <v>0</v>
      </c>
      <c r="V25" s="21"/>
      <c r="W25" s="9">
        <v>0</v>
      </c>
    </row>
    <row r="26" spans="1:23" ht="17.5" customHeight="1" x14ac:dyDescent="0.4">
      <c r="A26" s="13" t="s">
        <v>65</v>
      </c>
      <c r="B26" s="13" t="s">
        <v>66</v>
      </c>
      <c r="C26" s="13" t="s">
        <v>67</v>
      </c>
      <c r="D26" s="14">
        <v>12</v>
      </c>
      <c r="E26" s="15">
        <v>46</v>
      </c>
      <c r="F26" s="15">
        <v>0</v>
      </c>
      <c r="G26" s="15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9"/>
      <c r="P26" s="9"/>
      <c r="Q26" s="9"/>
      <c r="R26" s="9"/>
      <c r="S26" s="9"/>
      <c r="T26" s="9">
        <v>0</v>
      </c>
      <c r="U26" s="9">
        <v>0</v>
      </c>
      <c r="V26" s="6"/>
      <c r="W26" s="9">
        <v>0</v>
      </c>
    </row>
    <row r="27" spans="1:23" ht="18.5" x14ac:dyDescent="0.4">
      <c r="A27" s="13" t="s">
        <v>68</v>
      </c>
      <c r="B27" s="13" t="s">
        <v>69</v>
      </c>
      <c r="C27" s="13" t="s">
        <v>70</v>
      </c>
      <c r="D27" s="14">
        <v>8</v>
      </c>
      <c r="E27" s="15">
        <v>146</v>
      </c>
      <c r="F27" s="15">
        <v>0</v>
      </c>
      <c r="G27" s="15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9"/>
      <c r="P27" s="9"/>
      <c r="Q27" s="9"/>
      <c r="R27" s="9"/>
      <c r="S27" s="9"/>
      <c r="T27" s="9">
        <v>0</v>
      </c>
      <c r="U27" s="9">
        <v>0</v>
      </c>
      <c r="V27" s="6"/>
      <c r="W27" s="9">
        <v>0</v>
      </c>
    </row>
    <row r="28" spans="1:23" ht="18.5" x14ac:dyDescent="0.4">
      <c r="A28" s="13" t="s">
        <v>71</v>
      </c>
      <c r="B28" s="13" t="s">
        <v>72</v>
      </c>
      <c r="C28" s="13" t="s">
        <v>73</v>
      </c>
      <c r="D28" s="14">
        <v>20</v>
      </c>
      <c r="E28" s="15">
        <v>51</v>
      </c>
      <c r="F28" s="15">
        <v>48</v>
      </c>
      <c r="G28" s="15">
        <v>0</v>
      </c>
      <c r="H28" s="8">
        <v>0</v>
      </c>
      <c r="I28" s="8">
        <v>0</v>
      </c>
      <c r="J28" s="8">
        <v>0</v>
      </c>
      <c r="K28" s="8">
        <v>16</v>
      </c>
      <c r="L28" s="8">
        <v>32</v>
      </c>
      <c r="M28" s="8">
        <v>0</v>
      </c>
      <c r="N28" s="8">
        <v>0</v>
      </c>
      <c r="O28" s="9"/>
      <c r="P28" s="9">
        <v>16</v>
      </c>
      <c r="Q28" s="9">
        <v>16</v>
      </c>
      <c r="R28" s="9"/>
      <c r="S28" s="9"/>
      <c r="T28" s="9">
        <v>0</v>
      </c>
      <c r="U28" s="9">
        <v>0</v>
      </c>
      <c r="V28" s="6"/>
      <c r="W28" s="9">
        <v>0</v>
      </c>
    </row>
    <row r="29" spans="1:23" ht="18.5" x14ac:dyDescent="0.4">
      <c r="A29" s="13" t="s">
        <v>74</v>
      </c>
      <c r="B29" s="13" t="s">
        <v>75</v>
      </c>
      <c r="C29" s="13" t="s">
        <v>76</v>
      </c>
      <c r="D29" s="14">
        <v>17</v>
      </c>
      <c r="E29" s="15">
        <v>29</v>
      </c>
      <c r="F29" s="15">
        <v>16</v>
      </c>
      <c r="G29" s="15">
        <v>0</v>
      </c>
      <c r="H29" s="8">
        <v>0</v>
      </c>
      <c r="I29" s="8" t="s">
        <v>115</v>
      </c>
      <c r="J29" s="8">
        <v>0</v>
      </c>
      <c r="K29" s="8">
        <v>0</v>
      </c>
      <c r="L29" s="8">
        <v>0</v>
      </c>
      <c r="M29" s="8">
        <v>16</v>
      </c>
      <c r="N29" s="8">
        <v>0</v>
      </c>
      <c r="O29" s="9"/>
      <c r="P29" s="9"/>
      <c r="Q29" s="9"/>
      <c r="R29" s="9">
        <v>12</v>
      </c>
      <c r="S29" s="9"/>
      <c r="T29" s="9">
        <v>0</v>
      </c>
      <c r="U29" s="9">
        <v>0</v>
      </c>
      <c r="V29" s="6"/>
      <c r="W29" s="9">
        <v>0</v>
      </c>
    </row>
  </sheetData>
  <protectedRanges>
    <protectedRange sqref="E13" name="Range1_5_1_1_2"/>
    <protectedRange sqref="E12" name="Range1_2_3_1_1_2"/>
    <protectedRange sqref="E7:E11 F26:G29 F7:G21" name="Range1_3_2_2"/>
  </protectedRanges>
  <mergeCells count="19">
    <mergeCell ref="G22:G24"/>
    <mergeCell ref="H22:M22"/>
    <mergeCell ref="O22:W22"/>
    <mergeCell ref="A22:A24"/>
    <mergeCell ref="B22:B24"/>
    <mergeCell ref="C22:C24"/>
    <mergeCell ref="D22:D24"/>
    <mergeCell ref="E22:E24"/>
    <mergeCell ref="F22:F24"/>
    <mergeCell ref="D1:D2"/>
    <mergeCell ref="H1:M1"/>
    <mergeCell ref="O1:W1"/>
    <mergeCell ref="B2:C2"/>
    <mergeCell ref="A3:A6"/>
    <mergeCell ref="B3:B6"/>
    <mergeCell ref="C3:C6"/>
    <mergeCell ref="D3:D6"/>
    <mergeCell ref="F3:F6"/>
    <mergeCell ref="G3:G6"/>
  </mergeCells>
  <pageMargins left="0.70866141732283472" right="0.70866141732283472" top="0.74803149606299213" bottom="0.74803149606299213" header="0.31496062992125984" footer="0.31496062992125984"/>
  <pageSetup scale="72" orientation="landscape" horizontalDpi="200" verticalDpi="200" r:id="rId1"/>
  <headerFooter>
    <oddFooter>&amp;L_x000D_&amp;1#&amp;"Calibri Light"&amp;8&amp;K000000 Classified as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FBC9-5F0A-4A51-9D4C-0FFAD7EAC93F}">
  <sheetPr>
    <pageSetUpPr fitToPage="1"/>
  </sheetPr>
  <dimension ref="A1:W29"/>
  <sheetViews>
    <sheetView showZeros="0" zoomScale="70" zoomScaleNormal="70" workbookViewId="0">
      <pane xSplit="5" ySplit="6" topLeftCell="F7" activePane="bottomRight" state="frozen"/>
      <selection activeCell="M7" sqref="M7"/>
      <selection pane="topRight" activeCell="M7" sqref="M7"/>
      <selection pane="bottomLeft" activeCell="M7" sqref="M7"/>
      <selection pane="bottomRight" activeCell="R9" sqref="R9"/>
    </sheetView>
  </sheetViews>
  <sheetFormatPr defaultRowHeight="16" x14ac:dyDescent="0.4"/>
  <cols>
    <col min="1" max="1" width="18.26953125" style="1" bestFit="1" customWidth="1"/>
    <col min="2" max="2" width="18.54296875" style="1" bestFit="1" customWidth="1"/>
    <col min="3" max="3" width="17" style="1" customWidth="1"/>
    <col min="4" max="4" width="12.54296875" style="1" bestFit="1" customWidth="1"/>
    <col min="5" max="7" width="12" style="1" customWidth="1"/>
    <col min="8" max="8" width="9.08984375" style="1" customWidth="1"/>
    <col min="9" max="9" width="6.453125" style="1" bestFit="1" customWidth="1"/>
    <col min="10" max="15" width="6.36328125" style="1" customWidth="1"/>
    <col min="16" max="16" width="6.453125" style="1" bestFit="1" customWidth="1"/>
    <col min="17" max="23" width="6.36328125" style="1" customWidth="1"/>
    <col min="24" max="16384" width="8.7265625" style="1"/>
  </cols>
  <sheetData>
    <row r="1" spans="1:23" ht="18.5" x14ac:dyDescent="0.45">
      <c r="C1" s="2">
        <v>45903</v>
      </c>
      <c r="D1" s="60"/>
      <c r="H1" s="62" t="s">
        <v>0</v>
      </c>
      <c r="I1" s="62"/>
      <c r="J1" s="62"/>
      <c r="K1" s="62"/>
      <c r="L1" s="62"/>
      <c r="M1" s="62"/>
      <c r="N1" s="3"/>
      <c r="O1" s="63" t="s">
        <v>1</v>
      </c>
      <c r="P1" s="64"/>
      <c r="Q1" s="64"/>
      <c r="R1" s="64"/>
      <c r="S1" s="64"/>
      <c r="T1" s="64"/>
      <c r="U1" s="64"/>
      <c r="V1" s="64"/>
      <c r="W1" s="64"/>
    </row>
    <row r="2" spans="1:23" x14ac:dyDescent="0.4">
      <c r="B2" s="65"/>
      <c r="C2" s="66"/>
      <c r="D2" s="61"/>
      <c r="E2" s="4"/>
      <c r="F2" s="4"/>
      <c r="G2" s="4"/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O2" s="6" t="s">
        <v>2</v>
      </c>
      <c r="P2" s="6" t="s">
        <v>3</v>
      </c>
      <c r="Q2" s="6" t="s">
        <v>4</v>
      </c>
      <c r="R2" s="6" t="s">
        <v>5</v>
      </c>
      <c r="S2" s="6" t="s">
        <v>6</v>
      </c>
      <c r="T2" s="6" t="s">
        <v>7</v>
      </c>
      <c r="U2" s="6" t="s">
        <v>8</v>
      </c>
      <c r="V2" s="6" t="s">
        <v>9</v>
      </c>
      <c r="W2" s="6"/>
    </row>
    <row r="3" spans="1:23" x14ac:dyDescent="0.4">
      <c r="A3" s="59" t="s">
        <v>10</v>
      </c>
      <c r="B3" s="67" t="s">
        <v>11</v>
      </c>
      <c r="C3" s="67" t="s">
        <v>12</v>
      </c>
      <c r="D3" s="59" t="s">
        <v>13</v>
      </c>
      <c r="E3" s="7" t="s">
        <v>14</v>
      </c>
      <c r="F3" s="68" t="s">
        <v>122</v>
      </c>
      <c r="G3" s="68" t="s">
        <v>123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/>
      <c r="W3" s="9"/>
    </row>
    <row r="4" spans="1:23" x14ac:dyDescent="0.4">
      <c r="A4" s="59"/>
      <c r="B4" s="67"/>
      <c r="C4" s="67"/>
      <c r="D4" s="59"/>
      <c r="E4" s="7" t="s">
        <v>15</v>
      </c>
      <c r="F4" s="69"/>
      <c r="G4" s="69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</row>
    <row r="5" spans="1:23" x14ac:dyDescent="0.4">
      <c r="A5" s="59"/>
      <c r="B5" s="67"/>
      <c r="C5" s="67"/>
      <c r="D5" s="59"/>
      <c r="E5" s="7" t="s">
        <v>16</v>
      </c>
      <c r="F5" s="69"/>
      <c r="G5" s="69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</row>
    <row r="6" spans="1:23" ht="16" customHeight="1" x14ac:dyDescent="0.4">
      <c r="A6" s="59"/>
      <c r="B6" s="67"/>
      <c r="C6" s="67"/>
      <c r="D6" s="59"/>
      <c r="E6" s="7" t="s">
        <v>17</v>
      </c>
      <c r="F6" s="70"/>
      <c r="G6" s="70"/>
      <c r="H6" s="10">
        <v>0.27083333333333331</v>
      </c>
      <c r="I6" s="10">
        <v>0.375</v>
      </c>
      <c r="J6" s="10">
        <v>0.5</v>
      </c>
      <c r="K6" s="10">
        <v>0.64583333333333337</v>
      </c>
      <c r="L6" s="10">
        <v>0.75</v>
      </c>
      <c r="M6" s="10">
        <v>0</v>
      </c>
      <c r="N6" s="10"/>
      <c r="O6" s="11">
        <v>0.27083333333333331</v>
      </c>
      <c r="P6" s="11">
        <v>0.42083333333333334</v>
      </c>
      <c r="Q6" s="11">
        <v>0.49583333333333335</v>
      </c>
      <c r="R6" s="11">
        <v>0.70138888888888884</v>
      </c>
      <c r="S6" s="11">
        <v>0.80555555555555558</v>
      </c>
      <c r="T6" s="11">
        <v>0.90277777777777779</v>
      </c>
      <c r="U6" s="11">
        <v>0</v>
      </c>
      <c r="V6" s="11"/>
      <c r="W6" s="12"/>
    </row>
    <row r="7" spans="1:23" ht="17.5" customHeight="1" x14ac:dyDescent="0.4">
      <c r="A7" s="13" t="s">
        <v>18</v>
      </c>
      <c r="B7" s="13" t="s">
        <v>19</v>
      </c>
      <c r="C7" s="13" t="s">
        <v>20</v>
      </c>
      <c r="D7" s="14">
        <v>13</v>
      </c>
      <c r="E7" s="15">
        <v>108</v>
      </c>
      <c r="F7" s="15">
        <v>0</v>
      </c>
      <c r="G7" s="15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/>
      <c r="W7" s="9"/>
    </row>
    <row r="8" spans="1:23" ht="17.5" customHeight="1" x14ac:dyDescent="0.4">
      <c r="A8" s="13" t="s">
        <v>21</v>
      </c>
      <c r="B8" s="13" t="s">
        <v>22</v>
      </c>
      <c r="C8" s="13" t="s">
        <v>23</v>
      </c>
      <c r="D8" s="14">
        <v>299</v>
      </c>
      <c r="E8" s="15">
        <v>192</v>
      </c>
      <c r="F8" s="15">
        <v>576</v>
      </c>
      <c r="G8" s="15">
        <v>273</v>
      </c>
      <c r="H8" s="8">
        <v>0</v>
      </c>
      <c r="I8" s="8">
        <v>96</v>
      </c>
      <c r="J8" s="8">
        <v>192</v>
      </c>
      <c r="K8" s="8">
        <v>192</v>
      </c>
      <c r="L8" s="8">
        <v>96</v>
      </c>
      <c r="M8" s="8">
        <v>0</v>
      </c>
      <c r="N8" s="8">
        <v>0</v>
      </c>
      <c r="O8" s="9">
        <v>0</v>
      </c>
      <c r="P8" s="9">
        <v>61</v>
      </c>
      <c r="Q8" s="9">
        <v>20</v>
      </c>
      <c r="R8" s="9">
        <v>96</v>
      </c>
      <c r="S8" s="9">
        <v>96</v>
      </c>
      <c r="T8" s="9">
        <v>0</v>
      </c>
      <c r="U8" s="9">
        <v>0</v>
      </c>
      <c r="V8" s="9"/>
      <c r="W8" s="9"/>
    </row>
    <row r="9" spans="1:23" ht="17.5" customHeight="1" x14ac:dyDescent="0.4">
      <c r="A9" s="13" t="s">
        <v>24</v>
      </c>
      <c r="B9" s="13" t="s">
        <v>25</v>
      </c>
      <c r="C9" s="13" t="s">
        <v>26</v>
      </c>
      <c r="D9" s="14">
        <v>28</v>
      </c>
      <c r="E9" s="15">
        <v>40</v>
      </c>
      <c r="F9" s="15">
        <v>96</v>
      </c>
      <c r="G9" s="15">
        <v>96</v>
      </c>
      <c r="H9" s="8">
        <v>0</v>
      </c>
      <c r="I9" s="8">
        <v>96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9">
        <v>0</v>
      </c>
      <c r="P9" s="9">
        <v>96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/>
      <c r="W9" s="9"/>
    </row>
    <row r="10" spans="1:23" ht="17.5" customHeight="1" x14ac:dyDescent="0.4">
      <c r="A10" s="16" t="s">
        <v>27</v>
      </c>
      <c r="B10" s="13" t="s">
        <v>28</v>
      </c>
      <c r="C10" s="13" t="s">
        <v>29</v>
      </c>
      <c r="D10" s="14">
        <v>4</v>
      </c>
      <c r="E10" s="15">
        <v>240</v>
      </c>
      <c r="F10" s="15">
        <v>0</v>
      </c>
      <c r="G10" s="15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/>
      <c r="W10" s="9"/>
    </row>
    <row r="11" spans="1:23" ht="17.5" customHeight="1" x14ac:dyDescent="0.4">
      <c r="A11" s="13" t="s">
        <v>30</v>
      </c>
      <c r="B11" s="13" t="s">
        <v>31</v>
      </c>
      <c r="C11" s="13" t="s">
        <v>32</v>
      </c>
      <c r="D11" s="14">
        <v>233</v>
      </c>
      <c r="E11" s="15">
        <v>130</v>
      </c>
      <c r="F11" s="15">
        <v>0</v>
      </c>
      <c r="G11" s="15">
        <v>260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9">
        <v>0</v>
      </c>
      <c r="P11" s="9">
        <v>0</v>
      </c>
      <c r="Q11" s="9">
        <v>0</v>
      </c>
      <c r="R11" s="9">
        <v>0</v>
      </c>
      <c r="S11" s="9">
        <v>260</v>
      </c>
      <c r="T11" s="9">
        <v>0</v>
      </c>
      <c r="U11" s="9">
        <v>0</v>
      </c>
      <c r="V11" s="9"/>
      <c r="W11" s="9"/>
    </row>
    <row r="12" spans="1:23" ht="17.5" customHeight="1" x14ac:dyDescent="0.4">
      <c r="A12" s="13" t="s">
        <v>33</v>
      </c>
      <c r="B12" s="13" t="s">
        <v>34</v>
      </c>
      <c r="C12" s="13" t="s">
        <v>35</v>
      </c>
      <c r="D12" s="14">
        <v>0</v>
      </c>
      <c r="E12" s="15">
        <v>200</v>
      </c>
      <c r="F12" s="15">
        <v>0</v>
      </c>
      <c r="G12" s="15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/>
      <c r="W12" s="9"/>
    </row>
    <row r="13" spans="1:23" ht="17.5" customHeight="1" x14ac:dyDescent="0.4">
      <c r="A13" s="13" t="s">
        <v>36</v>
      </c>
      <c r="B13" s="13" t="s">
        <v>37</v>
      </c>
      <c r="C13" s="13">
        <v>630131090</v>
      </c>
      <c r="D13" s="14">
        <v>28</v>
      </c>
      <c r="E13" s="15">
        <v>40</v>
      </c>
      <c r="F13" s="15">
        <v>0</v>
      </c>
      <c r="G13" s="15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/>
      <c r="W13" s="9"/>
    </row>
    <row r="14" spans="1:23" ht="17.5" customHeight="1" x14ac:dyDescent="0.4">
      <c r="A14" s="13" t="s">
        <v>38</v>
      </c>
      <c r="B14" s="13" t="s">
        <v>39</v>
      </c>
      <c r="C14" s="13" t="s">
        <v>40</v>
      </c>
      <c r="D14" s="14">
        <v>82</v>
      </c>
      <c r="E14" s="15">
        <v>45</v>
      </c>
      <c r="F14" s="15">
        <v>70</v>
      </c>
      <c r="G14" s="15">
        <v>52</v>
      </c>
      <c r="H14" s="8">
        <v>28</v>
      </c>
      <c r="I14" s="8">
        <v>14</v>
      </c>
      <c r="J14" s="8">
        <v>0</v>
      </c>
      <c r="K14" s="8">
        <v>14</v>
      </c>
      <c r="L14" s="8">
        <v>14</v>
      </c>
      <c r="M14" s="8">
        <v>0</v>
      </c>
      <c r="N14" s="8">
        <v>0</v>
      </c>
      <c r="O14" s="9">
        <v>0</v>
      </c>
      <c r="P14" s="9">
        <v>10</v>
      </c>
      <c r="Q14" s="9">
        <v>14</v>
      </c>
      <c r="R14" s="9">
        <v>14</v>
      </c>
      <c r="S14" s="9">
        <v>14</v>
      </c>
      <c r="T14" s="9">
        <v>0</v>
      </c>
      <c r="U14" s="9">
        <v>0</v>
      </c>
      <c r="V14" s="9"/>
      <c r="W14" s="9"/>
    </row>
    <row r="15" spans="1:23" ht="17.5" customHeight="1" x14ac:dyDescent="0.4">
      <c r="A15" s="13" t="s">
        <v>41</v>
      </c>
      <c r="B15" s="13" t="s">
        <v>42</v>
      </c>
      <c r="C15" s="13" t="s">
        <v>43</v>
      </c>
      <c r="D15" s="14">
        <v>0</v>
      </c>
      <c r="E15" s="15">
        <v>10</v>
      </c>
      <c r="F15" s="15">
        <v>0</v>
      </c>
      <c r="G15" s="15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/>
      <c r="W15" s="9"/>
    </row>
    <row r="16" spans="1:23" ht="17.5" customHeight="1" x14ac:dyDescent="0.4">
      <c r="A16" s="13" t="s">
        <v>44</v>
      </c>
      <c r="B16" s="13" t="s">
        <v>45</v>
      </c>
      <c r="C16" s="13" t="s">
        <v>46</v>
      </c>
      <c r="D16" s="14">
        <v>265</v>
      </c>
      <c r="E16" s="15">
        <v>20</v>
      </c>
      <c r="F16" s="15">
        <v>280</v>
      </c>
      <c r="G16" s="15">
        <v>276</v>
      </c>
      <c r="H16" s="8">
        <v>42</v>
      </c>
      <c r="I16" s="8">
        <v>56</v>
      </c>
      <c r="J16" s="8">
        <v>70</v>
      </c>
      <c r="K16" s="8">
        <v>70</v>
      </c>
      <c r="L16" s="8">
        <v>42</v>
      </c>
      <c r="M16" s="8">
        <v>0</v>
      </c>
      <c r="N16" s="8">
        <v>0</v>
      </c>
      <c r="O16" s="9">
        <v>42</v>
      </c>
      <c r="P16" s="9">
        <v>42</v>
      </c>
      <c r="Q16" s="9">
        <v>52</v>
      </c>
      <c r="R16" s="9">
        <v>42</v>
      </c>
      <c r="S16" s="9">
        <v>56</v>
      </c>
      <c r="T16" s="9">
        <v>42</v>
      </c>
      <c r="U16" s="9">
        <v>0</v>
      </c>
      <c r="V16" s="9"/>
      <c r="W16" s="9"/>
    </row>
    <row r="17" spans="1:23" ht="17.5" customHeight="1" x14ac:dyDescent="0.4">
      <c r="A17" s="13" t="s">
        <v>47</v>
      </c>
      <c r="B17" s="13" t="s">
        <v>48</v>
      </c>
      <c r="C17" s="13" t="s">
        <v>49</v>
      </c>
      <c r="D17" s="14">
        <v>15</v>
      </c>
      <c r="E17" s="15">
        <v>22</v>
      </c>
      <c r="F17" s="15">
        <v>14</v>
      </c>
      <c r="G17" s="15">
        <v>14</v>
      </c>
      <c r="H17" s="8">
        <v>0</v>
      </c>
      <c r="I17" s="8">
        <v>0</v>
      </c>
      <c r="J17" s="8">
        <v>0</v>
      </c>
      <c r="K17" s="8">
        <v>0</v>
      </c>
      <c r="L17" s="8">
        <v>14</v>
      </c>
      <c r="M17" s="8">
        <v>0</v>
      </c>
      <c r="N17" s="8">
        <v>0</v>
      </c>
      <c r="O17" s="9">
        <v>0</v>
      </c>
      <c r="P17" s="9">
        <v>0</v>
      </c>
      <c r="Q17" s="9">
        <v>0</v>
      </c>
      <c r="R17" s="9">
        <v>14</v>
      </c>
      <c r="S17" s="9">
        <v>0</v>
      </c>
      <c r="T17" s="9">
        <v>0</v>
      </c>
      <c r="U17" s="9">
        <v>0</v>
      </c>
      <c r="V17" s="9"/>
      <c r="W17" s="9"/>
    </row>
    <row r="18" spans="1:23" ht="17.5" customHeight="1" x14ac:dyDescent="0.4">
      <c r="A18" s="13" t="s">
        <v>50</v>
      </c>
      <c r="B18" s="13" t="s">
        <v>51</v>
      </c>
      <c r="C18" s="13" t="s">
        <v>52</v>
      </c>
      <c r="D18" s="14">
        <v>0</v>
      </c>
      <c r="E18" s="15">
        <v>0</v>
      </c>
      <c r="F18" s="15">
        <v>0</v>
      </c>
      <c r="G18" s="15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/>
      <c r="W18" s="9"/>
    </row>
    <row r="19" spans="1:23" ht="17.5" customHeight="1" x14ac:dyDescent="0.4">
      <c r="A19" s="13" t="s">
        <v>53</v>
      </c>
      <c r="B19" s="13" t="s">
        <v>54</v>
      </c>
      <c r="C19" s="13" t="s">
        <v>55</v>
      </c>
      <c r="D19" s="14">
        <v>10</v>
      </c>
      <c r="E19" s="15">
        <v>15</v>
      </c>
      <c r="F19" s="15">
        <v>14</v>
      </c>
      <c r="G19" s="15">
        <v>42</v>
      </c>
      <c r="H19" s="8">
        <v>0</v>
      </c>
      <c r="I19" s="8">
        <v>0</v>
      </c>
      <c r="J19" s="8">
        <v>0</v>
      </c>
      <c r="K19" s="8">
        <v>0</v>
      </c>
      <c r="L19" s="8">
        <v>14</v>
      </c>
      <c r="M19" s="8">
        <v>0</v>
      </c>
      <c r="N19" s="8">
        <v>0</v>
      </c>
      <c r="O19" s="9">
        <v>0</v>
      </c>
      <c r="P19" s="9">
        <v>0</v>
      </c>
      <c r="Q19" s="9">
        <v>0</v>
      </c>
      <c r="R19" s="9">
        <v>42</v>
      </c>
      <c r="S19" s="9">
        <v>0</v>
      </c>
      <c r="T19" s="9">
        <v>0</v>
      </c>
      <c r="U19" s="9">
        <v>0</v>
      </c>
      <c r="V19" s="9"/>
      <c r="W19" s="9"/>
    </row>
    <row r="20" spans="1:23" ht="17.5" customHeight="1" x14ac:dyDescent="0.4">
      <c r="A20" s="13" t="s">
        <v>56</v>
      </c>
      <c r="B20" s="13" t="s">
        <v>57</v>
      </c>
      <c r="C20" s="13" t="s">
        <v>58</v>
      </c>
      <c r="D20" s="14">
        <v>33</v>
      </c>
      <c r="E20" s="15">
        <v>22</v>
      </c>
      <c r="F20" s="15">
        <v>42</v>
      </c>
      <c r="G20" s="15">
        <v>28</v>
      </c>
      <c r="H20" s="8">
        <v>0</v>
      </c>
      <c r="I20" s="8">
        <v>14</v>
      </c>
      <c r="J20" s="8">
        <v>14</v>
      </c>
      <c r="K20" s="8">
        <v>0</v>
      </c>
      <c r="L20" s="8">
        <v>14</v>
      </c>
      <c r="M20" s="8">
        <v>0</v>
      </c>
      <c r="N20" s="8">
        <v>0</v>
      </c>
      <c r="O20" s="9">
        <v>0</v>
      </c>
      <c r="P20" s="9">
        <v>0</v>
      </c>
      <c r="Q20" s="9">
        <v>0</v>
      </c>
      <c r="R20" s="9">
        <v>14</v>
      </c>
      <c r="S20" s="9">
        <v>0</v>
      </c>
      <c r="T20" s="9">
        <v>14</v>
      </c>
      <c r="U20" s="9">
        <v>0</v>
      </c>
      <c r="V20" s="9"/>
      <c r="W20" s="9"/>
    </row>
    <row r="21" spans="1:23" ht="17.5" customHeight="1" x14ac:dyDescent="0.4">
      <c r="A21" s="13" t="s">
        <v>59</v>
      </c>
      <c r="B21" s="13" t="s">
        <v>60</v>
      </c>
      <c r="C21" s="13" t="s">
        <v>61</v>
      </c>
      <c r="D21" s="14">
        <v>7</v>
      </c>
      <c r="E21" s="15">
        <v>22</v>
      </c>
      <c r="F21" s="15">
        <v>14</v>
      </c>
      <c r="G21" s="15">
        <v>14</v>
      </c>
      <c r="H21" s="8">
        <v>14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9">
        <v>14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/>
      <c r="W21" s="9"/>
    </row>
    <row r="22" spans="1:23" ht="32" customHeight="1" x14ac:dyDescent="0.4">
      <c r="A22" s="74" t="s">
        <v>10</v>
      </c>
      <c r="B22" s="74" t="s">
        <v>11</v>
      </c>
      <c r="C22" s="74" t="s">
        <v>12</v>
      </c>
      <c r="D22" s="74" t="s">
        <v>13</v>
      </c>
      <c r="E22" s="74" t="s">
        <v>17</v>
      </c>
      <c r="F22" s="68" t="s">
        <v>122</v>
      </c>
      <c r="G22" s="68" t="s">
        <v>123</v>
      </c>
      <c r="H22" s="71" t="s">
        <v>0</v>
      </c>
      <c r="I22" s="72"/>
      <c r="J22" s="72"/>
      <c r="K22" s="72"/>
      <c r="L22" s="72"/>
      <c r="M22" s="73"/>
      <c r="N22" s="8"/>
      <c r="O22" s="63" t="s">
        <v>1</v>
      </c>
      <c r="P22" s="64"/>
      <c r="Q22" s="64"/>
      <c r="R22" s="64"/>
      <c r="S22" s="64"/>
      <c r="T22" s="64"/>
      <c r="U22" s="64"/>
      <c r="V22" s="64"/>
      <c r="W22" s="64"/>
    </row>
    <row r="23" spans="1:23" ht="17.5" customHeight="1" x14ac:dyDescent="0.4">
      <c r="A23" s="75"/>
      <c r="B23" s="75"/>
      <c r="C23" s="75"/>
      <c r="D23" s="75"/>
      <c r="E23" s="75"/>
      <c r="F23" s="69"/>
      <c r="G23" s="69"/>
      <c r="H23" s="5" t="s">
        <v>2</v>
      </c>
      <c r="I23" s="5" t="s">
        <v>3</v>
      </c>
      <c r="J23" s="5" t="s">
        <v>4</v>
      </c>
      <c r="K23" s="5" t="s">
        <v>5</v>
      </c>
      <c r="L23" s="5" t="s">
        <v>6</v>
      </c>
      <c r="M23" s="5" t="s">
        <v>7</v>
      </c>
      <c r="N23" s="5" t="s">
        <v>8</v>
      </c>
      <c r="O23" s="6" t="s">
        <v>2</v>
      </c>
      <c r="P23" s="6" t="s">
        <v>3</v>
      </c>
      <c r="Q23" s="6" t="s">
        <v>4</v>
      </c>
      <c r="R23" s="6" t="s">
        <v>5</v>
      </c>
      <c r="S23" s="6" t="s">
        <v>6</v>
      </c>
      <c r="T23" s="6" t="s">
        <v>7</v>
      </c>
      <c r="U23" s="6" t="s">
        <v>8</v>
      </c>
      <c r="V23" s="11"/>
      <c r="W23" s="11"/>
    </row>
    <row r="24" spans="1:23" ht="17.5" customHeight="1" x14ac:dyDescent="0.4">
      <c r="A24" s="76"/>
      <c r="B24" s="76"/>
      <c r="C24" s="76"/>
      <c r="D24" s="76"/>
      <c r="E24" s="76"/>
      <c r="F24" s="69"/>
      <c r="G24" s="69"/>
      <c r="H24" s="10"/>
      <c r="I24" s="10"/>
      <c r="J24" s="10"/>
      <c r="K24" s="10"/>
      <c r="L24" s="10"/>
      <c r="M24" s="17"/>
      <c r="N24" s="8"/>
      <c r="O24" s="11"/>
      <c r="P24" s="11"/>
      <c r="Q24" s="45"/>
      <c r="R24" s="45"/>
      <c r="S24" s="45"/>
      <c r="T24" s="45"/>
      <c r="U24" s="45"/>
      <c r="V24" s="45"/>
      <c r="W24" s="11"/>
    </row>
    <row r="25" spans="1:23" ht="18.5" x14ac:dyDescent="0.4">
      <c r="A25" s="13" t="s">
        <v>62</v>
      </c>
      <c r="B25" s="13" t="s">
        <v>63</v>
      </c>
      <c r="C25" s="13" t="s">
        <v>64</v>
      </c>
      <c r="D25" s="14">
        <v>172</v>
      </c>
      <c r="E25" s="15">
        <v>12</v>
      </c>
      <c r="F25" s="15"/>
      <c r="G25" s="15"/>
      <c r="H25" s="8">
        <v>68</v>
      </c>
      <c r="I25" s="8">
        <v>48</v>
      </c>
      <c r="J25" s="8">
        <v>48</v>
      </c>
      <c r="K25" s="8">
        <v>64</v>
      </c>
      <c r="L25" s="8">
        <v>0</v>
      </c>
      <c r="M25" s="8">
        <v>0</v>
      </c>
      <c r="N25" s="8">
        <v>0</v>
      </c>
      <c r="O25" s="9">
        <v>68</v>
      </c>
      <c r="P25" s="9">
        <v>32</v>
      </c>
      <c r="Q25" s="9">
        <v>52</v>
      </c>
      <c r="R25" s="9">
        <v>48</v>
      </c>
      <c r="S25" s="9">
        <v>0</v>
      </c>
      <c r="T25" s="9">
        <v>0</v>
      </c>
      <c r="U25" s="9">
        <v>0</v>
      </c>
      <c r="V25" s="21"/>
      <c r="W25" s="9">
        <v>200</v>
      </c>
    </row>
    <row r="26" spans="1:23" ht="17.5" customHeight="1" x14ac:dyDescent="0.4">
      <c r="A26" s="13" t="s">
        <v>65</v>
      </c>
      <c r="B26" s="13" t="s">
        <v>66</v>
      </c>
      <c r="C26" s="13" t="s">
        <v>67</v>
      </c>
      <c r="D26" s="14">
        <v>37</v>
      </c>
      <c r="E26" s="15">
        <v>46</v>
      </c>
      <c r="F26" s="15">
        <v>32</v>
      </c>
      <c r="G26" s="15">
        <v>12</v>
      </c>
      <c r="H26" s="8">
        <v>0</v>
      </c>
      <c r="I26" s="8">
        <v>16</v>
      </c>
      <c r="J26" s="8">
        <v>16</v>
      </c>
      <c r="K26" s="8">
        <v>0</v>
      </c>
      <c r="L26" s="8">
        <v>0</v>
      </c>
      <c r="M26" s="8">
        <v>0</v>
      </c>
      <c r="N26" s="8"/>
      <c r="O26" s="9">
        <v>0</v>
      </c>
      <c r="P26" s="9">
        <v>0</v>
      </c>
      <c r="Q26" s="9">
        <v>12</v>
      </c>
      <c r="R26" s="9">
        <v>0</v>
      </c>
      <c r="S26" s="9">
        <v>0</v>
      </c>
      <c r="T26" s="9">
        <v>0</v>
      </c>
      <c r="U26" s="9">
        <v>0</v>
      </c>
      <c r="V26" s="6"/>
      <c r="W26" s="9">
        <v>12</v>
      </c>
    </row>
    <row r="27" spans="1:23" ht="18.5" x14ac:dyDescent="0.4">
      <c r="A27" s="13" t="s">
        <v>68</v>
      </c>
      <c r="B27" s="13" t="s">
        <v>69</v>
      </c>
      <c r="C27" s="13" t="s">
        <v>70</v>
      </c>
      <c r="D27" s="14">
        <v>84</v>
      </c>
      <c r="E27" s="15">
        <v>146</v>
      </c>
      <c r="F27" s="15">
        <v>32</v>
      </c>
      <c r="G27" s="15">
        <v>48</v>
      </c>
      <c r="H27" s="8">
        <v>0</v>
      </c>
      <c r="I27" s="8">
        <v>16</v>
      </c>
      <c r="J27" s="8">
        <v>16</v>
      </c>
      <c r="K27" s="8">
        <v>0</v>
      </c>
      <c r="L27" s="8">
        <v>0</v>
      </c>
      <c r="M27" s="8">
        <v>0</v>
      </c>
      <c r="N27" s="8"/>
      <c r="O27" s="9">
        <v>0</v>
      </c>
      <c r="P27" s="9">
        <v>16</v>
      </c>
      <c r="Q27" s="9">
        <v>0</v>
      </c>
      <c r="R27" s="9">
        <v>32</v>
      </c>
      <c r="S27" s="9">
        <v>0</v>
      </c>
      <c r="T27" s="9">
        <v>0</v>
      </c>
      <c r="U27" s="9">
        <v>0</v>
      </c>
      <c r="V27" s="6"/>
      <c r="W27" s="9">
        <v>48</v>
      </c>
    </row>
    <row r="28" spans="1:23" ht="18.5" x14ac:dyDescent="0.4">
      <c r="A28" s="13" t="s">
        <v>71</v>
      </c>
      <c r="B28" s="13" t="s">
        <v>72</v>
      </c>
      <c r="C28" s="13" t="s">
        <v>73</v>
      </c>
      <c r="D28" s="14">
        <v>44</v>
      </c>
      <c r="E28" s="15">
        <v>51</v>
      </c>
      <c r="F28" s="15">
        <v>16</v>
      </c>
      <c r="G28" s="15">
        <v>24</v>
      </c>
      <c r="H28" s="8">
        <v>0</v>
      </c>
      <c r="I28" s="8">
        <v>0</v>
      </c>
      <c r="J28" s="8">
        <v>0</v>
      </c>
      <c r="K28" s="8">
        <v>16</v>
      </c>
      <c r="L28" s="8">
        <v>0</v>
      </c>
      <c r="M28" s="8">
        <v>0</v>
      </c>
      <c r="N28" s="8"/>
      <c r="O28" s="9">
        <v>0</v>
      </c>
      <c r="P28" s="9">
        <v>24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6"/>
      <c r="W28" s="9">
        <v>24</v>
      </c>
    </row>
    <row r="29" spans="1:23" ht="18.5" x14ac:dyDescent="0.4">
      <c r="A29" s="13" t="s">
        <v>74</v>
      </c>
      <c r="B29" s="13" t="s">
        <v>75</v>
      </c>
      <c r="C29" s="13" t="s">
        <v>76</v>
      </c>
      <c r="D29" s="14">
        <v>22</v>
      </c>
      <c r="E29" s="15">
        <v>29</v>
      </c>
      <c r="F29" s="15">
        <v>32</v>
      </c>
      <c r="G29" s="15">
        <v>16</v>
      </c>
      <c r="H29" s="8">
        <v>0</v>
      </c>
      <c r="I29" s="8">
        <v>16</v>
      </c>
      <c r="J29" s="8">
        <v>16</v>
      </c>
      <c r="K29" s="8">
        <v>0</v>
      </c>
      <c r="L29" s="8">
        <v>0</v>
      </c>
      <c r="M29" s="8">
        <v>0</v>
      </c>
      <c r="N29" s="8"/>
      <c r="O29" s="9">
        <v>0</v>
      </c>
      <c r="P29" s="9">
        <v>0</v>
      </c>
      <c r="Q29" s="9">
        <v>0</v>
      </c>
      <c r="R29" s="9">
        <v>16</v>
      </c>
      <c r="S29" s="9">
        <v>0</v>
      </c>
      <c r="T29" s="9">
        <v>0</v>
      </c>
      <c r="U29" s="9">
        <v>0</v>
      </c>
      <c r="V29" s="6"/>
      <c r="W29" s="9">
        <v>16</v>
      </c>
    </row>
  </sheetData>
  <protectedRanges>
    <protectedRange sqref="E13" name="Range1_5_1_1_2"/>
    <protectedRange sqref="E12" name="Range1_2_3_1_1_2"/>
    <protectedRange sqref="E7:E11 F26:G29 F7:G21" name="Range1_3_2_2"/>
  </protectedRanges>
  <mergeCells count="19">
    <mergeCell ref="D1:D2"/>
    <mergeCell ref="H1:M1"/>
    <mergeCell ref="O1:W1"/>
    <mergeCell ref="B2:C2"/>
    <mergeCell ref="A3:A6"/>
    <mergeCell ref="B3:B6"/>
    <mergeCell ref="C3:C6"/>
    <mergeCell ref="D3:D6"/>
    <mergeCell ref="F3:F6"/>
    <mergeCell ref="G3:G6"/>
    <mergeCell ref="G22:G24"/>
    <mergeCell ref="H22:M22"/>
    <mergeCell ref="O22:W22"/>
    <mergeCell ref="A22:A24"/>
    <mergeCell ref="B22:B24"/>
    <mergeCell ref="C22:C24"/>
    <mergeCell ref="D22:D24"/>
    <mergeCell ref="E22:E24"/>
    <mergeCell ref="F22:F24"/>
  </mergeCells>
  <pageMargins left="0.70866141732283472" right="0.70866141732283472" top="0.74803149606299213" bottom="0.74803149606299213" header="0.31496062992125984" footer="0.31496062992125984"/>
  <pageSetup scale="72" orientation="landscape" horizontalDpi="200" verticalDpi="200" r:id="rId1"/>
  <headerFooter>
    <oddFooter>&amp;L_x000D_&amp;1#&amp;"Calibri Light"&amp;8&amp;K000000 Classified as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5373-46D2-4154-B9A4-829957AD2304}">
  <dimension ref="A1:AJ49"/>
  <sheetViews>
    <sheetView showZeros="0" zoomScale="70" zoomScaleNormal="70" workbookViewId="0">
      <pane xSplit="12" ySplit="6" topLeftCell="P28" activePane="bottomRight" state="frozen"/>
      <selection activeCell="G18" sqref="G18"/>
      <selection pane="topRight" activeCell="G18" sqref="G18"/>
      <selection pane="bottomLeft" activeCell="G18" sqref="G18"/>
      <selection pane="bottomRight" sqref="A1:XFD1048576"/>
    </sheetView>
  </sheetViews>
  <sheetFormatPr defaultRowHeight="14.5" x14ac:dyDescent="0.35"/>
  <cols>
    <col min="1" max="1" width="15.453125" bestFit="1" customWidth="1"/>
    <col min="2" max="2" width="17.1796875" bestFit="1" customWidth="1"/>
    <col min="3" max="3" width="13.54296875" bestFit="1" customWidth="1"/>
    <col min="4" max="4" width="13.54296875" style="24" customWidth="1"/>
    <col min="5" max="5" width="14" customWidth="1"/>
    <col min="6" max="6" width="12.7265625" bestFit="1" customWidth="1"/>
    <col min="7" max="7" width="6.81640625" customWidth="1"/>
    <col min="8" max="8" width="14.08984375" customWidth="1"/>
    <col min="9" max="11" width="13" customWidth="1"/>
    <col min="12" max="12" width="13.36328125" customWidth="1"/>
    <col min="13" max="18" width="6.453125" bestFit="1" customWidth="1"/>
    <col min="19" max="19" width="5.6328125" customWidth="1"/>
    <col min="20" max="22" width="6.453125" bestFit="1" customWidth="1"/>
    <col min="23" max="25" width="6.453125" customWidth="1"/>
    <col min="26" max="27" width="6.453125" bestFit="1" customWidth="1"/>
    <col min="28" max="29" width="5.7265625" customWidth="1"/>
    <col min="30" max="30" width="10" bestFit="1" customWidth="1"/>
    <col min="31" max="36" width="5.7265625" customWidth="1"/>
  </cols>
  <sheetData>
    <row r="1" spans="1:36" ht="18.5" x14ac:dyDescent="0.45">
      <c r="F1" s="2">
        <v>45903</v>
      </c>
      <c r="M1" s="54" t="s">
        <v>0</v>
      </c>
      <c r="N1" s="54"/>
      <c r="O1" s="54"/>
      <c r="P1" s="54"/>
      <c r="Q1" s="54"/>
      <c r="R1" s="54"/>
      <c r="S1" s="54"/>
      <c r="T1" s="55" t="s">
        <v>1</v>
      </c>
      <c r="U1" s="56"/>
      <c r="V1" s="56"/>
      <c r="W1" s="56"/>
      <c r="X1" s="56"/>
      <c r="Y1" s="56"/>
      <c r="Z1" s="56"/>
      <c r="AA1" s="56"/>
      <c r="AB1" s="56"/>
      <c r="AC1" s="56"/>
      <c r="AD1" s="56"/>
      <c r="AE1" s="55" t="s">
        <v>77</v>
      </c>
      <c r="AF1" s="56"/>
      <c r="AG1" s="56"/>
      <c r="AH1" s="56"/>
      <c r="AI1" s="56"/>
      <c r="AJ1" s="56"/>
    </row>
    <row r="2" spans="1:36" x14ac:dyDescent="0.35">
      <c r="B2" s="57"/>
      <c r="C2" s="58"/>
      <c r="L2" s="25"/>
      <c r="M2" s="26" t="s">
        <v>2</v>
      </c>
      <c r="N2" s="26" t="s">
        <v>3</v>
      </c>
      <c r="O2" s="26" t="s">
        <v>4</v>
      </c>
      <c r="P2" s="26" t="s">
        <v>5</v>
      </c>
      <c r="Q2" s="26" t="s">
        <v>6</v>
      </c>
      <c r="R2" s="26" t="s">
        <v>7</v>
      </c>
      <c r="S2" s="26"/>
      <c r="T2" s="27" t="s">
        <v>2</v>
      </c>
      <c r="U2" s="27" t="s">
        <v>3</v>
      </c>
      <c r="V2" s="27" t="s">
        <v>4</v>
      </c>
      <c r="W2" s="27" t="s">
        <v>5</v>
      </c>
      <c r="X2" s="27" t="s">
        <v>6</v>
      </c>
      <c r="Y2" s="27" t="s">
        <v>7</v>
      </c>
      <c r="Z2" s="27" t="s">
        <v>8</v>
      </c>
      <c r="AA2" s="27" t="s">
        <v>9</v>
      </c>
      <c r="AB2" s="27" t="s">
        <v>78</v>
      </c>
      <c r="AC2" s="27"/>
      <c r="AD2" s="27" t="s">
        <v>79</v>
      </c>
      <c r="AE2" s="27" t="s">
        <v>2</v>
      </c>
      <c r="AF2" s="27" t="s">
        <v>3</v>
      </c>
      <c r="AG2" s="27" t="s">
        <v>4</v>
      </c>
      <c r="AH2" s="27" t="s">
        <v>5</v>
      </c>
      <c r="AI2" s="27" t="s">
        <v>6</v>
      </c>
      <c r="AJ2" s="27" t="s">
        <v>7</v>
      </c>
    </row>
    <row r="3" spans="1:36" x14ac:dyDescent="0.35">
      <c r="A3" s="49" t="s">
        <v>10</v>
      </c>
      <c r="B3" s="50" t="s">
        <v>11</v>
      </c>
      <c r="C3" s="50" t="s">
        <v>12</v>
      </c>
      <c r="D3" s="50" t="s">
        <v>80</v>
      </c>
      <c r="E3" s="59" t="s">
        <v>13</v>
      </c>
      <c r="F3" s="49" t="s">
        <v>81</v>
      </c>
      <c r="G3" s="49" t="s">
        <v>82</v>
      </c>
      <c r="H3" s="49" t="s">
        <v>83</v>
      </c>
      <c r="I3" s="51" t="s">
        <v>84</v>
      </c>
      <c r="J3" s="49" t="s">
        <v>122</v>
      </c>
      <c r="K3" s="49" t="s">
        <v>123</v>
      </c>
      <c r="L3" s="46" t="s">
        <v>85</v>
      </c>
      <c r="M3" s="22">
        <v>6</v>
      </c>
      <c r="N3" s="22">
        <v>6</v>
      </c>
      <c r="O3" s="22">
        <v>6</v>
      </c>
      <c r="P3" s="22">
        <v>6</v>
      </c>
      <c r="Q3" s="22">
        <v>6</v>
      </c>
      <c r="R3" s="22">
        <v>6</v>
      </c>
      <c r="S3" s="22">
        <v>36</v>
      </c>
      <c r="T3" s="28">
        <v>6</v>
      </c>
      <c r="U3" s="28">
        <v>3</v>
      </c>
      <c r="V3" s="28">
        <v>5</v>
      </c>
      <c r="W3" s="28">
        <v>4</v>
      </c>
      <c r="X3" s="28">
        <v>5</v>
      </c>
      <c r="Y3" s="28">
        <v>5</v>
      </c>
      <c r="Z3" s="28"/>
      <c r="AA3" s="28"/>
      <c r="AB3" s="28"/>
      <c r="AC3" s="28">
        <v>28</v>
      </c>
      <c r="AD3" s="28"/>
      <c r="AE3" s="28">
        <v>0</v>
      </c>
      <c r="AF3" s="28">
        <v>-3</v>
      </c>
      <c r="AG3" s="28">
        <v>-4</v>
      </c>
      <c r="AH3" s="28">
        <v>4</v>
      </c>
      <c r="AI3" s="28">
        <v>-2</v>
      </c>
      <c r="AJ3" s="28">
        <v>-8</v>
      </c>
    </row>
    <row r="4" spans="1:36" x14ac:dyDescent="0.35">
      <c r="A4" s="49"/>
      <c r="B4" s="50"/>
      <c r="C4" s="50"/>
      <c r="D4" s="50"/>
      <c r="E4" s="59"/>
      <c r="F4" s="49"/>
      <c r="G4" s="50"/>
      <c r="H4" s="50"/>
      <c r="I4" s="52"/>
      <c r="J4" s="49"/>
      <c r="K4" s="49"/>
      <c r="L4" s="46" t="s">
        <v>14</v>
      </c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 t="s">
        <v>16</v>
      </c>
      <c r="AE4" s="27"/>
      <c r="AF4" s="27"/>
      <c r="AG4" s="27"/>
      <c r="AH4" s="27"/>
      <c r="AI4" s="27"/>
      <c r="AJ4" s="27"/>
    </row>
    <row r="5" spans="1:36" x14ac:dyDescent="0.35">
      <c r="A5" s="49"/>
      <c r="B5" s="50"/>
      <c r="C5" s="50"/>
      <c r="D5" s="50"/>
      <c r="E5" s="59"/>
      <c r="F5" s="49"/>
      <c r="G5" s="50"/>
      <c r="H5" s="50"/>
      <c r="I5" s="52"/>
      <c r="J5" s="49"/>
      <c r="K5" s="49"/>
      <c r="L5" s="46"/>
      <c r="M5" s="26"/>
      <c r="N5" s="26"/>
      <c r="O5" s="26"/>
      <c r="P5" s="26"/>
      <c r="Q5" s="26"/>
      <c r="R5" s="26"/>
      <c r="S5" s="26"/>
      <c r="T5" s="29"/>
      <c r="U5" s="27"/>
      <c r="V5" s="27"/>
      <c r="W5" s="27"/>
      <c r="X5" s="27"/>
      <c r="Y5" s="27"/>
      <c r="Z5" s="27"/>
      <c r="AA5" s="27"/>
      <c r="AB5" s="27"/>
      <c r="AC5" s="27"/>
      <c r="AD5" s="30" t="s">
        <v>86</v>
      </c>
      <c r="AE5" s="27"/>
      <c r="AF5" s="27"/>
      <c r="AG5" s="27"/>
      <c r="AH5" s="27"/>
      <c r="AI5" s="27"/>
      <c r="AJ5" s="27"/>
    </row>
    <row r="6" spans="1:36" ht="16" x14ac:dyDescent="0.35">
      <c r="A6" s="49"/>
      <c r="B6" s="50"/>
      <c r="C6" s="50"/>
      <c r="D6" s="50"/>
      <c r="E6" s="59"/>
      <c r="F6" s="49"/>
      <c r="G6" s="50"/>
      <c r="H6" s="50"/>
      <c r="I6" s="53"/>
      <c r="J6" s="49"/>
      <c r="K6" s="49"/>
      <c r="L6" s="46" t="s">
        <v>87</v>
      </c>
      <c r="M6" s="10">
        <v>0.27083333333333331</v>
      </c>
      <c r="N6" s="10">
        <v>0.375</v>
      </c>
      <c r="O6" s="10">
        <v>0.5</v>
      </c>
      <c r="P6" s="10">
        <v>0.64583333333333337</v>
      </c>
      <c r="Q6" s="10">
        <v>0.75</v>
      </c>
      <c r="R6" s="10"/>
      <c r="S6" s="10"/>
      <c r="T6" s="11">
        <v>0.27083333333333331</v>
      </c>
      <c r="U6" s="11">
        <v>0.42083333333333334</v>
      </c>
      <c r="V6" s="11">
        <v>0.49583333333333335</v>
      </c>
      <c r="W6" s="11">
        <v>0.70138888888888884</v>
      </c>
      <c r="X6" s="11">
        <v>0.80555555555555558</v>
      </c>
      <c r="Y6" s="11">
        <v>0.90277777777777779</v>
      </c>
      <c r="Z6" s="11"/>
      <c r="AA6" s="11"/>
      <c r="AB6" s="11"/>
      <c r="AC6" s="27"/>
      <c r="AD6" s="31" t="s">
        <v>88</v>
      </c>
      <c r="AE6" s="31">
        <v>0.27083333333333331</v>
      </c>
      <c r="AF6" s="31">
        <v>0.29166666666666669</v>
      </c>
      <c r="AG6" s="31">
        <v>0.40625</v>
      </c>
      <c r="AH6" s="31">
        <v>0.46875</v>
      </c>
      <c r="AI6" s="31">
        <v>0.61458333333333337</v>
      </c>
      <c r="AJ6" s="31"/>
    </row>
    <row r="7" spans="1:36" ht="18.5" x14ac:dyDescent="0.35">
      <c r="A7" s="32" t="s">
        <v>18</v>
      </c>
      <c r="B7" s="32" t="s">
        <v>19</v>
      </c>
      <c r="C7" s="32" t="s">
        <v>20</v>
      </c>
      <c r="D7" s="33">
        <v>184</v>
      </c>
      <c r="E7" s="14">
        <v>13</v>
      </c>
      <c r="F7" s="15">
        <v>108</v>
      </c>
      <c r="G7" s="33"/>
      <c r="H7" s="33">
        <v>89</v>
      </c>
      <c r="I7" s="33">
        <v>89</v>
      </c>
      <c r="J7" s="33">
        <v>0</v>
      </c>
      <c r="K7" s="33">
        <v>0</v>
      </c>
      <c r="L7" s="34"/>
      <c r="M7" s="8"/>
      <c r="N7" s="8"/>
      <c r="O7" s="8"/>
      <c r="P7" s="8"/>
      <c r="Q7" s="8"/>
      <c r="R7" s="8"/>
      <c r="S7" s="8"/>
      <c r="T7" s="9"/>
      <c r="U7" s="9"/>
      <c r="V7" s="9"/>
      <c r="W7" s="9"/>
      <c r="X7" s="9"/>
      <c r="Y7" s="9"/>
      <c r="Z7" s="9"/>
      <c r="AA7" s="9"/>
      <c r="AB7" s="9"/>
      <c r="AC7" s="28"/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</row>
    <row r="8" spans="1:36" ht="18.5" x14ac:dyDescent="0.35">
      <c r="A8" s="32" t="s">
        <v>21</v>
      </c>
      <c r="B8" s="32" t="s">
        <v>22</v>
      </c>
      <c r="C8" s="32" t="s">
        <v>23</v>
      </c>
      <c r="D8" s="33">
        <v>199</v>
      </c>
      <c r="E8" s="14">
        <v>299</v>
      </c>
      <c r="F8" s="15">
        <v>124</v>
      </c>
      <c r="G8" s="33"/>
      <c r="H8" s="33">
        <v>374</v>
      </c>
      <c r="I8" s="33">
        <v>0</v>
      </c>
      <c r="J8" s="33">
        <v>576</v>
      </c>
      <c r="K8" s="33">
        <v>273</v>
      </c>
      <c r="L8" s="34"/>
      <c r="M8" s="8"/>
      <c r="N8" s="8">
        <v>96</v>
      </c>
      <c r="O8" s="8">
        <v>192</v>
      </c>
      <c r="P8" s="8">
        <v>192</v>
      </c>
      <c r="Q8" s="8">
        <v>96</v>
      </c>
      <c r="R8" s="8"/>
      <c r="S8" s="8"/>
      <c r="T8" s="9"/>
      <c r="U8" s="9">
        <v>61</v>
      </c>
      <c r="V8" s="9">
        <v>20</v>
      </c>
      <c r="W8" s="9">
        <v>96</v>
      </c>
      <c r="X8" s="9">
        <v>96</v>
      </c>
      <c r="Y8" s="9"/>
      <c r="Z8" s="9"/>
      <c r="AA8" s="9"/>
      <c r="AB8" s="9"/>
      <c r="AC8" s="28"/>
      <c r="AD8" s="28">
        <v>273</v>
      </c>
      <c r="AE8" s="28">
        <v>0</v>
      </c>
      <c r="AF8" s="28">
        <v>-35</v>
      </c>
      <c r="AG8" s="28">
        <v>-207</v>
      </c>
      <c r="AH8" s="28">
        <v>-207</v>
      </c>
      <c r="AI8" s="28">
        <v>-303</v>
      </c>
      <c r="AJ8" s="28">
        <v>-303</v>
      </c>
    </row>
    <row r="9" spans="1:36" ht="18.5" x14ac:dyDescent="0.35">
      <c r="A9" s="32" t="s">
        <v>24</v>
      </c>
      <c r="B9" s="32" t="s">
        <v>25</v>
      </c>
      <c r="C9" s="32" t="s">
        <v>26</v>
      </c>
      <c r="D9" s="33">
        <v>168</v>
      </c>
      <c r="E9" s="14">
        <v>28</v>
      </c>
      <c r="F9" s="15">
        <v>58</v>
      </c>
      <c r="G9" s="33"/>
      <c r="H9" s="33">
        <v>138</v>
      </c>
      <c r="I9" s="33">
        <v>42</v>
      </c>
      <c r="J9" s="33">
        <v>96</v>
      </c>
      <c r="K9" s="33">
        <v>96</v>
      </c>
      <c r="L9" s="34"/>
      <c r="M9" s="8"/>
      <c r="N9" s="8">
        <v>96</v>
      </c>
      <c r="O9" s="8"/>
      <c r="P9" s="8"/>
      <c r="Q9" s="8"/>
      <c r="R9" s="8"/>
      <c r="S9" s="8"/>
      <c r="T9" s="9"/>
      <c r="U9" s="9">
        <v>96</v>
      </c>
      <c r="V9" s="9"/>
      <c r="W9" s="9"/>
      <c r="X9" s="9"/>
      <c r="Y9" s="9"/>
      <c r="Z9" s="9"/>
      <c r="AA9" s="9"/>
      <c r="AB9" s="9"/>
      <c r="AC9" s="28"/>
      <c r="AD9" s="28">
        <v>96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</row>
    <row r="10" spans="1:36" ht="18.5" x14ac:dyDescent="0.35">
      <c r="A10" s="35" t="s">
        <v>27</v>
      </c>
      <c r="B10" s="32" t="s">
        <v>28</v>
      </c>
      <c r="C10" s="32" t="s">
        <v>29</v>
      </c>
      <c r="D10" s="33">
        <v>200</v>
      </c>
      <c r="E10" s="14">
        <v>4</v>
      </c>
      <c r="F10" s="15">
        <v>230</v>
      </c>
      <c r="G10" s="33"/>
      <c r="H10" s="33">
        <v>0</v>
      </c>
      <c r="I10" s="33">
        <v>0</v>
      </c>
      <c r="J10" s="33">
        <v>0</v>
      </c>
      <c r="K10" s="33">
        <v>0</v>
      </c>
      <c r="L10" s="34"/>
      <c r="M10" s="8"/>
      <c r="N10" s="8"/>
      <c r="O10" s="8"/>
      <c r="P10" s="8"/>
      <c r="Q10" s="8"/>
      <c r="R10" s="8"/>
      <c r="S10" s="8"/>
      <c r="T10" s="9"/>
      <c r="U10" s="9"/>
      <c r="V10" s="9"/>
      <c r="W10" s="9"/>
      <c r="X10" s="9"/>
      <c r="Y10" s="9"/>
      <c r="Z10" s="9"/>
      <c r="AA10" s="9"/>
      <c r="AB10" s="9"/>
      <c r="AC10" s="28"/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</row>
    <row r="11" spans="1:36" ht="18.5" x14ac:dyDescent="0.35">
      <c r="A11" s="32" t="s">
        <v>30</v>
      </c>
      <c r="B11" s="32" t="s">
        <v>31</v>
      </c>
      <c r="C11" s="32" t="s">
        <v>32</v>
      </c>
      <c r="D11" s="33">
        <v>260</v>
      </c>
      <c r="E11" s="14">
        <v>233</v>
      </c>
      <c r="F11" s="15">
        <v>260</v>
      </c>
      <c r="G11" s="33"/>
      <c r="H11" s="33">
        <v>233</v>
      </c>
      <c r="I11" s="33">
        <v>233</v>
      </c>
      <c r="J11" s="33">
        <v>0</v>
      </c>
      <c r="K11" s="33">
        <v>260</v>
      </c>
      <c r="L11" s="34"/>
      <c r="M11" s="8"/>
      <c r="N11" s="8"/>
      <c r="O11" s="8"/>
      <c r="P11" s="8"/>
      <c r="Q11" s="8"/>
      <c r="R11" s="8"/>
      <c r="S11" s="8"/>
      <c r="T11" s="9"/>
      <c r="U11" s="9"/>
      <c r="V11" s="9"/>
      <c r="W11" s="9"/>
      <c r="X11" s="9">
        <v>260</v>
      </c>
      <c r="Y11" s="9"/>
      <c r="Z11" s="9"/>
      <c r="AA11" s="9"/>
      <c r="AB11" s="9"/>
      <c r="AC11" s="28"/>
      <c r="AD11" s="28">
        <v>260</v>
      </c>
      <c r="AE11" s="28">
        <v>0</v>
      </c>
      <c r="AF11" s="28">
        <v>0</v>
      </c>
      <c r="AG11" s="28">
        <v>0</v>
      </c>
      <c r="AH11" s="28">
        <v>260</v>
      </c>
      <c r="AI11" s="28">
        <v>260</v>
      </c>
      <c r="AJ11" s="28">
        <v>260</v>
      </c>
    </row>
    <row r="12" spans="1:36" ht="18.5" x14ac:dyDescent="0.35">
      <c r="A12" s="32" t="s">
        <v>33</v>
      </c>
      <c r="B12" s="32" t="s">
        <v>34</v>
      </c>
      <c r="C12" s="32" t="s">
        <v>35</v>
      </c>
      <c r="D12" s="33">
        <v>140</v>
      </c>
      <c r="E12" s="14">
        <v>0</v>
      </c>
      <c r="F12" s="15">
        <v>200</v>
      </c>
      <c r="G12" s="33"/>
      <c r="H12" s="33">
        <v>0</v>
      </c>
      <c r="I12" s="33">
        <v>0</v>
      </c>
      <c r="J12" s="33">
        <v>0</v>
      </c>
      <c r="K12" s="33">
        <v>0</v>
      </c>
      <c r="L12" s="34"/>
      <c r="M12" s="8"/>
      <c r="N12" s="8"/>
      <c r="O12" s="8"/>
      <c r="P12" s="8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28"/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</row>
    <row r="13" spans="1:36" ht="18.5" x14ac:dyDescent="0.35">
      <c r="A13" s="32" t="s">
        <v>36</v>
      </c>
      <c r="B13" s="32" t="s">
        <v>37</v>
      </c>
      <c r="C13" s="32">
        <v>630131090</v>
      </c>
      <c r="D13" s="33">
        <v>140</v>
      </c>
      <c r="E13" s="14">
        <v>28</v>
      </c>
      <c r="F13" s="15">
        <v>140</v>
      </c>
      <c r="G13" s="33"/>
      <c r="H13" s="33">
        <v>28</v>
      </c>
      <c r="I13" s="33">
        <v>28</v>
      </c>
      <c r="J13" s="33">
        <v>0</v>
      </c>
      <c r="K13" s="33">
        <v>0</v>
      </c>
      <c r="L13" s="34"/>
      <c r="M13" s="8"/>
      <c r="N13" s="8"/>
      <c r="O13" s="8"/>
      <c r="P13" s="8"/>
      <c r="Q13" s="8"/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28"/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</row>
    <row r="14" spans="1:36" ht="18.5" x14ac:dyDescent="0.35">
      <c r="A14" s="32" t="s">
        <v>38</v>
      </c>
      <c r="B14" s="32" t="s">
        <v>39</v>
      </c>
      <c r="C14" s="32" t="s">
        <v>40</v>
      </c>
      <c r="D14" s="33">
        <v>42</v>
      </c>
      <c r="E14" s="14">
        <v>82</v>
      </c>
      <c r="F14" s="15">
        <v>50</v>
      </c>
      <c r="G14" s="33"/>
      <c r="H14" s="33">
        <v>74</v>
      </c>
      <c r="I14" s="33">
        <v>4</v>
      </c>
      <c r="J14" s="33">
        <v>70</v>
      </c>
      <c r="K14" s="33">
        <v>52</v>
      </c>
      <c r="L14" s="34"/>
      <c r="M14" s="8">
        <v>28</v>
      </c>
      <c r="N14" s="8">
        <v>14</v>
      </c>
      <c r="O14" s="8"/>
      <c r="P14" s="8">
        <v>14</v>
      </c>
      <c r="Q14" s="8">
        <v>14</v>
      </c>
      <c r="R14" s="8"/>
      <c r="S14" s="8"/>
      <c r="T14" s="9"/>
      <c r="U14" s="9">
        <v>10</v>
      </c>
      <c r="V14" s="9">
        <v>14</v>
      </c>
      <c r="W14" s="9">
        <v>14</v>
      </c>
      <c r="X14" s="9">
        <v>14</v>
      </c>
      <c r="Y14" s="9"/>
      <c r="Z14" s="9"/>
      <c r="AA14" s="9"/>
      <c r="AB14" s="9"/>
      <c r="AC14" s="28"/>
      <c r="AD14" s="28">
        <v>52</v>
      </c>
      <c r="AE14" s="28">
        <v>-28</v>
      </c>
      <c r="AF14" s="28">
        <v>-32</v>
      </c>
      <c r="AG14" s="28">
        <v>-18</v>
      </c>
      <c r="AH14" s="28">
        <v>-4</v>
      </c>
      <c r="AI14" s="28">
        <v>-18</v>
      </c>
      <c r="AJ14" s="28">
        <v>-18</v>
      </c>
    </row>
    <row r="15" spans="1:36" ht="18.5" x14ac:dyDescent="0.35">
      <c r="A15" s="32" t="s">
        <v>41</v>
      </c>
      <c r="B15" s="32" t="s">
        <v>42</v>
      </c>
      <c r="C15" s="32" t="s">
        <v>43</v>
      </c>
      <c r="D15" s="33">
        <v>28</v>
      </c>
      <c r="E15" s="14">
        <v>0</v>
      </c>
      <c r="F15" s="15">
        <v>42</v>
      </c>
      <c r="G15" s="33"/>
      <c r="H15" s="33">
        <v>0</v>
      </c>
      <c r="I15" s="33">
        <v>0</v>
      </c>
      <c r="J15" s="33">
        <v>0</v>
      </c>
      <c r="K15" s="33">
        <v>0</v>
      </c>
      <c r="L15" s="34"/>
      <c r="M15" s="8"/>
      <c r="N15" s="8"/>
      <c r="O15" s="8"/>
      <c r="P15" s="8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28"/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</row>
    <row r="16" spans="1:36" ht="18.5" x14ac:dyDescent="0.35">
      <c r="A16" s="32" t="s">
        <v>44</v>
      </c>
      <c r="B16" s="32" t="s">
        <v>45</v>
      </c>
      <c r="C16" s="32" t="s">
        <v>46</v>
      </c>
      <c r="D16" s="33">
        <v>84</v>
      </c>
      <c r="E16" s="14">
        <v>265</v>
      </c>
      <c r="F16" s="15">
        <v>70</v>
      </c>
      <c r="G16" s="33"/>
      <c r="H16" s="33">
        <v>279</v>
      </c>
      <c r="I16" s="33">
        <v>0</v>
      </c>
      <c r="J16" s="33">
        <v>280</v>
      </c>
      <c r="K16" s="33">
        <v>276</v>
      </c>
      <c r="L16" s="34"/>
      <c r="M16" s="8">
        <v>42</v>
      </c>
      <c r="N16" s="8">
        <v>56</v>
      </c>
      <c r="O16" s="8">
        <v>70</v>
      </c>
      <c r="P16" s="8">
        <v>70</v>
      </c>
      <c r="Q16" s="8">
        <v>42</v>
      </c>
      <c r="R16" s="8"/>
      <c r="S16" s="8"/>
      <c r="T16" s="9">
        <v>42</v>
      </c>
      <c r="U16" s="9">
        <v>42</v>
      </c>
      <c r="V16" s="9">
        <v>52</v>
      </c>
      <c r="W16" s="9">
        <v>42</v>
      </c>
      <c r="X16" s="9">
        <v>56</v>
      </c>
      <c r="Y16" s="9">
        <v>42</v>
      </c>
      <c r="Z16" s="9"/>
      <c r="AA16" s="9"/>
      <c r="AB16" s="9"/>
      <c r="AC16" s="28"/>
      <c r="AD16" s="28">
        <v>276</v>
      </c>
      <c r="AE16" s="28">
        <v>0</v>
      </c>
      <c r="AF16" s="28">
        <v>-14</v>
      </c>
      <c r="AG16" s="28">
        <v>-32</v>
      </c>
      <c r="AH16" s="28">
        <v>38</v>
      </c>
      <c r="AI16" s="28">
        <v>-4</v>
      </c>
      <c r="AJ16" s="28">
        <v>-4</v>
      </c>
    </row>
    <row r="17" spans="1:36" ht="18.5" x14ac:dyDescent="0.35">
      <c r="A17" s="32" t="s">
        <v>47</v>
      </c>
      <c r="B17" s="32" t="s">
        <v>48</v>
      </c>
      <c r="C17" s="32" t="s">
        <v>49</v>
      </c>
      <c r="D17" s="33">
        <v>28</v>
      </c>
      <c r="E17" s="14">
        <v>15</v>
      </c>
      <c r="F17" s="15">
        <v>30</v>
      </c>
      <c r="G17" s="33"/>
      <c r="H17" s="33">
        <v>13</v>
      </c>
      <c r="I17" s="33">
        <v>0</v>
      </c>
      <c r="J17" s="33">
        <v>14</v>
      </c>
      <c r="K17" s="33">
        <v>14</v>
      </c>
      <c r="L17" s="34"/>
      <c r="M17" s="8"/>
      <c r="N17" s="8"/>
      <c r="O17" s="8"/>
      <c r="P17" s="8"/>
      <c r="Q17" s="8">
        <v>14</v>
      </c>
      <c r="R17" s="8"/>
      <c r="S17" s="8"/>
      <c r="T17" s="9"/>
      <c r="U17" s="9"/>
      <c r="V17" s="9"/>
      <c r="W17" s="9">
        <v>14</v>
      </c>
      <c r="X17" s="9"/>
      <c r="Y17" s="9"/>
      <c r="Z17" s="9"/>
      <c r="AA17" s="9"/>
      <c r="AB17" s="9"/>
      <c r="AC17" s="28"/>
      <c r="AD17" s="28">
        <v>14</v>
      </c>
      <c r="AE17" s="28">
        <v>0</v>
      </c>
      <c r="AF17" s="28">
        <v>0</v>
      </c>
      <c r="AG17" s="28">
        <v>0</v>
      </c>
      <c r="AH17" s="28">
        <v>14</v>
      </c>
      <c r="AI17" s="28">
        <v>0</v>
      </c>
      <c r="AJ17" s="28">
        <v>0</v>
      </c>
    </row>
    <row r="18" spans="1:36" ht="18.5" x14ac:dyDescent="0.35">
      <c r="A18" s="32" t="s">
        <v>50</v>
      </c>
      <c r="B18" s="32" t="s">
        <v>51</v>
      </c>
      <c r="C18" s="32" t="s">
        <v>52</v>
      </c>
      <c r="D18" s="33">
        <v>0</v>
      </c>
      <c r="E18" s="14">
        <v>0</v>
      </c>
      <c r="F18" s="15">
        <v>0</v>
      </c>
      <c r="G18" s="33"/>
      <c r="H18" s="33">
        <v>0</v>
      </c>
      <c r="I18" s="33">
        <v>0</v>
      </c>
      <c r="J18" s="33">
        <v>0</v>
      </c>
      <c r="K18" s="33">
        <v>0</v>
      </c>
      <c r="L18" s="34"/>
      <c r="M18" s="8"/>
      <c r="N18" s="8"/>
      <c r="O18" s="8"/>
      <c r="P18" s="8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28"/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</row>
    <row r="19" spans="1:36" ht="18.5" x14ac:dyDescent="0.35">
      <c r="A19" s="32" t="s">
        <v>53</v>
      </c>
      <c r="B19" s="32" t="s">
        <v>54</v>
      </c>
      <c r="C19" s="32" t="s">
        <v>55</v>
      </c>
      <c r="D19" s="33">
        <v>28</v>
      </c>
      <c r="E19" s="14">
        <v>10</v>
      </c>
      <c r="F19" s="15">
        <v>22</v>
      </c>
      <c r="G19" s="33"/>
      <c r="H19" s="33">
        <v>16</v>
      </c>
      <c r="I19" s="33">
        <v>2</v>
      </c>
      <c r="J19" s="33">
        <v>14</v>
      </c>
      <c r="K19" s="33">
        <v>42</v>
      </c>
      <c r="L19" s="34"/>
      <c r="M19" s="8"/>
      <c r="N19" s="8"/>
      <c r="O19" s="8"/>
      <c r="P19" s="8"/>
      <c r="Q19" s="8">
        <v>14</v>
      </c>
      <c r="R19" s="8"/>
      <c r="S19" s="8"/>
      <c r="T19" s="9"/>
      <c r="U19" s="9"/>
      <c r="V19" s="9"/>
      <c r="W19" s="9">
        <v>42</v>
      </c>
      <c r="X19" s="9"/>
      <c r="Y19" s="9"/>
      <c r="Z19" s="9"/>
      <c r="AA19" s="9"/>
      <c r="AB19" s="9"/>
      <c r="AC19" s="28"/>
      <c r="AD19" s="28">
        <v>42</v>
      </c>
      <c r="AE19" s="28">
        <v>0</v>
      </c>
      <c r="AF19" s="28">
        <v>0</v>
      </c>
      <c r="AG19" s="28">
        <v>0</v>
      </c>
      <c r="AH19" s="28">
        <v>42</v>
      </c>
      <c r="AI19" s="28">
        <v>28</v>
      </c>
      <c r="AJ19" s="28">
        <v>28</v>
      </c>
    </row>
    <row r="20" spans="1:36" ht="18.5" x14ac:dyDescent="0.35">
      <c r="A20" s="32" t="s">
        <v>56</v>
      </c>
      <c r="B20" s="32" t="s">
        <v>57</v>
      </c>
      <c r="C20" s="32" t="s">
        <v>58</v>
      </c>
      <c r="D20" s="33">
        <v>28</v>
      </c>
      <c r="E20" s="14">
        <v>33</v>
      </c>
      <c r="F20" s="15">
        <v>46</v>
      </c>
      <c r="G20" s="33"/>
      <c r="H20" s="33">
        <v>15</v>
      </c>
      <c r="I20" s="33">
        <v>0</v>
      </c>
      <c r="J20" s="33">
        <v>42</v>
      </c>
      <c r="K20" s="33">
        <v>28</v>
      </c>
      <c r="L20" s="34"/>
      <c r="M20" s="8"/>
      <c r="N20" s="8">
        <v>14</v>
      </c>
      <c r="O20" s="8">
        <v>14</v>
      </c>
      <c r="P20" s="8"/>
      <c r="Q20" s="8">
        <v>14</v>
      </c>
      <c r="R20" s="8"/>
      <c r="S20" s="8"/>
      <c r="T20" s="9"/>
      <c r="U20" s="9"/>
      <c r="V20" s="9"/>
      <c r="W20" s="9">
        <v>14</v>
      </c>
      <c r="X20" s="9"/>
      <c r="Y20" s="9">
        <v>14</v>
      </c>
      <c r="Z20" s="9"/>
      <c r="AA20" s="9"/>
      <c r="AB20" s="9"/>
      <c r="AC20" s="28"/>
      <c r="AD20" s="28">
        <v>28</v>
      </c>
      <c r="AE20" s="28">
        <v>0</v>
      </c>
      <c r="AF20" s="28">
        <v>-14</v>
      </c>
      <c r="AG20" s="28">
        <v>-28</v>
      </c>
      <c r="AH20" s="28">
        <v>0</v>
      </c>
      <c r="AI20" s="28">
        <v>-14</v>
      </c>
      <c r="AJ20" s="28">
        <v>-14</v>
      </c>
    </row>
    <row r="21" spans="1:36" ht="18.5" x14ac:dyDescent="0.35">
      <c r="A21" s="32" t="s">
        <v>59</v>
      </c>
      <c r="B21" s="32" t="s">
        <v>60</v>
      </c>
      <c r="C21" s="32" t="s">
        <v>61</v>
      </c>
      <c r="D21" s="33">
        <v>28</v>
      </c>
      <c r="E21" s="14">
        <v>7</v>
      </c>
      <c r="F21" s="15">
        <v>27</v>
      </c>
      <c r="G21" s="33"/>
      <c r="H21" s="33">
        <v>8</v>
      </c>
      <c r="I21" s="33">
        <v>0</v>
      </c>
      <c r="J21" s="33">
        <v>14</v>
      </c>
      <c r="K21" s="33">
        <v>14</v>
      </c>
      <c r="L21" s="34"/>
      <c r="M21" s="8">
        <v>14</v>
      </c>
      <c r="N21" s="8"/>
      <c r="O21" s="8"/>
      <c r="P21" s="8"/>
      <c r="Q21" s="8"/>
      <c r="R21" s="8"/>
      <c r="S21" s="8"/>
      <c r="T21" s="9">
        <v>14</v>
      </c>
      <c r="U21" s="9"/>
      <c r="V21" s="9"/>
      <c r="W21" s="9"/>
      <c r="X21" s="9"/>
      <c r="Y21" s="9"/>
      <c r="Z21" s="9"/>
      <c r="AA21" s="9"/>
      <c r="AB21" s="9"/>
      <c r="AC21" s="28"/>
      <c r="AD21" s="28">
        <v>14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</row>
    <row r="22" spans="1:36" ht="16" x14ac:dyDescent="0.35">
      <c r="A22" s="35">
        <v>542474700122</v>
      </c>
      <c r="B22" s="32" t="s">
        <v>89</v>
      </c>
      <c r="C22" s="32" t="s">
        <v>90</v>
      </c>
      <c r="D22" s="33">
        <v>50</v>
      </c>
      <c r="E22" s="36">
        <v>0</v>
      </c>
      <c r="F22" s="33">
        <v>55</v>
      </c>
      <c r="G22" s="33"/>
      <c r="H22" s="33">
        <v>0</v>
      </c>
      <c r="I22" s="33">
        <v>0</v>
      </c>
      <c r="J22" s="33">
        <v>0</v>
      </c>
      <c r="K22" s="33">
        <v>0</v>
      </c>
      <c r="L22" s="34"/>
      <c r="M22" s="37"/>
      <c r="N22" s="37"/>
      <c r="O22" s="37"/>
      <c r="P22" s="22"/>
      <c r="Q22" s="22"/>
      <c r="R22" s="22"/>
      <c r="S22" s="22"/>
      <c r="T22" s="38"/>
      <c r="U22" s="38"/>
      <c r="V22" s="38"/>
      <c r="W22" s="38"/>
      <c r="X22" s="38"/>
      <c r="Y22" s="38"/>
      <c r="Z22" s="28"/>
      <c r="AA22" s="28"/>
      <c r="AB22" s="28"/>
      <c r="AC22" s="28"/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</row>
    <row r="23" spans="1:36" ht="16" x14ac:dyDescent="0.35">
      <c r="A23" s="35">
        <v>542463700115</v>
      </c>
      <c r="B23" s="32" t="s">
        <v>91</v>
      </c>
      <c r="C23" s="32" t="s">
        <v>92</v>
      </c>
      <c r="D23" s="33">
        <v>50</v>
      </c>
      <c r="E23" s="36">
        <v>0</v>
      </c>
      <c r="F23" s="33">
        <v>60</v>
      </c>
      <c r="G23" s="33"/>
      <c r="H23" s="33">
        <v>0</v>
      </c>
      <c r="I23" s="33">
        <v>0</v>
      </c>
      <c r="J23" s="33">
        <v>0</v>
      </c>
      <c r="K23" s="33">
        <v>0</v>
      </c>
      <c r="L23" s="34"/>
      <c r="M23" s="37"/>
      <c r="N23" s="37"/>
      <c r="O23" s="37"/>
      <c r="P23" s="22"/>
      <c r="Q23" s="22"/>
      <c r="R23" s="22"/>
      <c r="S23" s="22"/>
      <c r="T23" s="38"/>
      <c r="U23" s="38"/>
      <c r="V23" s="38"/>
      <c r="W23" s="38"/>
      <c r="X23" s="38"/>
      <c r="Y23" s="38"/>
      <c r="Z23" s="28"/>
      <c r="AA23" s="28"/>
      <c r="AB23" s="28"/>
      <c r="AC23" s="28"/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</row>
    <row r="24" spans="1:36" ht="16" x14ac:dyDescent="0.35">
      <c r="A24" s="35">
        <v>542463700114</v>
      </c>
      <c r="B24" s="32" t="s">
        <v>93</v>
      </c>
      <c r="C24" s="32" t="s">
        <v>94</v>
      </c>
      <c r="D24" s="33">
        <v>50</v>
      </c>
      <c r="E24" s="36">
        <v>0</v>
      </c>
      <c r="F24" s="33">
        <v>42</v>
      </c>
      <c r="G24" s="33"/>
      <c r="H24" s="33">
        <v>8</v>
      </c>
      <c r="I24" s="33">
        <v>8</v>
      </c>
      <c r="J24" s="33">
        <v>0</v>
      </c>
      <c r="K24" s="33">
        <v>0</v>
      </c>
      <c r="L24" s="34"/>
      <c r="M24" s="37"/>
      <c r="N24" s="37"/>
      <c r="O24" s="37"/>
      <c r="P24" s="22"/>
      <c r="Q24" s="22"/>
      <c r="R24" s="22"/>
      <c r="S24" s="22"/>
      <c r="T24" s="38"/>
      <c r="U24" s="38"/>
      <c r="V24" s="38"/>
      <c r="W24" s="38"/>
      <c r="X24" s="38"/>
      <c r="Y24" s="38"/>
      <c r="Z24" s="28"/>
      <c r="AA24" s="28"/>
      <c r="AB24" s="28"/>
      <c r="AC24" s="28"/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</row>
    <row r="25" spans="1:36" ht="16" x14ac:dyDescent="0.35">
      <c r="A25" s="35">
        <v>542472700140</v>
      </c>
      <c r="B25" s="32" t="s">
        <v>95</v>
      </c>
      <c r="C25" s="32" t="s">
        <v>96</v>
      </c>
      <c r="D25" s="33">
        <v>50</v>
      </c>
      <c r="E25" s="36">
        <v>0</v>
      </c>
      <c r="F25" s="33">
        <v>60</v>
      </c>
      <c r="G25" s="33"/>
      <c r="H25" s="33">
        <v>0</v>
      </c>
      <c r="I25" s="33">
        <v>0</v>
      </c>
      <c r="J25" s="33">
        <v>0</v>
      </c>
      <c r="K25" s="33">
        <v>0</v>
      </c>
      <c r="L25" s="34"/>
      <c r="M25" s="37"/>
      <c r="N25" s="37"/>
      <c r="O25" s="37"/>
      <c r="P25" s="22"/>
      <c r="Q25" s="22"/>
      <c r="R25" s="22"/>
      <c r="S25" s="22"/>
      <c r="T25" s="38"/>
      <c r="U25" s="38"/>
      <c r="V25" s="38"/>
      <c r="W25" s="38"/>
      <c r="X25" s="38"/>
      <c r="Y25" s="38"/>
      <c r="Z25" s="28"/>
      <c r="AA25" s="28"/>
      <c r="AB25" s="28"/>
      <c r="AC25" s="28"/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</row>
    <row r="26" spans="1:36" ht="16" x14ac:dyDescent="0.35">
      <c r="A26" s="35">
        <v>542472700139</v>
      </c>
      <c r="B26" s="32" t="s">
        <v>97</v>
      </c>
      <c r="C26" s="32" t="s">
        <v>98</v>
      </c>
      <c r="D26" s="33">
        <v>50</v>
      </c>
      <c r="E26" s="36">
        <v>0</v>
      </c>
      <c r="F26" s="33">
        <v>40</v>
      </c>
      <c r="G26" s="33"/>
      <c r="H26" s="33">
        <v>10</v>
      </c>
      <c r="I26" s="33">
        <v>10</v>
      </c>
      <c r="J26" s="33">
        <v>0</v>
      </c>
      <c r="K26" s="33">
        <v>0</v>
      </c>
      <c r="L26" s="34"/>
      <c r="M26" s="37"/>
      <c r="N26" s="37"/>
      <c r="O26" s="37"/>
      <c r="P26" s="22"/>
      <c r="Q26" s="22"/>
      <c r="R26" s="22"/>
      <c r="S26" s="22"/>
      <c r="T26" s="38"/>
      <c r="U26" s="38"/>
      <c r="V26" s="38"/>
      <c r="W26" s="38"/>
      <c r="X26" s="38"/>
      <c r="Y26" s="38"/>
      <c r="Z26" s="28"/>
      <c r="AA26" s="28"/>
      <c r="AB26" s="28"/>
      <c r="AC26" s="28"/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</row>
    <row r="27" spans="1:36" ht="16" x14ac:dyDescent="0.35">
      <c r="A27" s="35">
        <v>542473700124</v>
      </c>
      <c r="B27" s="32" t="s">
        <v>99</v>
      </c>
      <c r="C27" s="32" t="s">
        <v>100</v>
      </c>
      <c r="D27" s="33">
        <v>50</v>
      </c>
      <c r="E27" s="36">
        <v>0</v>
      </c>
      <c r="F27" s="33">
        <v>35</v>
      </c>
      <c r="G27" s="33"/>
      <c r="H27" s="33">
        <v>15</v>
      </c>
      <c r="I27" s="33">
        <v>15</v>
      </c>
      <c r="J27" s="33">
        <v>0</v>
      </c>
      <c r="K27" s="33">
        <v>0</v>
      </c>
      <c r="L27" s="34"/>
      <c r="M27" s="37"/>
      <c r="N27" s="37"/>
      <c r="O27" s="37"/>
      <c r="P27" s="22"/>
      <c r="Q27" s="22"/>
      <c r="R27" s="22"/>
      <c r="S27" s="22"/>
      <c r="T27" s="38"/>
      <c r="U27" s="38"/>
      <c r="V27" s="38"/>
      <c r="W27" s="38"/>
      <c r="X27" s="38"/>
      <c r="Y27" s="38"/>
      <c r="Z27" s="28"/>
      <c r="AA27" s="28"/>
      <c r="AB27" s="28"/>
      <c r="AC27" s="28"/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</row>
    <row r="28" spans="1:36" ht="16" x14ac:dyDescent="0.35">
      <c r="A28" s="35">
        <v>542473700123</v>
      </c>
      <c r="B28" s="32" t="s">
        <v>101</v>
      </c>
      <c r="C28" s="32" t="s">
        <v>102</v>
      </c>
      <c r="D28" s="33">
        <v>50</v>
      </c>
      <c r="E28" s="36">
        <v>0</v>
      </c>
      <c r="F28" s="33">
        <v>36</v>
      </c>
      <c r="G28" s="33"/>
      <c r="H28" s="33">
        <v>14</v>
      </c>
      <c r="I28" s="33">
        <v>14</v>
      </c>
      <c r="J28" s="33">
        <v>0</v>
      </c>
      <c r="K28" s="33">
        <v>0</v>
      </c>
      <c r="L28" s="34"/>
      <c r="M28" s="37"/>
      <c r="N28" s="37"/>
      <c r="O28" s="37"/>
      <c r="P28" s="22"/>
      <c r="Q28" s="22"/>
      <c r="R28" s="22"/>
      <c r="S28" s="22"/>
      <c r="T28" s="38"/>
      <c r="U28" s="38"/>
      <c r="V28" s="38"/>
      <c r="W28" s="38"/>
      <c r="X28" s="38"/>
      <c r="Y28" s="38"/>
      <c r="Z28" s="28"/>
      <c r="AA28" s="28"/>
      <c r="AB28" s="28"/>
      <c r="AC28" s="28"/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</row>
    <row r="29" spans="1:36" ht="16" x14ac:dyDescent="0.35">
      <c r="A29" s="39">
        <v>542488100121</v>
      </c>
      <c r="B29" s="40" t="s">
        <v>103</v>
      </c>
      <c r="C29" s="40" t="s">
        <v>104</v>
      </c>
      <c r="D29" s="33">
        <v>50</v>
      </c>
      <c r="E29" s="36">
        <v>0</v>
      </c>
      <c r="F29" s="8">
        <v>250</v>
      </c>
      <c r="G29" s="33"/>
      <c r="H29" s="33">
        <v>0</v>
      </c>
      <c r="I29" s="33">
        <v>0</v>
      </c>
      <c r="J29" s="33">
        <v>0</v>
      </c>
      <c r="K29" s="33">
        <v>0</v>
      </c>
      <c r="L29" s="34"/>
      <c r="M29" s="37"/>
      <c r="N29" s="37"/>
      <c r="O29" s="37"/>
      <c r="P29" s="22"/>
      <c r="Q29" s="22"/>
      <c r="R29" s="22"/>
      <c r="S29" s="22"/>
      <c r="T29" s="38"/>
      <c r="U29" s="38"/>
      <c r="V29" s="38"/>
      <c r="W29" s="38"/>
      <c r="X29" s="38"/>
      <c r="Y29" s="38"/>
      <c r="Z29" s="28"/>
      <c r="AA29" s="28"/>
      <c r="AB29" s="28"/>
      <c r="AC29" s="28"/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</row>
    <row r="30" spans="1:36" ht="16" x14ac:dyDescent="0.35">
      <c r="A30" s="39">
        <v>542488100120</v>
      </c>
      <c r="B30" s="40" t="s">
        <v>105</v>
      </c>
      <c r="C30" s="40" t="s">
        <v>106</v>
      </c>
      <c r="D30" s="33">
        <v>50</v>
      </c>
      <c r="E30" s="36">
        <v>0</v>
      </c>
      <c r="F30" s="8">
        <v>50</v>
      </c>
      <c r="G30" s="33"/>
      <c r="H30" s="33">
        <v>0</v>
      </c>
      <c r="I30" s="33">
        <v>0</v>
      </c>
      <c r="J30" s="33">
        <v>0</v>
      </c>
      <c r="K30" s="33">
        <v>0</v>
      </c>
      <c r="L30" s="34"/>
      <c r="M30" s="37"/>
      <c r="N30" s="37"/>
      <c r="O30" s="37"/>
      <c r="P30" s="22"/>
      <c r="Q30" s="22"/>
      <c r="R30" s="22"/>
      <c r="S30" s="22"/>
      <c r="T30" s="38"/>
      <c r="U30" s="38"/>
      <c r="V30" s="38"/>
      <c r="W30" s="38"/>
      <c r="X30" s="38"/>
      <c r="Y30" s="38"/>
      <c r="Z30" s="28"/>
      <c r="AA30" s="28"/>
      <c r="AB30" s="28"/>
      <c r="AC30" s="28"/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</row>
    <row r="31" spans="1:36" ht="16" x14ac:dyDescent="0.35">
      <c r="A31" s="39">
        <v>542488100123</v>
      </c>
      <c r="B31" s="40" t="s">
        <v>107</v>
      </c>
      <c r="C31" s="40" t="s">
        <v>108</v>
      </c>
      <c r="D31" s="33">
        <v>50</v>
      </c>
      <c r="E31" s="36">
        <v>0</v>
      </c>
      <c r="F31" s="8">
        <v>70</v>
      </c>
      <c r="G31" s="33"/>
      <c r="H31" s="33">
        <v>0</v>
      </c>
      <c r="I31" s="33">
        <v>0</v>
      </c>
      <c r="J31" s="33">
        <v>0</v>
      </c>
      <c r="K31" s="33">
        <v>0</v>
      </c>
      <c r="L31" s="34"/>
      <c r="M31" s="37"/>
      <c r="N31" s="37"/>
      <c r="O31" s="37"/>
      <c r="P31" s="22"/>
      <c r="Q31" s="22"/>
      <c r="R31" s="22"/>
      <c r="S31" s="22"/>
      <c r="T31" s="38"/>
      <c r="U31" s="38"/>
      <c r="V31" s="38"/>
      <c r="W31" s="38"/>
      <c r="X31" s="38"/>
      <c r="Y31" s="38"/>
      <c r="Z31" s="28"/>
      <c r="AA31" s="28"/>
      <c r="AB31" s="28"/>
      <c r="AC31" s="28"/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</row>
    <row r="32" spans="1:36" ht="16" x14ac:dyDescent="0.35">
      <c r="A32" s="39">
        <v>542488100122</v>
      </c>
      <c r="B32" s="40" t="s">
        <v>109</v>
      </c>
      <c r="C32" s="40" t="s">
        <v>110</v>
      </c>
      <c r="D32" s="33">
        <v>50</v>
      </c>
      <c r="E32" s="36">
        <v>0</v>
      </c>
      <c r="F32" s="8">
        <v>30</v>
      </c>
      <c r="G32" s="33"/>
      <c r="H32" s="33">
        <v>20</v>
      </c>
      <c r="I32" s="33">
        <v>20</v>
      </c>
      <c r="J32" s="33">
        <v>0</v>
      </c>
      <c r="K32" s="33">
        <v>0</v>
      </c>
      <c r="L32" s="34"/>
      <c r="M32" s="37"/>
      <c r="N32" s="37"/>
      <c r="O32" s="37"/>
      <c r="P32" s="22"/>
      <c r="Q32" s="22"/>
      <c r="R32" s="22"/>
      <c r="S32" s="22"/>
      <c r="T32" s="38"/>
      <c r="U32" s="38"/>
      <c r="V32" s="38"/>
      <c r="W32" s="38"/>
      <c r="X32" s="38"/>
      <c r="Y32" s="38"/>
      <c r="Z32" s="28"/>
      <c r="AA32" s="28"/>
      <c r="AB32" s="28"/>
      <c r="AC32" s="28"/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</row>
    <row r="33" spans="1:36" ht="16" x14ac:dyDescent="0.35">
      <c r="A33" s="35">
        <v>542490600102</v>
      </c>
      <c r="B33" s="32" t="s">
        <v>111</v>
      </c>
      <c r="C33" s="32" t="s">
        <v>112</v>
      </c>
      <c r="D33" s="33">
        <v>50</v>
      </c>
      <c r="E33" s="36">
        <v>0</v>
      </c>
      <c r="F33" s="33">
        <v>40</v>
      </c>
      <c r="G33" s="33"/>
      <c r="H33" s="33">
        <v>10</v>
      </c>
      <c r="I33" s="33">
        <v>10</v>
      </c>
      <c r="J33" s="33">
        <v>0</v>
      </c>
      <c r="K33" s="33">
        <v>0</v>
      </c>
      <c r="L33" s="34"/>
      <c r="M33" s="37"/>
      <c r="N33" s="37"/>
      <c r="O33" s="37"/>
      <c r="P33" s="22"/>
      <c r="Q33" s="22"/>
      <c r="R33" s="22"/>
      <c r="S33" s="22"/>
      <c r="T33" s="38"/>
      <c r="U33" s="38"/>
      <c r="V33" s="38"/>
      <c r="W33" s="38"/>
      <c r="X33" s="38"/>
      <c r="Y33" s="38"/>
      <c r="Z33" s="28"/>
      <c r="AA33" s="28"/>
      <c r="AB33" s="28"/>
      <c r="AC33" s="28"/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</row>
    <row r="34" spans="1:36" ht="16" x14ac:dyDescent="0.35">
      <c r="A34" s="35">
        <v>542490600101</v>
      </c>
      <c r="B34" s="32" t="s">
        <v>113</v>
      </c>
      <c r="C34" s="32" t="s">
        <v>114</v>
      </c>
      <c r="D34" s="33">
        <v>50</v>
      </c>
      <c r="E34" s="36">
        <v>0</v>
      </c>
      <c r="F34" s="33">
        <v>40</v>
      </c>
      <c r="G34" s="33"/>
      <c r="H34" s="33">
        <v>10</v>
      </c>
      <c r="I34" s="33">
        <v>10</v>
      </c>
      <c r="J34" s="33">
        <v>0</v>
      </c>
      <c r="K34" s="33">
        <v>0</v>
      </c>
      <c r="L34" s="34"/>
      <c r="M34" s="37"/>
      <c r="N34" s="37"/>
      <c r="O34" s="37"/>
      <c r="P34" s="22"/>
      <c r="Q34" s="22"/>
      <c r="R34" s="22"/>
      <c r="S34" s="22"/>
      <c r="T34" s="38"/>
      <c r="U34" s="38"/>
      <c r="V34" s="38"/>
      <c r="W34" s="38"/>
      <c r="X34" s="38"/>
      <c r="Y34" s="38"/>
      <c r="Z34" s="28"/>
      <c r="AA34" s="28"/>
      <c r="AB34" s="28"/>
      <c r="AC34" s="28"/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</row>
    <row r="35" spans="1:36" ht="16" x14ac:dyDescent="0.35">
      <c r="A35" s="33"/>
      <c r="B35" s="33"/>
      <c r="C35" s="33"/>
      <c r="D35" s="33"/>
      <c r="E35" s="33"/>
      <c r="F35" s="33"/>
      <c r="G35" s="33"/>
      <c r="H35" s="33"/>
      <c r="I35" s="33"/>
      <c r="J35" s="33">
        <v>0</v>
      </c>
      <c r="K35" s="33">
        <v>1.8625</v>
      </c>
      <c r="L35" s="34"/>
      <c r="M35" s="10"/>
      <c r="N35" s="10"/>
      <c r="O35" s="10"/>
      <c r="P35" s="10"/>
      <c r="Q35" s="10"/>
      <c r="R35" s="17"/>
      <c r="S35" s="8"/>
      <c r="T35" s="11">
        <v>0.27083333333333331</v>
      </c>
      <c r="U35" s="11">
        <v>0.39791666666666664</v>
      </c>
      <c r="V35" s="11">
        <v>0.52013888888888893</v>
      </c>
      <c r="W35" s="11">
        <v>0.67361111111111116</v>
      </c>
      <c r="X35" s="11"/>
      <c r="Y35" s="11"/>
      <c r="Z35" s="11"/>
      <c r="AA35" s="11"/>
      <c r="AB35" s="31"/>
      <c r="AC35" s="41"/>
      <c r="AD35" s="31" t="s">
        <v>88</v>
      </c>
      <c r="AE35" s="31">
        <v>0.27083333333333331</v>
      </c>
      <c r="AF35" s="31"/>
      <c r="AG35" s="31"/>
      <c r="AH35" s="31"/>
      <c r="AI35" s="31"/>
      <c r="AJ35" s="31"/>
    </row>
    <row r="36" spans="1:36" ht="18.5" x14ac:dyDescent="0.35">
      <c r="A36" s="32" t="s">
        <v>62</v>
      </c>
      <c r="B36" s="32" t="s">
        <v>63</v>
      </c>
      <c r="C36" s="32" t="s">
        <v>64</v>
      </c>
      <c r="D36" s="33">
        <v>80</v>
      </c>
      <c r="E36" s="14">
        <v>172</v>
      </c>
      <c r="F36" s="15">
        <v>28</v>
      </c>
      <c r="G36" s="33"/>
      <c r="H36" s="33">
        <v>224</v>
      </c>
      <c r="I36" s="33">
        <v>0</v>
      </c>
      <c r="J36" s="33">
        <v>228</v>
      </c>
      <c r="K36" s="33">
        <v>200</v>
      </c>
      <c r="L36" s="34"/>
      <c r="M36" s="18">
        <v>68</v>
      </c>
      <c r="N36" s="18">
        <v>48</v>
      </c>
      <c r="O36" s="18">
        <v>48</v>
      </c>
      <c r="P36" s="18">
        <v>64</v>
      </c>
      <c r="Q36" s="18"/>
      <c r="R36" s="19"/>
      <c r="S36" s="8"/>
      <c r="T36" s="9">
        <v>68</v>
      </c>
      <c r="U36" s="9">
        <v>32</v>
      </c>
      <c r="V36" s="20">
        <v>52</v>
      </c>
      <c r="W36" s="20">
        <v>48</v>
      </c>
      <c r="X36" s="20"/>
      <c r="Y36" s="20"/>
      <c r="Z36" s="20"/>
      <c r="AA36" s="20"/>
      <c r="AB36" s="42"/>
      <c r="AC36" s="28"/>
      <c r="AD36" s="28">
        <v>200</v>
      </c>
      <c r="AE36" s="28">
        <v>0</v>
      </c>
      <c r="AF36" s="28">
        <v>-16</v>
      </c>
      <c r="AG36" s="28">
        <v>-12</v>
      </c>
      <c r="AH36" s="28">
        <v>-28</v>
      </c>
      <c r="AI36" s="28">
        <v>-28</v>
      </c>
      <c r="AJ36" s="28">
        <v>-28</v>
      </c>
    </row>
    <row r="37" spans="1:36" ht="18.5" x14ac:dyDescent="0.35">
      <c r="A37" s="32" t="s">
        <v>65</v>
      </c>
      <c r="B37" s="32" t="s">
        <v>66</v>
      </c>
      <c r="C37" s="32" t="s">
        <v>67</v>
      </c>
      <c r="D37" s="33">
        <v>32</v>
      </c>
      <c r="E37" s="14">
        <v>37</v>
      </c>
      <c r="F37" s="15">
        <v>35</v>
      </c>
      <c r="G37" s="33"/>
      <c r="H37" s="33">
        <v>34</v>
      </c>
      <c r="I37" s="33">
        <v>2</v>
      </c>
      <c r="J37" s="33">
        <v>32</v>
      </c>
      <c r="K37" s="33">
        <v>12</v>
      </c>
      <c r="L37" s="34"/>
      <c r="M37" s="8"/>
      <c r="N37" s="8">
        <v>16</v>
      </c>
      <c r="O37" s="8">
        <v>16</v>
      </c>
      <c r="P37" s="8"/>
      <c r="Q37" s="18"/>
      <c r="R37" s="22"/>
      <c r="S37" s="8"/>
      <c r="T37" s="9"/>
      <c r="U37" s="9"/>
      <c r="V37" s="9">
        <v>12</v>
      </c>
      <c r="W37" s="9"/>
      <c r="X37" s="9"/>
      <c r="Y37" s="9"/>
      <c r="Z37" s="9"/>
      <c r="AA37" s="9"/>
      <c r="AB37" s="27"/>
      <c r="AC37" s="28"/>
      <c r="AD37" s="28">
        <v>12</v>
      </c>
      <c r="AE37" s="28">
        <v>0</v>
      </c>
      <c r="AF37" s="28">
        <v>-16</v>
      </c>
      <c r="AG37" s="28">
        <v>-20</v>
      </c>
      <c r="AH37" s="28">
        <v>-20</v>
      </c>
      <c r="AI37" s="28">
        <v>-20</v>
      </c>
      <c r="AJ37" s="28">
        <v>-20</v>
      </c>
    </row>
    <row r="38" spans="1:36" ht="18.5" x14ac:dyDescent="0.35">
      <c r="A38" s="32" t="s">
        <v>68</v>
      </c>
      <c r="B38" s="32" t="s">
        <v>69</v>
      </c>
      <c r="C38" s="32" t="s">
        <v>70</v>
      </c>
      <c r="D38" s="33">
        <v>64</v>
      </c>
      <c r="E38" s="14">
        <v>84</v>
      </c>
      <c r="F38" s="15">
        <v>116</v>
      </c>
      <c r="G38" s="33"/>
      <c r="H38" s="33">
        <v>32</v>
      </c>
      <c r="I38" s="33">
        <v>0</v>
      </c>
      <c r="J38" s="33">
        <v>32</v>
      </c>
      <c r="K38" s="33">
        <v>48</v>
      </c>
      <c r="L38" s="34"/>
      <c r="M38" s="8"/>
      <c r="N38" s="8">
        <v>16</v>
      </c>
      <c r="O38" s="8">
        <v>16</v>
      </c>
      <c r="P38" s="8"/>
      <c r="Q38" s="18"/>
      <c r="R38" s="22"/>
      <c r="S38" s="8"/>
      <c r="T38" s="9"/>
      <c r="U38" s="9">
        <v>16</v>
      </c>
      <c r="V38" s="9"/>
      <c r="W38" s="9">
        <v>32</v>
      </c>
      <c r="X38" s="9"/>
      <c r="Y38" s="9"/>
      <c r="Z38" s="9"/>
      <c r="AA38" s="9"/>
      <c r="AB38" s="27"/>
      <c r="AC38" s="28"/>
      <c r="AD38" s="28">
        <v>48</v>
      </c>
      <c r="AE38" s="28">
        <v>0</v>
      </c>
      <c r="AF38" s="28">
        <v>0</v>
      </c>
      <c r="AG38" s="28">
        <v>-16</v>
      </c>
      <c r="AH38" s="28">
        <v>16</v>
      </c>
      <c r="AI38" s="28">
        <v>16</v>
      </c>
      <c r="AJ38" s="28">
        <v>16</v>
      </c>
    </row>
    <row r="39" spans="1:36" ht="18.5" x14ac:dyDescent="0.35">
      <c r="A39" s="32" t="s">
        <v>71</v>
      </c>
      <c r="B39" s="32" t="s">
        <v>72</v>
      </c>
      <c r="C39" s="32" t="s">
        <v>73</v>
      </c>
      <c r="D39" s="33">
        <v>32</v>
      </c>
      <c r="E39" s="14">
        <v>44</v>
      </c>
      <c r="F39" s="15">
        <v>80</v>
      </c>
      <c r="G39" s="33"/>
      <c r="H39" s="33">
        <v>0</v>
      </c>
      <c r="I39" s="33">
        <v>0</v>
      </c>
      <c r="J39" s="33">
        <v>16</v>
      </c>
      <c r="K39" s="33">
        <v>24</v>
      </c>
      <c r="L39" s="34"/>
      <c r="M39" s="8"/>
      <c r="N39" s="8"/>
      <c r="O39" s="8"/>
      <c r="P39" s="22">
        <v>16</v>
      </c>
      <c r="Q39" s="18"/>
      <c r="R39" s="23"/>
      <c r="S39" s="8"/>
      <c r="T39" s="9"/>
      <c r="U39" s="9">
        <v>24</v>
      </c>
      <c r="V39" s="9"/>
      <c r="W39" s="9"/>
      <c r="X39" s="9"/>
      <c r="Y39" s="9"/>
      <c r="Z39" s="9"/>
      <c r="AA39" s="9"/>
      <c r="AB39" s="27"/>
      <c r="AC39" s="28"/>
      <c r="AD39" s="28">
        <v>24</v>
      </c>
      <c r="AE39" s="28">
        <v>0</v>
      </c>
      <c r="AF39" s="28">
        <v>24</v>
      </c>
      <c r="AG39" s="28">
        <v>24</v>
      </c>
      <c r="AH39" s="28">
        <v>8</v>
      </c>
      <c r="AI39" s="28">
        <v>8</v>
      </c>
      <c r="AJ39" s="28">
        <v>8</v>
      </c>
    </row>
    <row r="40" spans="1:36" ht="18.5" x14ac:dyDescent="0.4">
      <c r="A40" s="32" t="s">
        <v>74</v>
      </c>
      <c r="B40" s="32" t="s">
        <v>75</v>
      </c>
      <c r="C40" s="32" t="s">
        <v>76</v>
      </c>
      <c r="D40" s="33">
        <v>32</v>
      </c>
      <c r="E40" s="14">
        <v>22</v>
      </c>
      <c r="F40" s="15">
        <v>25</v>
      </c>
      <c r="G40" s="33"/>
      <c r="H40" s="33">
        <v>29</v>
      </c>
      <c r="I40" s="33">
        <v>0</v>
      </c>
      <c r="J40" s="33">
        <v>32</v>
      </c>
      <c r="K40" s="33">
        <v>16</v>
      </c>
      <c r="L40" s="34" t="s">
        <v>115</v>
      </c>
      <c r="M40" s="8"/>
      <c r="N40" s="8">
        <v>16</v>
      </c>
      <c r="O40" s="8">
        <v>16</v>
      </c>
      <c r="P40" s="22"/>
      <c r="Q40" s="18"/>
      <c r="R40" s="23"/>
      <c r="S40" s="22"/>
      <c r="T40" s="9"/>
      <c r="U40" s="9"/>
      <c r="V40" s="9"/>
      <c r="W40" s="9">
        <v>16</v>
      </c>
      <c r="X40" s="9"/>
      <c r="Y40" s="9"/>
      <c r="Z40" s="6"/>
      <c r="AA40" s="27"/>
      <c r="AB40" s="27"/>
      <c r="AC40" s="28"/>
      <c r="AD40" s="28">
        <v>16</v>
      </c>
      <c r="AE40" s="28">
        <v>0</v>
      </c>
      <c r="AF40" s="28">
        <v>-16</v>
      </c>
      <c r="AG40" s="28">
        <v>-32</v>
      </c>
      <c r="AH40" s="28">
        <v>-16</v>
      </c>
      <c r="AI40" s="28">
        <v>-16</v>
      </c>
      <c r="AJ40" s="28">
        <v>-16</v>
      </c>
    </row>
    <row r="45" spans="1:36" x14ac:dyDescent="0.35">
      <c r="A45">
        <v>27</v>
      </c>
    </row>
    <row r="46" spans="1:36" x14ac:dyDescent="0.35">
      <c r="A46">
        <v>32</v>
      </c>
    </row>
    <row r="47" spans="1:36" x14ac:dyDescent="0.35">
      <c r="A47">
        <v>16</v>
      </c>
    </row>
    <row r="48" spans="1:36" x14ac:dyDescent="0.35">
      <c r="A48">
        <v>12</v>
      </c>
    </row>
    <row r="49" spans="1:1" x14ac:dyDescent="0.35">
      <c r="A49">
        <v>21</v>
      </c>
    </row>
  </sheetData>
  <protectedRanges>
    <protectedRange sqref="R40" name="Range1_1_2_1_2_1_1_1_1_1_1_1_1"/>
    <protectedRange sqref="R39" name="Range1_1_2_1_2_1_1_1_1_2_1_1_1"/>
    <protectedRange sqref="R36:R38" name="Range1_1_2_1_2_1_1_1_1_2_1_2_4_1_2"/>
    <protectedRange sqref="F22:F34" name="Range1_2_1"/>
    <protectedRange sqref="Q39" name="Range1_1_2_1_2_1_1_1_1_2_1_1_1_1_1"/>
    <protectedRange sqref="Q40" name="Range1_1_2_1_2_1_1_1_1_1_1_1_1_1_1_1"/>
    <protectedRange sqref="Q36:Q38" name="Range1_1_2_1_2_1_1_1_1_2_1_2_4_1_2_1"/>
    <protectedRange sqref="P40" name="Range1_1_2_1_2_1_2_1_1_1"/>
    <protectedRange sqref="P39" name="Range1_1_2_1_2_1_1_1_1_2_1_2_4_1_1_1"/>
    <protectedRange sqref="F13" name="Range1_5_1_1_1"/>
    <protectedRange sqref="F12" name="Range1_2_3_1_1_1"/>
    <protectedRange sqref="F7:F11" name="Range1_3_2_1"/>
  </protectedRanges>
  <mergeCells count="15">
    <mergeCell ref="M1:S1"/>
    <mergeCell ref="T1:AD1"/>
    <mergeCell ref="AE1:AJ1"/>
    <mergeCell ref="B2:C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</mergeCells>
  <conditionalFormatting sqref="I7:K40">
    <cfRule type="cellIs" dxfId="73" priority="5" operator="greaterThan">
      <formula>0</formula>
    </cfRule>
  </conditionalFormatting>
  <conditionalFormatting sqref="P39:P40">
    <cfRule type="cellIs" dxfId="72" priority="1" operator="lessThan">
      <formula>0</formula>
    </cfRule>
  </conditionalFormatting>
  <conditionalFormatting sqref="R40">
    <cfRule type="cellIs" dxfId="71" priority="4" operator="lessThan">
      <formula>0</formula>
    </cfRule>
  </conditionalFormatting>
  <conditionalFormatting sqref="R36:S39">
    <cfRule type="cellIs" dxfId="70" priority="3" operator="lessThan">
      <formula>0</formula>
    </cfRule>
  </conditionalFormatting>
  <conditionalFormatting sqref="Z39">
    <cfRule type="cellIs" dxfId="69" priority="2" operator="lessThan">
      <formula>0</formula>
    </cfRule>
  </conditionalFormatting>
  <conditionalFormatting sqref="AA36:AA39">
    <cfRule type="cellIs" dxfId="68" priority="6" operator="lessThan">
      <formula>0</formula>
    </cfRule>
  </conditionalFormatting>
  <conditionalFormatting sqref="AE3:AJ3">
    <cfRule type="cellIs" dxfId="67" priority="7" operator="lessThan">
      <formula>0</formula>
    </cfRule>
  </conditionalFormatting>
  <conditionalFormatting sqref="AE7:AJ34 AE36:AJ40">
    <cfRule type="cellIs" dxfId="66" priority="8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98" orientation="landscape" horizontalDpi="200" verticalDpi="200" r:id="rId1"/>
  <headerFooter>
    <oddFooter>&amp;L_x000D_&amp;1#&amp;"Calibri Light"&amp;8&amp;K000000 Classified as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2628-4D9F-4F94-958C-233C3A88C0B7}">
  <dimension ref="A1:AJ49"/>
  <sheetViews>
    <sheetView showZeros="0" zoomScale="70" zoomScaleNormal="70" workbookViewId="0">
      <pane xSplit="12" ySplit="6" topLeftCell="M28" activePane="bottomRight" state="frozen"/>
      <selection activeCell="G18" sqref="G18"/>
      <selection pane="topRight" activeCell="G18" sqref="G18"/>
      <selection pane="bottomLeft" activeCell="G18" sqref="G18"/>
      <selection pane="bottomRight" sqref="A1:XFD1048576"/>
    </sheetView>
  </sheetViews>
  <sheetFormatPr defaultRowHeight="14.5" x14ac:dyDescent="0.35"/>
  <cols>
    <col min="1" max="1" width="15.453125" bestFit="1" customWidth="1"/>
    <col min="2" max="2" width="17.1796875" bestFit="1" customWidth="1"/>
    <col min="3" max="3" width="13.54296875" bestFit="1" customWidth="1"/>
    <col min="4" max="4" width="13.54296875" style="24" customWidth="1"/>
    <col min="5" max="5" width="14" customWidth="1"/>
    <col min="6" max="6" width="12.7265625" bestFit="1" customWidth="1"/>
    <col min="7" max="7" width="6.81640625" customWidth="1"/>
    <col min="8" max="8" width="14.08984375" customWidth="1"/>
    <col min="9" max="11" width="13" customWidth="1"/>
    <col min="12" max="12" width="13.36328125" customWidth="1"/>
    <col min="13" max="18" width="6.453125" bestFit="1" customWidth="1"/>
    <col min="19" max="19" width="5.6328125" customWidth="1"/>
    <col min="20" max="22" width="6.453125" bestFit="1" customWidth="1"/>
    <col min="23" max="25" width="6.453125" customWidth="1"/>
    <col min="26" max="27" width="6.453125" bestFit="1" customWidth="1"/>
    <col min="28" max="29" width="5.7265625" customWidth="1"/>
    <col min="30" max="30" width="10" bestFit="1" customWidth="1"/>
    <col min="31" max="36" width="5.7265625" customWidth="1"/>
  </cols>
  <sheetData>
    <row r="1" spans="1:36" ht="18.5" x14ac:dyDescent="0.45">
      <c r="F1" s="2">
        <v>45905</v>
      </c>
      <c r="M1" s="54" t="s">
        <v>0</v>
      </c>
      <c r="N1" s="54"/>
      <c r="O1" s="54"/>
      <c r="P1" s="54"/>
      <c r="Q1" s="54"/>
      <c r="R1" s="54"/>
      <c r="S1" s="54"/>
      <c r="T1" s="55" t="s">
        <v>1</v>
      </c>
      <c r="U1" s="56"/>
      <c r="V1" s="56"/>
      <c r="W1" s="56"/>
      <c r="X1" s="56"/>
      <c r="Y1" s="56"/>
      <c r="Z1" s="56"/>
      <c r="AA1" s="56"/>
      <c r="AB1" s="56"/>
      <c r="AC1" s="56"/>
      <c r="AD1" s="56"/>
      <c r="AE1" s="55" t="s">
        <v>77</v>
      </c>
      <c r="AF1" s="56"/>
      <c r="AG1" s="56"/>
      <c r="AH1" s="56"/>
      <c r="AI1" s="56"/>
      <c r="AJ1" s="56"/>
    </row>
    <row r="2" spans="1:36" x14ac:dyDescent="0.35">
      <c r="B2" s="57"/>
      <c r="C2" s="58"/>
      <c r="L2" s="25"/>
      <c r="M2" s="26" t="s">
        <v>2</v>
      </c>
      <c r="N2" s="26" t="s">
        <v>3</v>
      </c>
      <c r="O2" s="26" t="s">
        <v>4</v>
      </c>
      <c r="P2" s="26" t="s">
        <v>5</v>
      </c>
      <c r="Q2" s="26" t="s">
        <v>6</v>
      </c>
      <c r="R2" s="26" t="s">
        <v>7</v>
      </c>
      <c r="S2" s="26"/>
      <c r="T2" s="27" t="s">
        <v>2</v>
      </c>
      <c r="U2" s="27" t="s">
        <v>3</v>
      </c>
      <c r="V2" s="27" t="s">
        <v>4</v>
      </c>
      <c r="W2" s="27" t="s">
        <v>5</v>
      </c>
      <c r="X2" s="27" t="s">
        <v>6</v>
      </c>
      <c r="Y2" s="27" t="s">
        <v>7</v>
      </c>
      <c r="Z2" s="27" t="s">
        <v>8</v>
      </c>
      <c r="AA2" s="27" t="s">
        <v>9</v>
      </c>
      <c r="AB2" s="27" t="s">
        <v>78</v>
      </c>
      <c r="AC2" s="27"/>
      <c r="AD2" s="27" t="s">
        <v>79</v>
      </c>
      <c r="AE2" s="27" t="s">
        <v>2</v>
      </c>
      <c r="AF2" s="27" t="s">
        <v>3</v>
      </c>
      <c r="AG2" s="27" t="s">
        <v>4</v>
      </c>
      <c r="AH2" s="27" t="s">
        <v>5</v>
      </c>
      <c r="AI2" s="27" t="s">
        <v>6</v>
      </c>
      <c r="AJ2" s="27" t="s">
        <v>7</v>
      </c>
    </row>
    <row r="3" spans="1:36" x14ac:dyDescent="0.35">
      <c r="A3" s="49" t="s">
        <v>10</v>
      </c>
      <c r="B3" s="50" t="s">
        <v>11</v>
      </c>
      <c r="C3" s="50" t="s">
        <v>12</v>
      </c>
      <c r="D3" s="50" t="s">
        <v>80</v>
      </c>
      <c r="E3" s="59" t="s">
        <v>13</v>
      </c>
      <c r="F3" s="49" t="s">
        <v>81</v>
      </c>
      <c r="G3" s="49" t="s">
        <v>82</v>
      </c>
      <c r="H3" s="49" t="s">
        <v>83</v>
      </c>
      <c r="I3" s="51" t="s">
        <v>84</v>
      </c>
      <c r="J3" s="49" t="s">
        <v>122</v>
      </c>
      <c r="K3" s="49" t="s">
        <v>123</v>
      </c>
      <c r="L3" s="46" t="s">
        <v>85</v>
      </c>
      <c r="M3" s="22">
        <v>6</v>
      </c>
      <c r="N3" s="22">
        <v>6</v>
      </c>
      <c r="O3" s="22">
        <v>6</v>
      </c>
      <c r="P3" s="22">
        <v>6</v>
      </c>
      <c r="Q3" s="22">
        <v>6</v>
      </c>
      <c r="R3" s="22">
        <v>6</v>
      </c>
      <c r="S3" s="22">
        <v>36</v>
      </c>
      <c r="T3" s="28">
        <v>6</v>
      </c>
      <c r="U3" s="28">
        <v>3</v>
      </c>
      <c r="V3" s="28">
        <v>5</v>
      </c>
      <c r="W3" s="28">
        <v>4</v>
      </c>
      <c r="X3" s="28">
        <v>5</v>
      </c>
      <c r="Y3" s="28">
        <v>5</v>
      </c>
      <c r="Z3" s="28"/>
      <c r="AA3" s="28"/>
      <c r="AB3" s="28"/>
      <c r="AC3" s="28">
        <v>28</v>
      </c>
      <c r="AD3" s="28"/>
      <c r="AE3" s="28">
        <v>0</v>
      </c>
      <c r="AF3" s="28">
        <v>-3</v>
      </c>
      <c r="AG3" s="28">
        <v>-4</v>
      </c>
      <c r="AH3" s="28">
        <v>4</v>
      </c>
      <c r="AI3" s="28">
        <v>-2</v>
      </c>
      <c r="AJ3" s="28">
        <v>-8</v>
      </c>
    </row>
    <row r="4" spans="1:36" x14ac:dyDescent="0.35">
      <c r="A4" s="49"/>
      <c r="B4" s="50"/>
      <c r="C4" s="50"/>
      <c r="D4" s="50"/>
      <c r="E4" s="59"/>
      <c r="F4" s="49"/>
      <c r="G4" s="50"/>
      <c r="H4" s="50"/>
      <c r="I4" s="52"/>
      <c r="J4" s="49"/>
      <c r="K4" s="49"/>
      <c r="L4" s="46" t="s">
        <v>14</v>
      </c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 t="s">
        <v>16</v>
      </c>
      <c r="AE4" s="27"/>
      <c r="AF4" s="27"/>
      <c r="AG4" s="27"/>
      <c r="AH4" s="27"/>
      <c r="AI4" s="27"/>
      <c r="AJ4" s="27"/>
    </row>
    <row r="5" spans="1:36" x14ac:dyDescent="0.35">
      <c r="A5" s="49"/>
      <c r="B5" s="50"/>
      <c r="C5" s="50"/>
      <c r="D5" s="50"/>
      <c r="E5" s="59"/>
      <c r="F5" s="49"/>
      <c r="G5" s="50"/>
      <c r="H5" s="50"/>
      <c r="I5" s="52"/>
      <c r="J5" s="49"/>
      <c r="K5" s="49"/>
      <c r="L5" s="46"/>
      <c r="M5" s="26"/>
      <c r="N5" s="26"/>
      <c r="O5" s="26"/>
      <c r="P5" s="26"/>
      <c r="Q5" s="26"/>
      <c r="R5" s="26"/>
      <c r="S5" s="26"/>
      <c r="T5" s="29"/>
      <c r="U5" s="27"/>
      <c r="V5" s="27"/>
      <c r="W5" s="27"/>
      <c r="X5" s="27"/>
      <c r="Y5" s="27"/>
      <c r="Z5" s="27"/>
      <c r="AA5" s="27"/>
      <c r="AB5" s="27"/>
      <c r="AC5" s="27"/>
      <c r="AD5" s="30" t="s">
        <v>86</v>
      </c>
      <c r="AE5" s="27"/>
      <c r="AF5" s="27"/>
      <c r="AG5" s="27"/>
      <c r="AH5" s="27"/>
      <c r="AI5" s="27"/>
      <c r="AJ5" s="27"/>
    </row>
    <row r="6" spans="1:36" ht="16" x14ac:dyDescent="0.35">
      <c r="A6" s="49"/>
      <c r="B6" s="50"/>
      <c r="C6" s="50"/>
      <c r="D6" s="50"/>
      <c r="E6" s="59"/>
      <c r="F6" s="49"/>
      <c r="G6" s="50"/>
      <c r="H6" s="50"/>
      <c r="I6" s="53"/>
      <c r="J6" s="49"/>
      <c r="K6" s="49"/>
      <c r="L6" s="46" t="s">
        <v>87</v>
      </c>
      <c r="M6" s="10">
        <v>0.27083333333333331</v>
      </c>
      <c r="N6" s="10">
        <v>0.41666666666666669</v>
      </c>
      <c r="O6" s="10">
        <v>0.54166666666666663</v>
      </c>
      <c r="P6" s="10">
        <v>0.66666666666666663</v>
      </c>
      <c r="Q6" s="10">
        <v>0.79166666666666663</v>
      </c>
      <c r="R6" s="10"/>
      <c r="S6" s="10"/>
      <c r="T6" s="11">
        <v>0.27083333333333331</v>
      </c>
      <c r="U6" s="11">
        <v>0.46597222222222223</v>
      </c>
      <c r="V6" s="11">
        <v>0.66041666666666665</v>
      </c>
      <c r="W6" s="11">
        <v>0.6875</v>
      </c>
      <c r="X6" s="11">
        <v>0.85416666666666663</v>
      </c>
      <c r="Y6" s="11"/>
      <c r="Z6" s="11"/>
      <c r="AA6" s="11"/>
      <c r="AB6" s="11"/>
      <c r="AC6" s="27"/>
      <c r="AD6" s="31" t="s">
        <v>88</v>
      </c>
      <c r="AE6" s="31">
        <v>0.27083333333333331</v>
      </c>
      <c r="AF6" s="31">
        <v>0.29166666666666669</v>
      </c>
      <c r="AG6" s="31">
        <v>0.40625</v>
      </c>
      <c r="AH6" s="31">
        <v>0.46875</v>
      </c>
      <c r="AI6" s="31">
        <v>0.61458333333333337</v>
      </c>
      <c r="AJ6" s="31"/>
    </row>
    <row r="7" spans="1:36" ht="18.5" x14ac:dyDescent="0.35">
      <c r="A7" s="32" t="s">
        <v>18</v>
      </c>
      <c r="B7" s="32" t="s">
        <v>19</v>
      </c>
      <c r="C7" s="32" t="s">
        <v>20</v>
      </c>
      <c r="D7" s="33">
        <v>184</v>
      </c>
      <c r="E7" s="14">
        <v>58</v>
      </c>
      <c r="F7" s="15">
        <v>100</v>
      </c>
      <c r="G7" s="33"/>
      <c r="H7" s="33">
        <v>142</v>
      </c>
      <c r="I7" s="33">
        <v>46</v>
      </c>
      <c r="J7" s="33">
        <v>96</v>
      </c>
      <c r="K7" s="33">
        <v>0</v>
      </c>
      <c r="L7" s="34"/>
      <c r="M7" s="8">
        <v>96</v>
      </c>
      <c r="N7" s="8"/>
      <c r="O7" s="8"/>
      <c r="P7" s="8"/>
      <c r="Q7" s="8"/>
      <c r="R7" s="8"/>
      <c r="S7" s="8"/>
      <c r="T7" s="9"/>
      <c r="U7" s="9"/>
      <c r="V7" s="9"/>
      <c r="W7" s="9"/>
      <c r="X7" s="9"/>
      <c r="Y7" s="9"/>
      <c r="Z7" s="9"/>
      <c r="AA7" s="9"/>
      <c r="AB7" s="9"/>
      <c r="AC7" s="28"/>
      <c r="AD7" s="28">
        <v>0</v>
      </c>
      <c r="AE7" s="28">
        <v>-96</v>
      </c>
      <c r="AF7" s="28">
        <v>-96</v>
      </c>
      <c r="AG7" s="28">
        <v>-96</v>
      </c>
      <c r="AH7" s="28">
        <v>-96</v>
      </c>
      <c r="AI7" s="28">
        <v>-96</v>
      </c>
      <c r="AJ7" s="28">
        <v>-96</v>
      </c>
    </row>
    <row r="8" spans="1:36" ht="18.5" x14ac:dyDescent="0.35">
      <c r="A8" s="32" t="s">
        <v>21</v>
      </c>
      <c r="B8" s="32" t="s">
        <v>22</v>
      </c>
      <c r="C8" s="32" t="s">
        <v>23</v>
      </c>
      <c r="D8" s="33">
        <v>199</v>
      </c>
      <c r="E8" s="14">
        <v>272</v>
      </c>
      <c r="F8" s="15">
        <v>210</v>
      </c>
      <c r="G8" s="33"/>
      <c r="H8" s="33">
        <v>261</v>
      </c>
      <c r="I8" s="33">
        <v>0</v>
      </c>
      <c r="J8" s="33">
        <v>384</v>
      </c>
      <c r="K8" s="33">
        <v>288</v>
      </c>
      <c r="L8" s="34"/>
      <c r="M8" s="8"/>
      <c r="N8" s="8">
        <v>192</v>
      </c>
      <c r="O8" s="8">
        <v>96</v>
      </c>
      <c r="P8" s="8">
        <v>96</v>
      </c>
      <c r="Q8" s="8"/>
      <c r="R8" s="8"/>
      <c r="S8" s="8"/>
      <c r="T8" s="9"/>
      <c r="U8" s="9">
        <v>96</v>
      </c>
      <c r="V8" s="9">
        <v>96</v>
      </c>
      <c r="W8" s="9"/>
      <c r="X8" s="9">
        <v>96</v>
      </c>
      <c r="Y8" s="9"/>
      <c r="Z8" s="9"/>
      <c r="AA8" s="9"/>
      <c r="AB8" s="9"/>
      <c r="AC8" s="28"/>
      <c r="AD8" s="28">
        <v>288</v>
      </c>
      <c r="AE8" s="28">
        <v>0</v>
      </c>
      <c r="AF8" s="28">
        <v>-96</v>
      </c>
      <c r="AG8" s="28">
        <v>-96</v>
      </c>
      <c r="AH8" s="28">
        <v>-96</v>
      </c>
      <c r="AI8" s="28">
        <v>-96</v>
      </c>
      <c r="AJ8" s="28">
        <v>-96</v>
      </c>
    </row>
    <row r="9" spans="1:36" ht="18.5" x14ac:dyDescent="0.35">
      <c r="A9" s="32" t="s">
        <v>24</v>
      </c>
      <c r="B9" s="32" t="s">
        <v>25</v>
      </c>
      <c r="C9" s="32" t="s">
        <v>26</v>
      </c>
      <c r="D9" s="33">
        <v>168</v>
      </c>
      <c r="E9" s="14">
        <v>40</v>
      </c>
      <c r="F9" s="15">
        <v>130</v>
      </c>
      <c r="G9" s="33"/>
      <c r="H9" s="33">
        <v>78</v>
      </c>
      <c r="I9" s="33">
        <v>0</v>
      </c>
      <c r="J9" s="33">
        <v>96</v>
      </c>
      <c r="K9" s="33">
        <v>0</v>
      </c>
      <c r="L9" s="34"/>
      <c r="M9" s="8"/>
      <c r="N9" s="8"/>
      <c r="O9" s="8">
        <v>96</v>
      </c>
      <c r="P9" s="8"/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28"/>
      <c r="AD9" s="28">
        <v>0</v>
      </c>
      <c r="AE9" s="28">
        <v>0</v>
      </c>
      <c r="AF9" s="28">
        <v>0</v>
      </c>
      <c r="AG9" s="28">
        <v>-96</v>
      </c>
      <c r="AH9" s="28">
        <v>-96</v>
      </c>
      <c r="AI9" s="28">
        <v>-96</v>
      </c>
      <c r="AJ9" s="28">
        <v>-96</v>
      </c>
    </row>
    <row r="10" spans="1:36" ht="18.5" x14ac:dyDescent="0.35">
      <c r="A10" s="35" t="s">
        <v>27</v>
      </c>
      <c r="B10" s="32" t="s">
        <v>28</v>
      </c>
      <c r="C10" s="32" t="s">
        <v>29</v>
      </c>
      <c r="D10" s="33">
        <v>200</v>
      </c>
      <c r="E10" s="14">
        <v>15</v>
      </c>
      <c r="F10" s="15">
        <v>200</v>
      </c>
      <c r="G10" s="33"/>
      <c r="H10" s="33">
        <v>15</v>
      </c>
      <c r="I10" s="33">
        <v>15</v>
      </c>
      <c r="J10" s="33">
        <v>0</v>
      </c>
      <c r="K10" s="33">
        <v>0</v>
      </c>
      <c r="L10" s="34"/>
      <c r="M10" s="8"/>
      <c r="N10" s="8"/>
      <c r="O10" s="8"/>
      <c r="P10" s="8"/>
      <c r="Q10" s="8"/>
      <c r="R10" s="8"/>
      <c r="S10" s="8"/>
      <c r="T10" s="9"/>
      <c r="U10" s="9"/>
      <c r="V10" s="9"/>
      <c r="W10" s="9"/>
      <c r="X10" s="9"/>
      <c r="Y10" s="9"/>
      <c r="Z10" s="9"/>
      <c r="AA10" s="9"/>
      <c r="AB10" s="9"/>
      <c r="AC10" s="28"/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</row>
    <row r="11" spans="1:36" ht="18.5" x14ac:dyDescent="0.35">
      <c r="A11" s="32" t="s">
        <v>30</v>
      </c>
      <c r="B11" s="32" t="s">
        <v>31</v>
      </c>
      <c r="C11" s="32" t="s">
        <v>32</v>
      </c>
      <c r="D11" s="33">
        <v>260</v>
      </c>
      <c r="E11" s="14">
        <v>173</v>
      </c>
      <c r="F11" s="15">
        <v>180</v>
      </c>
      <c r="G11" s="33"/>
      <c r="H11" s="33">
        <v>253</v>
      </c>
      <c r="I11" s="33">
        <v>0</v>
      </c>
      <c r="J11" s="33">
        <v>260</v>
      </c>
      <c r="K11" s="33">
        <v>260</v>
      </c>
      <c r="L11" s="34"/>
      <c r="M11" s="8"/>
      <c r="N11" s="8">
        <v>130</v>
      </c>
      <c r="O11" s="8"/>
      <c r="P11" s="8">
        <v>130</v>
      </c>
      <c r="Q11" s="8"/>
      <c r="R11" s="8"/>
      <c r="S11" s="8"/>
      <c r="T11" s="9"/>
      <c r="U11" s="9">
        <v>130</v>
      </c>
      <c r="V11" s="9"/>
      <c r="W11" s="9"/>
      <c r="X11" s="9">
        <v>130</v>
      </c>
      <c r="Y11" s="9"/>
      <c r="Z11" s="9"/>
      <c r="AA11" s="9"/>
      <c r="AB11" s="9"/>
      <c r="AC11" s="28"/>
      <c r="AD11" s="28">
        <v>260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</row>
    <row r="12" spans="1:36" ht="18.5" x14ac:dyDescent="0.35">
      <c r="A12" s="32" t="s">
        <v>33</v>
      </c>
      <c r="B12" s="32" t="s">
        <v>34</v>
      </c>
      <c r="C12" s="32" t="s">
        <v>35</v>
      </c>
      <c r="D12" s="33">
        <v>140</v>
      </c>
      <c r="E12" s="14">
        <v>40</v>
      </c>
      <c r="F12" s="15">
        <v>150</v>
      </c>
      <c r="G12" s="33"/>
      <c r="H12" s="33">
        <v>30</v>
      </c>
      <c r="I12" s="33">
        <v>30</v>
      </c>
      <c r="J12" s="33">
        <v>0</v>
      </c>
      <c r="K12" s="33">
        <v>0</v>
      </c>
      <c r="L12" s="34"/>
      <c r="M12" s="8"/>
      <c r="N12" s="8"/>
      <c r="O12" s="8"/>
      <c r="P12" s="8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28"/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</row>
    <row r="13" spans="1:36" ht="18.5" x14ac:dyDescent="0.35">
      <c r="A13" s="32" t="s">
        <v>36</v>
      </c>
      <c r="B13" s="32" t="s">
        <v>37</v>
      </c>
      <c r="C13" s="32">
        <v>630131090</v>
      </c>
      <c r="D13" s="33">
        <v>140</v>
      </c>
      <c r="E13" s="14">
        <v>40</v>
      </c>
      <c r="F13" s="15">
        <v>60</v>
      </c>
      <c r="G13" s="33"/>
      <c r="H13" s="33">
        <v>120</v>
      </c>
      <c r="I13" s="33">
        <v>0</v>
      </c>
      <c r="J13" s="33">
        <v>140</v>
      </c>
      <c r="K13" s="33">
        <v>0</v>
      </c>
      <c r="L13" s="34"/>
      <c r="M13" s="8"/>
      <c r="N13" s="8"/>
      <c r="O13" s="8">
        <v>140</v>
      </c>
      <c r="P13" s="8"/>
      <c r="Q13" s="8"/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28"/>
      <c r="AD13" s="28">
        <v>0</v>
      </c>
      <c r="AE13" s="28">
        <v>0</v>
      </c>
      <c r="AF13" s="28">
        <v>0</v>
      </c>
      <c r="AG13" s="28">
        <v>-140</v>
      </c>
      <c r="AH13" s="28">
        <v>-140</v>
      </c>
      <c r="AI13" s="28">
        <v>-140</v>
      </c>
      <c r="AJ13" s="28">
        <v>-140</v>
      </c>
    </row>
    <row r="14" spans="1:36" ht="18.5" x14ac:dyDescent="0.35">
      <c r="A14" s="32" t="s">
        <v>38</v>
      </c>
      <c r="B14" s="32" t="s">
        <v>39</v>
      </c>
      <c r="C14" s="32" t="s">
        <v>40</v>
      </c>
      <c r="D14" s="33">
        <v>42</v>
      </c>
      <c r="E14" s="14">
        <v>50</v>
      </c>
      <c r="F14" s="15">
        <v>42</v>
      </c>
      <c r="G14" s="33"/>
      <c r="H14" s="33">
        <v>50</v>
      </c>
      <c r="I14" s="33">
        <v>0</v>
      </c>
      <c r="J14" s="33">
        <v>56</v>
      </c>
      <c r="K14" s="33">
        <v>42</v>
      </c>
      <c r="L14" s="34"/>
      <c r="M14" s="8">
        <v>14</v>
      </c>
      <c r="N14" s="8">
        <v>14</v>
      </c>
      <c r="O14" s="8">
        <v>14</v>
      </c>
      <c r="P14" s="8">
        <v>14</v>
      </c>
      <c r="Q14" s="8"/>
      <c r="R14" s="8"/>
      <c r="S14" s="8"/>
      <c r="T14" s="9"/>
      <c r="U14" s="9">
        <v>14</v>
      </c>
      <c r="V14" s="9"/>
      <c r="W14" s="9">
        <v>14</v>
      </c>
      <c r="X14" s="9">
        <v>14</v>
      </c>
      <c r="Y14" s="9"/>
      <c r="Z14" s="9"/>
      <c r="AA14" s="9"/>
      <c r="AB14" s="9"/>
      <c r="AC14" s="28"/>
      <c r="AD14" s="28">
        <v>42</v>
      </c>
      <c r="AE14" s="28">
        <v>-14</v>
      </c>
      <c r="AF14" s="28">
        <v>-14</v>
      </c>
      <c r="AG14" s="28">
        <v>-28</v>
      </c>
      <c r="AH14" s="28">
        <v>-14</v>
      </c>
      <c r="AI14" s="28">
        <v>-14</v>
      </c>
      <c r="AJ14" s="28">
        <v>-14</v>
      </c>
    </row>
    <row r="15" spans="1:36" ht="18.5" x14ac:dyDescent="0.35">
      <c r="A15" s="32" t="s">
        <v>41</v>
      </c>
      <c r="B15" s="32" t="s">
        <v>42</v>
      </c>
      <c r="C15" s="32" t="s">
        <v>43</v>
      </c>
      <c r="D15" s="33">
        <v>28</v>
      </c>
      <c r="E15" s="14">
        <v>0</v>
      </c>
      <c r="F15" s="15">
        <v>44</v>
      </c>
      <c r="G15" s="33"/>
      <c r="H15" s="33">
        <v>0</v>
      </c>
      <c r="I15" s="33">
        <v>0</v>
      </c>
      <c r="J15" s="33">
        <v>0</v>
      </c>
      <c r="K15" s="33">
        <v>0</v>
      </c>
      <c r="L15" s="34"/>
      <c r="M15" s="8"/>
      <c r="N15" s="8"/>
      <c r="O15" s="8"/>
      <c r="P15" s="8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28"/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</row>
    <row r="16" spans="1:36" ht="18.5" x14ac:dyDescent="0.35">
      <c r="A16" s="32" t="s">
        <v>44</v>
      </c>
      <c r="B16" s="32" t="s">
        <v>45</v>
      </c>
      <c r="C16" s="32" t="s">
        <v>46</v>
      </c>
      <c r="D16" s="33">
        <v>84</v>
      </c>
      <c r="E16" s="14">
        <v>234</v>
      </c>
      <c r="F16" s="15">
        <v>81</v>
      </c>
      <c r="G16" s="33"/>
      <c r="H16" s="33">
        <v>237</v>
      </c>
      <c r="I16" s="33">
        <v>0</v>
      </c>
      <c r="J16" s="33">
        <v>252</v>
      </c>
      <c r="K16" s="33">
        <v>252</v>
      </c>
      <c r="L16" s="34"/>
      <c r="M16" s="8">
        <v>42</v>
      </c>
      <c r="N16" s="8">
        <v>56</v>
      </c>
      <c r="O16" s="8">
        <v>56</v>
      </c>
      <c r="P16" s="8">
        <v>56</v>
      </c>
      <c r="Q16" s="8">
        <v>42</v>
      </c>
      <c r="R16" s="8"/>
      <c r="S16" s="8"/>
      <c r="T16" s="9">
        <v>42</v>
      </c>
      <c r="U16" s="9">
        <v>56</v>
      </c>
      <c r="V16" s="9">
        <v>42</v>
      </c>
      <c r="W16" s="9">
        <v>56</v>
      </c>
      <c r="X16" s="9">
        <v>56</v>
      </c>
      <c r="Y16" s="9"/>
      <c r="Z16" s="9"/>
      <c r="AA16" s="9"/>
      <c r="AB16" s="9"/>
      <c r="AC16" s="28"/>
      <c r="AD16" s="28">
        <v>252</v>
      </c>
      <c r="AE16" s="28">
        <v>0</v>
      </c>
      <c r="AF16" s="28">
        <v>0</v>
      </c>
      <c r="AG16" s="28">
        <v>-14</v>
      </c>
      <c r="AH16" s="28">
        <v>42</v>
      </c>
      <c r="AI16" s="28">
        <v>0</v>
      </c>
      <c r="AJ16" s="28">
        <v>0</v>
      </c>
    </row>
    <row r="17" spans="1:36" ht="18.5" x14ac:dyDescent="0.35">
      <c r="A17" s="32" t="s">
        <v>47</v>
      </c>
      <c r="B17" s="32" t="s">
        <v>48</v>
      </c>
      <c r="C17" s="32" t="s">
        <v>49</v>
      </c>
      <c r="D17" s="33">
        <v>28</v>
      </c>
      <c r="E17" s="14">
        <v>36</v>
      </c>
      <c r="F17" s="15">
        <v>40</v>
      </c>
      <c r="G17" s="33"/>
      <c r="H17" s="33">
        <v>24</v>
      </c>
      <c r="I17" s="33">
        <v>0</v>
      </c>
      <c r="J17" s="33">
        <v>28</v>
      </c>
      <c r="K17" s="33">
        <v>28</v>
      </c>
      <c r="L17" s="34"/>
      <c r="M17" s="8"/>
      <c r="N17" s="8">
        <v>14</v>
      </c>
      <c r="O17" s="8"/>
      <c r="P17" s="8">
        <v>14</v>
      </c>
      <c r="Q17" s="8"/>
      <c r="R17" s="8"/>
      <c r="S17" s="8"/>
      <c r="T17" s="9"/>
      <c r="U17" s="9"/>
      <c r="V17" s="9">
        <v>14</v>
      </c>
      <c r="W17" s="9"/>
      <c r="X17" s="9">
        <v>14</v>
      </c>
      <c r="Y17" s="9"/>
      <c r="Z17" s="9"/>
      <c r="AA17" s="9"/>
      <c r="AB17" s="9"/>
      <c r="AC17" s="28"/>
      <c r="AD17" s="28">
        <v>28</v>
      </c>
      <c r="AE17" s="28">
        <v>0</v>
      </c>
      <c r="AF17" s="28">
        <v>-14</v>
      </c>
      <c r="AG17" s="28">
        <v>0</v>
      </c>
      <c r="AH17" s="28">
        <v>0</v>
      </c>
      <c r="AI17" s="28">
        <v>0</v>
      </c>
      <c r="AJ17" s="28">
        <v>0</v>
      </c>
    </row>
    <row r="18" spans="1:36" ht="18.5" x14ac:dyDescent="0.35">
      <c r="A18" s="32" t="s">
        <v>50</v>
      </c>
      <c r="B18" s="32" t="s">
        <v>51</v>
      </c>
      <c r="C18" s="32" t="s">
        <v>52</v>
      </c>
      <c r="D18" s="33">
        <v>0</v>
      </c>
      <c r="E18" s="14">
        <v>0</v>
      </c>
      <c r="F18" s="15">
        <v>0</v>
      </c>
      <c r="G18" s="33"/>
      <c r="H18" s="33">
        <v>0</v>
      </c>
      <c r="I18" s="33">
        <v>0</v>
      </c>
      <c r="J18" s="33">
        <v>0</v>
      </c>
      <c r="K18" s="33">
        <v>0</v>
      </c>
      <c r="L18" s="34"/>
      <c r="M18" s="8"/>
      <c r="N18" s="8"/>
      <c r="O18" s="8"/>
      <c r="P18" s="8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28"/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</row>
    <row r="19" spans="1:36" ht="18.5" x14ac:dyDescent="0.35">
      <c r="A19" s="32" t="s">
        <v>53</v>
      </c>
      <c r="B19" s="32" t="s">
        <v>54</v>
      </c>
      <c r="C19" s="32" t="s">
        <v>55</v>
      </c>
      <c r="D19" s="33">
        <v>28</v>
      </c>
      <c r="E19" s="14">
        <v>0</v>
      </c>
      <c r="F19" s="15">
        <v>11</v>
      </c>
      <c r="G19" s="33"/>
      <c r="H19" s="33">
        <v>17</v>
      </c>
      <c r="I19" s="33">
        <v>3</v>
      </c>
      <c r="J19" s="33">
        <v>14</v>
      </c>
      <c r="K19" s="33">
        <v>0</v>
      </c>
      <c r="L19" s="34"/>
      <c r="M19" s="8">
        <v>14</v>
      </c>
      <c r="N19" s="8"/>
      <c r="O19" s="8"/>
      <c r="P19" s="8"/>
      <c r="Q19" s="8"/>
      <c r="R19" s="8"/>
      <c r="S19" s="8"/>
      <c r="T19" s="9"/>
      <c r="U19" s="9"/>
      <c r="V19" s="9"/>
      <c r="W19" s="9"/>
      <c r="X19" s="9"/>
      <c r="Y19" s="9"/>
      <c r="Z19" s="9"/>
      <c r="AA19" s="9"/>
      <c r="AB19" s="9"/>
      <c r="AC19" s="28"/>
      <c r="AD19" s="28">
        <v>0</v>
      </c>
      <c r="AE19" s="28">
        <v>-14</v>
      </c>
      <c r="AF19" s="28">
        <v>-14</v>
      </c>
      <c r="AG19" s="28">
        <v>-14</v>
      </c>
      <c r="AH19" s="28">
        <v>-14</v>
      </c>
      <c r="AI19" s="28">
        <v>-14</v>
      </c>
      <c r="AJ19" s="28">
        <v>-14</v>
      </c>
    </row>
    <row r="20" spans="1:36" ht="18.5" x14ac:dyDescent="0.35">
      <c r="A20" s="32" t="s">
        <v>56</v>
      </c>
      <c r="B20" s="32" t="s">
        <v>57</v>
      </c>
      <c r="C20" s="32" t="s">
        <v>58</v>
      </c>
      <c r="D20" s="33">
        <v>28</v>
      </c>
      <c r="E20" s="14">
        <v>40</v>
      </c>
      <c r="F20" s="15">
        <v>32</v>
      </c>
      <c r="G20" s="33"/>
      <c r="H20" s="33">
        <v>36</v>
      </c>
      <c r="I20" s="33">
        <v>0</v>
      </c>
      <c r="J20" s="33">
        <v>42</v>
      </c>
      <c r="K20" s="33">
        <v>28</v>
      </c>
      <c r="L20" s="34"/>
      <c r="M20" s="8">
        <v>14</v>
      </c>
      <c r="N20" s="8"/>
      <c r="O20" s="8">
        <v>14</v>
      </c>
      <c r="P20" s="8"/>
      <c r="Q20" s="8">
        <v>14</v>
      </c>
      <c r="R20" s="8"/>
      <c r="S20" s="8"/>
      <c r="T20" s="9"/>
      <c r="U20" s="9"/>
      <c r="V20" s="9">
        <v>28</v>
      </c>
      <c r="W20" s="9"/>
      <c r="X20" s="9"/>
      <c r="Y20" s="9"/>
      <c r="Z20" s="9"/>
      <c r="AA20" s="9"/>
      <c r="AB20" s="9"/>
      <c r="AC20" s="28"/>
      <c r="AD20" s="28">
        <v>28</v>
      </c>
      <c r="AE20" s="28">
        <v>-14</v>
      </c>
      <c r="AF20" s="28">
        <v>-14</v>
      </c>
      <c r="AG20" s="28">
        <v>0</v>
      </c>
      <c r="AH20" s="28">
        <v>0</v>
      </c>
      <c r="AI20" s="28">
        <v>-14</v>
      </c>
      <c r="AJ20" s="28">
        <v>-14</v>
      </c>
    </row>
    <row r="21" spans="1:36" ht="18.5" x14ac:dyDescent="0.35">
      <c r="A21" s="32" t="s">
        <v>59</v>
      </c>
      <c r="B21" s="32" t="s">
        <v>60</v>
      </c>
      <c r="C21" s="32" t="s">
        <v>61</v>
      </c>
      <c r="D21" s="33">
        <v>28</v>
      </c>
      <c r="E21" s="14">
        <v>0</v>
      </c>
      <c r="F21" s="15">
        <v>20</v>
      </c>
      <c r="G21" s="33"/>
      <c r="H21" s="33">
        <v>8</v>
      </c>
      <c r="I21" s="33">
        <v>0</v>
      </c>
      <c r="J21" s="33">
        <v>14</v>
      </c>
      <c r="K21" s="33">
        <v>0</v>
      </c>
      <c r="L21" s="34"/>
      <c r="M21" s="8"/>
      <c r="N21" s="8"/>
      <c r="O21" s="8"/>
      <c r="P21" s="8"/>
      <c r="Q21" s="8">
        <v>14</v>
      </c>
      <c r="R21" s="8"/>
      <c r="S21" s="8"/>
      <c r="T21" s="9"/>
      <c r="U21" s="9"/>
      <c r="V21" s="9"/>
      <c r="W21" s="9"/>
      <c r="X21" s="9"/>
      <c r="Y21" s="9"/>
      <c r="Z21" s="9"/>
      <c r="AA21" s="9"/>
      <c r="AB21" s="9"/>
      <c r="AC21" s="28"/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-14</v>
      </c>
      <c r="AJ21" s="28">
        <v>-14</v>
      </c>
    </row>
    <row r="22" spans="1:36" ht="16" x14ac:dyDescent="0.35">
      <c r="A22" s="35">
        <v>542474700122</v>
      </c>
      <c r="B22" s="32" t="s">
        <v>89</v>
      </c>
      <c r="C22" s="32" t="s">
        <v>90</v>
      </c>
      <c r="D22" s="33">
        <v>50</v>
      </c>
      <c r="E22" s="36">
        <v>0</v>
      </c>
      <c r="F22" s="33">
        <v>55</v>
      </c>
      <c r="G22" s="33"/>
      <c r="H22" s="33">
        <v>0</v>
      </c>
      <c r="I22" s="33">
        <v>0</v>
      </c>
      <c r="J22" s="33">
        <v>0</v>
      </c>
      <c r="K22" s="33">
        <v>0</v>
      </c>
      <c r="L22" s="34"/>
      <c r="M22" s="37"/>
      <c r="N22" s="37"/>
      <c r="O22" s="37"/>
      <c r="P22" s="22"/>
      <c r="Q22" s="22"/>
      <c r="R22" s="22"/>
      <c r="S22" s="22"/>
      <c r="T22" s="38"/>
      <c r="U22" s="38"/>
      <c r="V22" s="38"/>
      <c r="W22" s="38"/>
      <c r="X22" s="38"/>
      <c r="Y22" s="38"/>
      <c r="Z22" s="28"/>
      <c r="AA22" s="28"/>
      <c r="AB22" s="28"/>
      <c r="AC22" s="28"/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</row>
    <row r="23" spans="1:36" ht="16" x14ac:dyDescent="0.35">
      <c r="A23" s="35">
        <v>542463700115</v>
      </c>
      <c r="B23" s="32" t="s">
        <v>91</v>
      </c>
      <c r="C23" s="32" t="s">
        <v>92</v>
      </c>
      <c r="D23" s="33">
        <v>50</v>
      </c>
      <c r="E23" s="36">
        <v>0</v>
      </c>
      <c r="F23" s="33">
        <v>60</v>
      </c>
      <c r="G23" s="33"/>
      <c r="H23" s="33">
        <v>0</v>
      </c>
      <c r="I23" s="33">
        <v>0</v>
      </c>
      <c r="J23" s="33">
        <v>0</v>
      </c>
      <c r="K23" s="33">
        <v>0</v>
      </c>
      <c r="L23" s="34"/>
      <c r="M23" s="37"/>
      <c r="N23" s="37"/>
      <c r="O23" s="37"/>
      <c r="P23" s="22"/>
      <c r="Q23" s="22"/>
      <c r="R23" s="22"/>
      <c r="S23" s="22"/>
      <c r="T23" s="38"/>
      <c r="U23" s="38"/>
      <c r="V23" s="38"/>
      <c r="W23" s="38"/>
      <c r="X23" s="38"/>
      <c r="Y23" s="38"/>
      <c r="Z23" s="28"/>
      <c r="AA23" s="28"/>
      <c r="AB23" s="28"/>
      <c r="AC23" s="28"/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</row>
    <row r="24" spans="1:36" ht="16" x14ac:dyDescent="0.35">
      <c r="A24" s="35">
        <v>542463700114</v>
      </c>
      <c r="B24" s="32" t="s">
        <v>93</v>
      </c>
      <c r="C24" s="32" t="s">
        <v>94</v>
      </c>
      <c r="D24" s="33">
        <v>50</v>
      </c>
      <c r="E24" s="36">
        <v>0</v>
      </c>
      <c r="F24" s="33">
        <v>42</v>
      </c>
      <c r="G24" s="33"/>
      <c r="H24" s="33">
        <v>8</v>
      </c>
      <c r="I24" s="33">
        <v>8</v>
      </c>
      <c r="J24" s="33">
        <v>0</v>
      </c>
      <c r="K24" s="33">
        <v>0</v>
      </c>
      <c r="L24" s="34"/>
      <c r="M24" s="37"/>
      <c r="N24" s="37"/>
      <c r="O24" s="37"/>
      <c r="P24" s="22"/>
      <c r="Q24" s="22"/>
      <c r="R24" s="22"/>
      <c r="S24" s="22"/>
      <c r="T24" s="38"/>
      <c r="U24" s="38"/>
      <c r="V24" s="38"/>
      <c r="W24" s="38"/>
      <c r="X24" s="38"/>
      <c r="Y24" s="38"/>
      <c r="Z24" s="28"/>
      <c r="AA24" s="28"/>
      <c r="AB24" s="28"/>
      <c r="AC24" s="28"/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</row>
    <row r="25" spans="1:36" ht="16" x14ac:dyDescent="0.35">
      <c r="A25" s="35">
        <v>542472700140</v>
      </c>
      <c r="B25" s="32" t="s">
        <v>95</v>
      </c>
      <c r="C25" s="32" t="s">
        <v>96</v>
      </c>
      <c r="D25" s="33">
        <v>50</v>
      </c>
      <c r="E25" s="36">
        <v>0</v>
      </c>
      <c r="F25" s="33">
        <v>60</v>
      </c>
      <c r="G25" s="33"/>
      <c r="H25" s="33">
        <v>0</v>
      </c>
      <c r="I25" s="33">
        <v>0</v>
      </c>
      <c r="J25" s="33">
        <v>0</v>
      </c>
      <c r="K25" s="33">
        <v>0</v>
      </c>
      <c r="L25" s="34"/>
      <c r="M25" s="37"/>
      <c r="N25" s="37"/>
      <c r="O25" s="37"/>
      <c r="P25" s="22"/>
      <c r="Q25" s="22"/>
      <c r="R25" s="22"/>
      <c r="S25" s="22"/>
      <c r="T25" s="38"/>
      <c r="U25" s="38"/>
      <c r="V25" s="38"/>
      <c r="W25" s="38"/>
      <c r="X25" s="38"/>
      <c r="Y25" s="38"/>
      <c r="Z25" s="28"/>
      <c r="AA25" s="28"/>
      <c r="AB25" s="28"/>
      <c r="AC25" s="28"/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</row>
    <row r="26" spans="1:36" ht="16" x14ac:dyDescent="0.35">
      <c r="A26" s="35">
        <v>542472700139</v>
      </c>
      <c r="B26" s="32" t="s">
        <v>97</v>
      </c>
      <c r="C26" s="32" t="s">
        <v>98</v>
      </c>
      <c r="D26" s="33">
        <v>50</v>
      </c>
      <c r="E26" s="36">
        <v>0</v>
      </c>
      <c r="F26" s="33">
        <v>40</v>
      </c>
      <c r="G26" s="33"/>
      <c r="H26" s="33">
        <v>10</v>
      </c>
      <c r="I26" s="33">
        <v>10</v>
      </c>
      <c r="J26" s="33">
        <v>0</v>
      </c>
      <c r="K26" s="33">
        <v>0</v>
      </c>
      <c r="L26" s="34"/>
      <c r="M26" s="37"/>
      <c r="N26" s="37"/>
      <c r="O26" s="37"/>
      <c r="P26" s="22"/>
      <c r="Q26" s="22"/>
      <c r="R26" s="22"/>
      <c r="S26" s="22"/>
      <c r="T26" s="38"/>
      <c r="U26" s="38"/>
      <c r="V26" s="38"/>
      <c r="W26" s="38"/>
      <c r="X26" s="38"/>
      <c r="Y26" s="38"/>
      <c r="Z26" s="28"/>
      <c r="AA26" s="28"/>
      <c r="AB26" s="28"/>
      <c r="AC26" s="28"/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</row>
    <row r="27" spans="1:36" ht="16" x14ac:dyDescent="0.35">
      <c r="A27" s="35">
        <v>542473700124</v>
      </c>
      <c r="B27" s="32" t="s">
        <v>99</v>
      </c>
      <c r="C27" s="32" t="s">
        <v>100</v>
      </c>
      <c r="D27" s="33">
        <v>50</v>
      </c>
      <c r="E27" s="36">
        <v>0</v>
      </c>
      <c r="F27" s="33">
        <v>35</v>
      </c>
      <c r="G27" s="33"/>
      <c r="H27" s="33">
        <v>15</v>
      </c>
      <c r="I27" s="33">
        <v>15</v>
      </c>
      <c r="J27" s="33">
        <v>0</v>
      </c>
      <c r="K27" s="33">
        <v>0</v>
      </c>
      <c r="L27" s="34"/>
      <c r="M27" s="37"/>
      <c r="N27" s="37"/>
      <c r="O27" s="37"/>
      <c r="P27" s="22"/>
      <c r="Q27" s="22"/>
      <c r="R27" s="22"/>
      <c r="S27" s="22"/>
      <c r="T27" s="38"/>
      <c r="U27" s="38"/>
      <c r="V27" s="38"/>
      <c r="W27" s="38"/>
      <c r="X27" s="38"/>
      <c r="Y27" s="38"/>
      <c r="Z27" s="28"/>
      <c r="AA27" s="28"/>
      <c r="AB27" s="28"/>
      <c r="AC27" s="28"/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</row>
    <row r="28" spans="1:36" ht="16" x14ac:dyDescent="0.35">
      <c r="A28" s="35">
        <v>542473700123</v>
      </c>
      <c r="B28" s="32" t="s">
        <v>101</v>
      </c>
      <c r="C28" s="32" t="s">
        <v>102</v>
      </c>
      <c r="D28" s="33">
        <v>50</v>
      </c>
      <c r="E28" s="36">
        <v>0</v>
      </c>
      <c r="F28" s="33">
        <v>36</v>
      </c>
      <c r="G28" s="33"/>
      <c r="H28" s="33">
        <v>14</v>
      </c>
      <c r="I28" s="33">
        <v>14</v>
      </c>
      <c r="J28" s="33">
        <v>0</v>
      </c>
      <c r="K28" s="33">
        <v>0</v>
      </c>
      <c r="L28" s="34"/>
      <c r="M28" s="37"/>
      <c r="N28" s="37"/>
      <c r="O28" s="37"/>
      <c r="P28" s="22"/>
      <c r="Q28" s="22"/>
      <c r="R28" s="22"/>
      <c r="S28" s="22"/>
      <c r="T28" s="38"/>
      <c r="U28" s="38"/>
      <c r="V28" s="38"/>
      <c r="W28" s="38"/>
      <c r="X28" s="38"/>
      <c r="Y28" s="38"/>
      <c r="Z28" s="28"/>
      <c r="AA28" s="28"/>
      <c r="AB28" s="28"/>
      <c r="AC28" s="28"/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</row>
    <row r="29" spans="1:36" ht="16" x14ac:dyDescent="0.35">
      <c r="A29" s="39">
        <v>542488100121</v>
      </c>
      <c r="B29" s="40" t="s">
        <v>103</v>
      </c>
      <c r="C29" s="40" t="s">
        <v>104</v>
      </c>
      <c r="D29" s="33">
        <v>50</v>
      </c>
      <c r="E29" s="36">
        <v>0</v>
      </c>
      <c r="F29" s="8">
        <v>250</v>
      </c>
      <c r="G29" s="33"/>
      <c r="H29" s="33">
        <v>0</v>
      </c>
      <c r="I29" s="33">
        <v>0</v>
      </c>
      <c r="J29" s="33">
        <v>0</v>
      </c>
      <c r="K29" s="33">
        <v>0</v>
      </c>
      <c r="L29" s="34"/>
      <c r="M29" s="37"/>
      <c r="N29" s="37"/>
      <c r="O29" s="37"/>
      <c r="P29" s="22"/>
      <c r="Q29" s="22"/>
      <c r="R29" s="22"/>
      <c r="S29" s="22"/>
      <c r="T29" s="38"/>
      <c r="U29" s="38"/>
      <c r="V29" s="38"/>
      <c r="W29" s="38"/>
      <c r="X29" s="38"/>
      <c r="Y29" s="38"/>
      <c r="Z29" s="28"/>
      <c r="AA29" s="28"/>
      <c r="AB29" s="28"/>
      <c r="AC29" s="28"/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</row>
    <row r="30" spans="1:36" ht="16" x14ac:dyDescent="0.35">
      <c r="A30" s="39">
        <v>542488100120</v>
      </c>
      <c r="B30" s="40" t="s">
        <v>105</v>
      </c>
      <c r="C30" s="40" t="s">
        <v>106</v>
      </c>
      <c r="D30" s="33">
        <v>50</v>
      </c>
      <c r="E30" s="36">
        <v>0</v>
      </c>
      <c r="F30" s="8">
        <v>50</v>
      </c>
      <c r="G30" s="33"/>
      <c r="H30" s="33">
        <v>0</v>
      </c>
      <c r="I30" s="33">
        <v>0</v>
      </c>
      <c r="J30" s="33">
        <v>0</v>
      </c>
      <c r="K30" s="33">
        <v>0</v>
      </c>
      <c r="L30" s="34"/>
      <c r="M30" s="37"/>
      <c r="N30" s="37"/>
      <c r="O30" s="37"/>
      <c r="P30" s="22"/>
      <c r="Q30" s="22"/>
      <c r="R30" s="22"/>
      <c r="S30" s="22"/>
      <c r="T30" s="38"/>
      <c r="U30" s="38"/>
      <c r="V30" s="38"/>
      <c r="W30" s="38"/>
      <c r="X30" s="38"/>
      <c r="Y30" s="38"/>
      <c r="Z30" s="28"/>
      <c r="AA30" s="28"/>
      <c r="AB30" s="28"/>
      <c r="AC30" s="28"/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</row>
    <row r="31" spans="1:36" ht="16" x14ac:dyDescent="0.35">
      <c r="A31" s="39">
        <v>542488100123</v>
      </c>
      <c r="B31" s="40" t="s">
        <v>107</v>
      </c>
      <c r="C31" s="40" t="s">
        <v>108</v>
      </c>
      <c r="D31" s="33">
        <v>50</v>
      </c>
      <c r="E31" s="36">
        <v>0</v>
      </c>
      <c r="F31" s="8">
        <v>70</v>
      </c>
      <c r="G31" s="33"/>
      <c r="H31" s="33">
        <v>0</v>
      </c>
      <c r="I31" s="33">
        <v>0</v>
      </c>
      <c r="J31" s="33">
        <v>0</v>
      </c>
      <c r="K31" s="33">
        <v>0</v>
      </c>
      <c r="L31" s="34"/>
      <c r="M31" s="37"/>
      <c r="N31" s="37"/>
      <c r="O31" s="37"/>
      <c r="P31" s="22"/>
      <c r="Q31" s="22"/>
      <c r="R31" s="22"/>
      <c r="S31" s="22"/>
      <c r="T31" s="38"/>
      <c r="U31" s="38"/>
      <c r="V31" s="38"/>
      <c r="W31" s="38"/>
      <c r="X31" s="38"/>
      <c r="Y31" s="38"/>
      <c r="Z31" s="28"/>
      <c r="AA31" s="28"/>
      <c r="AB31" s="28"/>
      <c r="AC31" s="28"/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</row>
    <row r="32" spans="1:36" ht="16" x14ac:dyDescent="0.35">
      <c r="A32" s="39">
        <v>542488100122</v>
      </c>
      <c r="B32" s="40" t="s">
        <v>109</v>
      </c>
      <c r="C32" s="40" t="s">
        <v>110</v>
      </c>
      <c r="D32" s="33">
        <v>50</v>
      </c>
      <c r="E32" s="36">
        <v>0</v>
      </c>
      <c r="F32" s="8">
        <v>30</v>
      </c>
      <c r="G32" s="33"/>
      <c r="H32" s="33">
        <v>20</v>
      </c>
      <c r="I32" s="33">
        <v>20</v>
      </c>
      <c r="J32" s="33">
        <v>0</v>
      </c>
      <c r="K32" s="33">
        <v>0</v>
      </c>
      <c r="L32" s="34"/>
      <c r="M32" s="37"/>
      <c r="N32" s="37"/>
      <c r="O32" s="37"/>
      <c r="P32" s="22"/>
      <c r="Q32" s="22"/>
      <c r="R32" s="22"/>
      <c r="S32" s="22"/>
      <c r="T32" s="38"/>
      <c r="U32" s="38"/>
      <c r="V32" s="38"/>
      <c r="W32" s="38"/>
      <c r="X32" s="38"/>
      <c r="Y32" s="38"/>
      <c r="Z32" s="28"/>
      <c r="AA32" s="28"/>
      <c r="AB32" s="28"/>
      <c r="AC32" s="28"/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</row>
    <row r="33" spans="1:36" ht="16" x14ac:dyDescent="0.35">
      <c r="A33" s="35">
        <v>542490600102</v>
      </c>
      <c r="B33" s="32" t="s">
        <v>111</v>
      </c>
      <c r="C33" s="32" t="s">
        <v>112</v>
      </c>
      <c r="D33" s="33">
        <v>50</v>
      </c>
      <c r="E33" s="36">
        <v>0</v>
      </c>
      <c r="F33" s="33">
        <v>40</v>
      </c>
      <c r="G33" s="33"/>
      <c r="H33" s="33">
        <v>10</v>
      </c>
      <c r="I33" s="33">
        <v>10</v>
      </c>
      <c r="J33" s="33">
        <v>0</v>
      </c>
      <c r="K33" s="33">
        <v>0</v>
      </c>
      <c r="L33" s="34"/>
      <c r="M33" s="37"/>
      <c r="N33" s="37"/>
      <c r="O33" s="37"/>
      <c r="P33" s="22"/>
      <c r="Q33" s="22"/>
      <c r="R33" s="22"/>
      <c r="S33" s="22"/>
      <c r="T33" s="38"/>
      <c r="U33" s="38"/>
      <c r="V33" s="38"/>
      <c r="W33" s="38"/>
      <c r="X33" s="38"/>
      <c r="Y33" s="38"/>
      <c r="Z33" s="28"/>
      <c r="AA33" s="28"/>
      <c r="AB33" s="28"/>
      <c r="AC33" s="28"/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</row>
    <row r="34" spans="1:36" ht="16" x14ac:dyDescent="0.35">
      <c r="A34" s="35">
        <v>542490600101</v>
      </c>
      <c r="B34" s="32" t="s">
        <v>113</v>
      </c>
      <c r="C34" s="32" t="s">
        <v>114</v>
      </c>
      <c r="D34" s="33">
        <v>50</v>
      </c>
      <c r="E34" s="36">
        <v>0</v>
      </c>
      <c r="F34" s="33">
        <v>40</v>
      </c>
      <c r="G34" s="33"/>
      <c r="H34" s="33">
        <v>10</v>
      </c>
      <c r="I34" s="33">
        <v>10</v>
      </c>
      <c r="J34" s="33">
        <v>0</v>
      </c>
      <c r="K34" s="33">
        <v>0</v>
      </c>
      <c r="L34" s="34"/>
      <c r="M34" s="37"/>
      <c r="N34" s="37"/>
      <c r="O34" s="37"/>
      <c r="P34" s="22"/>
      <c r="Q34" s="22"/>
      <c r="R34" s="22"/>
      <c r="S34" s="22"/>
      <c r="T34" s="38"/>
      <c r="U34" s="38"/>
      <c r="V34" s="38"/>
      <c r="W34" s="38"/>
      <c r="X34" s="38"/>
      <c r="Y34" s="38"/>
      <c r="Z34" s="28"/>
      <c r="AA34" s="28"/>
      <c r="AB34" s="28"/>
      <c r="AC34" s="28"/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</row>
    <row r="35" spans="1:36" ht="16" x14ac:dyDescent="0.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  <c r="M35" s="10">
        <v>0.27083333333333331</v>
      </c>
      <c r="N35" s="10">
        <v>0.375</v>
      </c>
      <c r="O35" s="10">
        <v>0.45833333333333331</v>
      </c>
      <c r="P35" s="10">
        <v>0.54166666666666663</v>
      </c>
      <c r="Q35" s="10">
        <v>0.625</v>
      </c>
      <c r="R35" s="17"/>
      <c r="S35" s="8"/>
      <c r="T35" s="11">
        <v>0.27083333333333331</v>
      </c>
      <c r="U35" s="11">
        <v>0.42569444444444443</v>
      </c>
      <c r="V35" s="11">
        <v>0.54861111111111116</v>
      </c>
      <c r="W35" s="11"/>
      <c r="X35" s="11"/>
      <c r="Y35" s="11"/>
      <c r="Z35" s="11"/>
      <c r="AA35" s="11"/>
      <c r="AB35" s="31"/>
      <c r="AC35" s="41"/>
      <c r="AD35" s="31" t="s">
        <v>88</v>
      </c>
      <c r="AE35" s="31">
        <v>0.27083333333333331</v>
      </c>
      <c r="AF35" s="31"/>
      <c r="AG35" s="31"/>
      <c r="AH35" s="31"/>
      <c r="AI35" s="31"/>
      <c r="AJ35" s="31"/>
    </row>
    <row r="36" spans="1:36" ht="18.5" x14ac:dyDescent="0.35">
      <c r="A36" s="32" t="s">
        <v>62</v>
      </c>
      <c r="B36" s="32" t="s">
        <v>63</v>
      </c>
      <c r="C36" s="32" t="s">
        <v>64</v>
      </c>
      <c r="D36" s="33">
        <v>80</v>
      </c>
      <c r="E36" s="14">
        <v>124</v>
      </c>
      <c r="F36" s="15">
        <v>48</v>
      </c>
      <c r="G36" s="33"/>
      <c r="H36" s="33">
        <v>156</v>
      </c>
      <c r="I36" s="33">
        <v>0</v>
      </c>
      <c r="J36" s="33">
        <v>160</v>
      </c>
      <c r="K36" s="33">
        <v>128</v>
      </c>
      <c r="L36" s="34"/>
      <c r="M36" s="18">
        <v>48</v>
      </c>
      <c r="N36" s="18">
        <v>32</v>
      </c>
      <c r="O36" s="18">
        <v>32</v>
      </c>
      <c r="P36" s="18">
        <v>32</v>
      </c>
      <c r="Q36" s="18">
        <v>16</v>
      </c>
      <c r="R36" s="19"/>
      <c r="S36" s="8"/>
      <c r="T36" s="9">
        <v>44</v>
      </c>
      <c r="U36" s="9">
        <v>40</v>
      </c>
      <c r="V36" s="20">
        <v>44</v>
      </c>
      <c r="W36" s="20"/>
      <c r="X36" s="20"/>
      <c r="Y36" s="20"/>
      <c r="Z36" s="20"/>
      <c r="AA36" s="20"/>
      <c r="AB36" s="42"/>
      <c r="AC36" s="28"/>
      <c r="AD36" s="28">
        <v>128</v>
      </c>
      <c r="AE36" s="28">
        <v>-4</v>
      </c>
      <c r="AF36" s="28">
        <v>4</v>
      </c>
      <c r="AG36" s="28">
        <v>16</v>
      </c>
      <c r="AH36" s="28">
        <v>-16</v>
      </c>
      <c r="AI36" s="28">
        <v>-32</v>
      </c>
      <c r="AJ36" s="28">
        <v>-32</v>
      </c>
    </row>
    <row r="37" spans="1:36" ht="18.5" x14ac:dyDescent="0.35">
      <c r="A37" s="32" t="s">
        <v>65</v>
      </c>
      <c r="B37" s="32" t="s">
        <v>66</v>
      </c>
      <c r="C37" s="32" t="s">
        <v>67</v>
      </c>
      <c r="D37" s="33">
        <v>32</v>
      </c>
      <c r="E37" s="14">
        <v>22</v>
      </c>
      <c r="F37" s="15">
        <v>17</v>
      </c>
      <c r="G37" s="33"/>
      <c r="H37" s="33">
        <v>37</v>
      </c>
      <c r="I37" s="33">
        <v>0</v>
      </c>
      <c r="J37" s="33">
        <v>48</v>
      </c>
      <c r="K37" s="33">
        <v>16</v>
      </c>
      <c r="L37" s="34"/>
      <c r="M37" s="8">
        <v>16</v>
      </c>
      <c r="N37" s="8"/>
      <c r="O37" s="8">
        <v>16</v>
      </c>
      <c r="P37" s="8"/>
      <c r="Q37" s="18">
        <v>16</v>
      </c>
      <c r="R37" s="22"/>
      <c r="S37" s="8"/>
      <c r="T37" s="9">
        <v>16</v>
      </c>
      <c r="U37" s="9"/>
      <c r="V37" s="9"/>
      <c r="W37" s="9"/>
      <c r="X37" s="9"/>
      <c r="Y37" s="9"/>
      <c r="Z37" s="9"/>
      <c r="AA37" s="9"/>
      <c r="AB37" s="27"/>
      <c r="AC37" s="28"/>
      <c r="AD37" s="28">
        <v>16</v>
      </c>
      <c r="AE37" s="28">
        <v>0</v>
      </c>
      <c r="AF37" s="28">
        <v>0</v>
      </c>
      <c r="AG37" s="28">
        <v>-16</v>
      </c>
      <c r="AH37" s="28">
        <v>-16</v>
      </c>
      <c r="AI37" s="28">
        <v>-32</v>
      </c>
      <c r="AJ37" s="28">
        <v>-32</v>
      </c>
    </row>
    <row r="38" spans="1:36" ht="18.5" x14ac:dyDescent="0.35">
      <c r="A38" s="32" t="s">
        <v>68</v>
      </c>
      <c r="B38" s="32" t="s">
        <v>69</v>
      </c>
      <c r="C38" s="32" t="s">
        <v>70</v>
      </c>
      <c r="D38" s="33">
        <v>64</v>
      </c>
      <c r="E38" s="14">
        <v>212</v>
      </c>
      <c r="F38" s="15">
        <v>130</v>
      </c>
      <c r="G38" s="33"/>
      <c r="H38" s="33">
        <v>146</v>
      </c>
      <c r="I38" s="33">
        <v>2</v>
      </c>
      <c r="J38" s="33">
        <v>144</v>
      </c>
      <c r="K38" s="33">
        <v>60</v>
      </c>
      <c r="L38" s="34"/>
      <c r="M38" s="8"/>
      <c r="N38" s="8">
        <v>32</v>
      </c>
      <c r="O38" s="8">
        <v>32</v>
      </c>
      <c r="P38" s="8">
        <v>48</v>
      </c>
      <c r="Q38" s="18">
        <v>32</v>
      </c>
      <c r="R38" s="22"/>
      <c r="S38" s="8"/>
      <c r="T38" s="9"/>
      <c r="U38" s="9">
        <v>12</v>
      </c>
      <c r="V38" s="9">
        <v>48</v>
      </c>
      <c r="W38" s="9"/>
      <c r="X38" s="9"/>
      <c r="Y38" s="9"/>
      <c r="Z38" s="9"/>
      <c r="AA38" s="9"/>
      <c r="AB38" s="27"/>
      <c r="AC38" s="28"/>
      <c r="AD38" s="28">
        <v>60</v>
      </c>
      <c r="AE38" s="28">
        <v>0</v>
      </c>
      <c r="AF38" s="28">
        <v>-20</v>
      </c>
      <c r="AG38" s="28">
        <v>-4</v>
      </c>
      <c r="AH38" s="28">
        <v>-52</v>
      </c>
      <c r="AI38" s="28">
        <v>-84</v>
      </c>
      <c r="AJ38" s="28">
        <v>-84</v>
      </c>
    </row>
    <row r="39" spans="1:36" ht="18.5" x14ac:dyDescent="0.35">
      <c r="A39" s="32" t="s">
        <v>71</v>
      </c>
      <c r="B39" s="32" t="s">
        <v>72</v>
      </c>
      <c r="C39" s="32" t="s">
        <v>73</v>
      </c>
      <c r="D39" s="33">
        <v>32</v>
      </c>
      <c r="E39" s="14">
        <v>114</v>
      </c>
      <c r="F39" s="15">
        <v>92</v>
      </c>
      <c r="G39" s="33"/>
      <c r="H39" s="33">
        <v>54</v>
      </c>
      <c r="I39" s="33">
        <v>0</v>
      </c>
      <c r="J39" s="33">
        <v>64</v>
      </c>
      <c r="K39" s="33">
        <v>32</v>
      </c>
      <c r="L39" s="34"/>
      <c r="M39" s="8">
        <v>16</v>
      </c>
      <c r="N39" s="8">
        <v>16</v>
      </c>
      <c r="O39" s="8">
        <v>16</v>
      </c>
      <c r="P39" s="22">
        <v>16</v>
      </c>
      <c r="Q39" s="18"/>
      <c r="R39" s="23"/>
      <c r="S39" s="8"/>
      <c r="T39" s="9">
        <v>16</v>
      </c>
      <c r="U39" s="9">
        <v>16</v>
      </c>
      <c r="V39" s="9"/>
      <c r="W39" s="9"/>
      <c r="X39" s="9"/>
      <c r="Y39" s="9"/>
      <c r="Z39" s="9"/>
      <c r="AA39" s="9"/>
      <c r="AB39" s="27"/>
      <c r="AC39" s="28"/>
      <c r="AD39" s="28">
        <v>32</v>
      </c>
      <c r="AE39" s="28">
        <v>0</v>
      </c>
      <c r="AF39" s="28">
        <v>0</v>
      </c>
      <c r="AG39" s="28">
        <v>-16</v>
      </c>
      <c r="AH39" s="28">
        <v>-32</v>
      </c>
      <c r="AI39" s="28">
        <v>-32</v>
      </c>
      <c r="AJ39" s="28">
        <v>-32</v>
      </c>
    </row>
    <row r="40" spans="1:36" ht="18.5" x14ac:dyDescent="0.4">
      <c r="A40" s="32" t="s">
        <v>74</v>
      </c>
      <c r="B40" s="32" t="s">
        <v>75</v>
      </c>
      <c r="C40" s="32" t="s">
        <v>76</v>
      </c>
      <c r="D40" s="33">
        <v>32</v>
      </c>
      <c r="E40" s="14">
        <v>34</v>
      </c>
      <c r="F40" s="15">
        <v>40</v>
      </c>
      <c r="G40" s="33"/>
      <c r="H40" s="33">
        <v>26</v>
      </c>
      <c r="I40" s="33">
        <v>0</v>
      </c>
      <c r="J40" s="33">
        <v>32</v>
      </c>
      <c r="K40" s="33">
        <v>0</v>
      </c>
      <c r="L40" s="34" t="s">
        <v>115</v>
      </c>
      <c r="M40" s="8">
        <v>16</v>
      </c>
      <c r="N40" s="8">
        <v>16</v>
      </c>
      <c r="O40" s="8"/>
      <c r="P40" s="22"/>
      <c r="Q40" s="18"/>
      <c r="R40" s="23"/>
      <c r="S40" s="22"/>
      <c r="T40" s="9"/>
      <c r="U40" s="9"/>
      <c r="V40" s="9"/>
      <c r="W40" s="9"/>
      <c r="X40" s="9"/>
      <c r="Y40" s="9"/>
      <c r="Z40" s="6"/>
      <c r="AA40" s="27"/>
      <c r="AB40" s="27"/>
      <c r="AC40" s="28"/>
      <c r="AD40" s="28">
        <v>0</v>
      </c>
      <c r="AE40" s="28">
        <v>-16</v>
      </c>
      <c r="AF40" s="28">
        <v>-32</v>
      </c>
      <c r="AG40" s="28">
        <v>-32</v>
      </c>
      <c r="AH40" s="28">
        <v>-32</v>
      </c>
      <c r="AI40" s="28">
        <v>-32</v>
      </c>
      <c r="AJ40" s="28">
        <v>-32</v>
      </c>
    </row>
    <row r="45" spans="1:36" x14ac:dyDescent="0.35">
      <c r="A45">
        <v>27</v>
      </c>
    </row>
    <row r="46" spans="1:36" x14ac:dyDescent="0.35">
      <c r="A46">
        <v>32</v>
      </c>
    </row>
    <row r="47" spans="1:36" x14ac:dyDescent="0.35">
      <c r="A47">
        <v>16</v>
      </c>
    </row>
    <row r="48" spans="1:36" x14ac:dyDescent="0.35">
      <c r="A48">
        <v>12</v>
      </c>
    </row>
    <row r="49" spans="1:1" x14ac:dyDescent="0.35">
      <c r="A49">
        <v>21</v>
      </c>
    </row>
  </sheetData>
  <protectedRanges>
    <protectedRange sqref="R40" name="Range1_1_2_1_2_1_1_1_1_1_1_1_1"/>
    <protectedRange sqref="R39" name="Range1_1_2_1_2_1_1_1_1_2_1_1_1"/>
    <protectedRange sqref="R36:R38" name="Range1_1_2_1_2_1_1_1_1_2_1_2_4_1_2"/>
    <protectedRange sqref="F22:F34" name="Range1_2_1"/>
    <protectedRange sqref="Q39" name="Range1_1_2_1_2_1_1_1_1_2_1_1_1_1_1"/>
    <protectedRange sqref="Q40" name="Range1_1_2_1_2_1_1_1_1_1_1_1_1_1_1_1"/>
    <protectedRange sqref="Q36:Q38" name="Range1_1_2_1_2_1_1_1_1_2_1_2_4_1_2_1"/>
    <protectedRange sqref="P40" name="Range1_1_2_1_2_1_2_1_1_1"/>
    <protectedRange sqref="P39" name="Range1_1_2_1_2_1_1_1_1_2_1_2_4_1_1_1"/>
    <protectedRange sqref="F13" name="Range1_5_1_1_2"/>
    <protectedRange sqref="F12" name="Range1_2_3_1_1_2"/>
    <protectedRange sqref="F7:F11" name="Range1_3_2_2"/>
  </protectedRanges>
  <mergeCells count="15">
    <mergeCell ref="M1:S1"/>
    <mergeCell ref="T1:AD1"/>
    <mergeCell ref="AE1:AJ1"/>
    <mergeCell ref="B2:C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</mergeCells>
  <conditionalFormatting sqref="I7:K40">
    <cfRule type="cellIs" dxfId="65" priority="5" operator="greaterThan">
      <formula>0</formula>
    </cfRule>
  </conditionalFormatting>
  <conditionalFormatting sqref="P39:P40">
    <cfRule type="cellIs" dxfId="64" priority="1" operator="lessThan">
      <formula>0</formula>
    </cfRule>
  </conditionalFormatting>
  <conditionalFormatting sqref="R40">
    <cfRule type="cellIs" dxfId="63" priority="4" operator="lessThan">
      <formula>0</formula>
    </cfRule>
  </conditionalFormatting>
  <conditionalFormatting sqref="R36:S39">
    <cfRule type="cellIs" dxfId="62" priority="3" operator="lessThan">
      <formula>0</formula>
    </cfRule>
  </conditionalFormatting>
  <conditionalFormatting sqref="Z39">
    <cfRule type="cellIs" dxfId="61" priority="2" operator="lessThan">
      <formula>0</formula>
    </cfRule>
  </conditionalFormatting>
  <conditionalFormatting sqref="AA36:AA39">
    <cfRule type="cellIs" dxfId="60" priority="6" operator="lessThan">
      <formula>0</formula>
    </cfRule>
  </conditionalFormatting>
  <conditionalFormatting sqref="AE3:AJ3">
    <cfRule type="cellIs" dxfId="59" priority="7" operator="lessThan">
      <formula>0</formula>
    </cfRule>
  </conditionalFormatting>
  <conditionalFormatting sqref="AE7:AJ34 AE36:AJ40">
    <cfRule type="cellIs" dxfId="58" priority="8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98" orientation="landscape" horizontalDpi="200" verticalDpi="200" r:id="rId1"/>
  <headerFooter>
    <oddFooter>&amp;L_x000D_&amp;1#&amp;"Calibri Light"&amp;8&amp;K000000 Classified as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E0D8-BD9D-4198-81CB-25B54F995B7F}">
  <sheetPr>
    <pageSetUpPr fitToPage="1"/>
  </sheetPr>
  <dimension ref="A1:W29"/>
  <sheetViews>
    <sheetView showZeros="0" zoomScale="70" zoomScaleNormal="70" workbookViewId="0">
      <pane xSplit="5" ySplit="6" topLeftCell="F16" activePane="bottomRight" state="frozen"/>
      <selection activeCell="M7" sqref="M7"/>
      <selection pane="topRight" activeCell="M7" sqref="M7"/>
      <selection pane="bottomLeft" activeCell="M7" sqref="M7"/>
      <selection pane="bottomRight"/>
    </sheetView>
  </sheetViews>
  <sheetFormatPr defaultRowHeight="16" x14ac:dyDescent="0.4"/>
  <cols>
    <col min="1" max="1" width="18.26953125" style="1" bestFit="1" customWidth="1"/>
    <col min="2" max="2" width="18.54296875" style="1" bestFit="1" customWidth="1"/>
    <col min="3" max="3" width="17" style="1" customWidth="1"/>
    <col min="4" max="4" width="12.54296875" style="1" bestFit="1" customWidth="1"/>
    <col min="5" max="7" width="12" style="1" customWidth="1"/>
    <col min="8" max="8" width="9.08984375" style="1" customWidth="1"/>
    <col min="9" max="9" width="6.453125" style="1" bestFit="1" customWidth="1"/>
    <col min="10" max="15" width="6.36328125" style="1" customWidth="1"/>
    <col min="16" max="16" width="6.453125" style="1" bestFit="1" customWidth="1"/>
    <col min="17" max="23" width="6.36328125" style="1" customWidth="1"/>
    <col min="24" max="16384" width="8.7265625" style="1"/>
  </cols>
  <sheetData>
    <row r="1" spans="1:23" ht="18.5" x14ac:dyDescent="0.45">
      <c r="C1" s="2">
        <v>45905</v>
      </c>
      <c r="D1" s="60"/>
      <c r="H1" s="62" t="s">
        <v>0</v>
      </c>
      <c r="I1" s="62"/>
      <c r="J1" s="62"/>
      <c r="K1" s="62"/>
      <c r="L1" s="62"/>
      <c r="M1" s="62"/>
      <c r="N1" s="3"/>
      <c r="O1" s="63" t="s">
        <v>1</v>
      </c>
      <c r="P1" s="64"/>
      <c r="Q1" s="64"/>
      <c r="R1" s="64"/>
      <c r="S1" s="64"/>
      <c r="T1" s="64"/>
      <c r="U1" s="64"/>
      <c r="V1" s="64"/>
      <c r="W1" s="64"/>
    </row>
    <row r="2" spans="1:23" x14ac:dyDescent="0.4">
      <c r="B2" s="65"/>
      <c r="C2" s="66"/>
      <c r="D2" s="61"/>
      <c r="E2" s="4"/>
      <c r="F2" s="4"/>
      <c r="G2" s="4"/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O2" s="6" t="s">
        <v>2</v>
      </c>
      <c r="P2" s="6" t="s">
        <v>3</v>
      </c>
      <c r="Q2" s="6" t="s">
        <v>4</v>
      </c>
      <c r="R2" s="6" t="s">
        <v>5</v>
      </c>
      <c r="S2" s="6" t="s">
        <v>6</v>
      </c>
      <c r="T2" s="6" t="s">
        <v>7</v>
      </c>
      <c r="U2" s="6" t="s">
        <v>8</v>
      </c>
      <c r="V2" s="6" t="s">
        <v>9</v>
      </c>
      <c r="W2" s="6"/>
    </row>
    <row r="3" spans="1:23" x14ac:dyDescent="0.4">
      <c r="A3" s="59" t="s">
        <v>10</v>
      </c>
      <c r="B3" s="67" t="s">
        <v>11</v>
      </c>
      <c r="C3" s="67" t="s">
        <v>12</v>
      </c>
      <c r="D3" s="59" t="s">
        <v>13</v>
      </c>
      <c r="E3" s="7" t="s">
        <v>14</v>
      </c>
      <c r="F3" s="68" t="s">
        <v>122</v>
      </c>
      <c r="G3" s="68" t="s">
        <v>123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/>
      <c r="W3" s="9"/>
    </row>
    <row r="4" spans="1:23" x14ac:dyDescent="0.4">
      <c r="A4" s="59"/>
      <c r="B4" s="67"/>
      <c r="C4" s="67"/>
      <c r="D4" s="59"/>
      <c r="E4" s="7" t="s">
        <v>15</v>
      </c>
      <c r="F4" s="69"/>
      <c r="G4" s="69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</row>
    <row r="5" spans="1:23" x14ac:dyDescent="0.4">
      <c r="A5" s="59"/>
      <c r="B5" s="67"/>
      <c r="C5" s="67"/>
      <c r="D5" s="59"/>
      <c r="E5" s="7" t="s">
        <v>16</v>
      </c>
      <c r="F5" s="69"/>
      <c r="G5" s="69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</row>
    <row r="6" spans="1:23" ht="16" customHeight="1" x14ac:dyDescent="0.4">
      <c r="A6" s="59"/>
      <c r="B6" s="67"/>
      <c r="C6" s="67"/>
      <c r="D6" s="59"/>
      <c r="E6" s="7" t="s">
        <v>17</v>
      </c>
      <c r="F6" s="70"/>
      <c r="G6" s="70"/>
      <c r="H6" s="10">
        <v>0.27083333333333331</v>
      </c>
      <c r="I6" s="10">
        <v>0.41666666666666669</v>
      </c>
      <c r="J6" s="10">
        <v>0.54166666666666663</v>
      </c>
      <c r="K6" s="10">
        <v>0.66666666666666663</v>
      </c>
      <c r="L6" s="10">
        <v>0.79166666666666663</v>
      </c>
      <c r="M6" s="10">
        <v>0</v>
      </c>
      <c r="N6" s="10"/>
      <c r="O6" s="11">
        <v>0.27083333333333331</v>
      </c>
      <c r="P6" s="11">
        <v>0.46597222222222223</v>
      </c>
      <c r="Q6" s="11">
        <v>0.66041666666666665</v>
      </c>
      <c r="R6" s="11">
        <v>0.6875</v>
      </c>
      <c r="S6" s="11">
        <v>0.85416666666666663</v>
      </c>
      <c r="T6" s="11">
        <v>0</v>
      </c>
      <c r="U6" s="11">
        <v>0</v>
      </c>
      <c r="V6" s="11"/>
      <c r="W6" s="12"/>
    </row>
    <row r="7" spans="1:23" ht="17.5" customHeight="1" x14ac:dyDescent="0.4">
      <c r="A7" s="13" t="s">
        <v>18</v>
      </c>
      <c r="B7" s="13" t="s">
        <v>19</v>
      </c>
      <c r="C7" s="13" t="s">
        <v>20</v>
      </c>
      <c r="D7" s="14">
        <v>58</v>
      </c>
      <c r="E7" s="15">
        <v>100</v>
      </c>
      <c r="F7" s="15">
        <v>96</v>
      </c>
      <c r="G7" s="15">
        <v>0</v>
      </c>
      <c r="H7" s="8">
        <v>96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/>
      <c r="W7" s="9"/>
    </row>
    <row r="8" spans="1:23" ht="17.5" customHeight="1" x14ac:dyDescent="0.4">
      <c r="A8" s="13" t="s">
        <v>21</v>
      </c>
      <c r="B8" s="13" t="s">
        <v>22</v>
      </c>
      <c r="C8" s="13" t="s">
        <v>23</v>
      </c>
      <c r="D8" s="14">
        <v>272</v>
      </c>
      <c r="E8" s="15">
        <v>192</v>
      </c>
      <c r="F8" s="15">
        <v>384</v>
      </c>
      <c r="G8" s="15">
        <v>288</v>
      </c>
      <c r="H8" s="8">
        <v>0</v>
      </c>
      <c r="I8" s="8">
        <v>192</v>
      </c>
      <c r="J8" s="8">
        <v>96</v>
      </c>
      <c r="K8" s="8">
        <v>96</v>
      </c>
      <c r="L8" s="8">
        <v>0</v>
      </c>
      <c r="M8" s="8">
        <v>0</v>
      </c>
      <c r="N8" s="8">
        <v>0</v>
      </c>
      <c r="O8" s="9">
        <v>0</v>
      </c>
      <c r="P8" s="9">
        <v>96</v>
      </c>
      <c r="Q8" s="9">
        <v>96</v>
      </c>
      <c r="R8" s="9">
        <v>0</v>
      </c>
      <c r="S8" s="9">
        <v>96</v>
      </c>
      <c r="T8" s="9">
        <v>0</v>
      </c>
      <c r="U8" s="9">
        <v>0</v>
      </c>
      <c r="V8" s="9"/>
      <c r="W8" s="9"/>
    </row>
    <row r="9" spans="1:23" ht="17.5" customHeight="1" x14ac:dyDescent="0.4">
      <c r="A9" s="13" t="s">
        <v>24</v>
      </c>
      <c r="B9" s="13" t="s">
        <v>25</v>
      </c>
      <c r="C9" s="13" t="s">
        <v>26</v>
      </c>
      <c r="D9" s="14">
        <v>40</v>
      </c>
      <c r="E9" s="15">
        <v>40</v>
      </c>
      <c r="F9" s="15">
        <v>96</v>
      </c>
      <c r="G9" s="15">
        <v>0</v>
      </c>
      <c r="H9" s="8">
        <v>0</v>
      </c>
      <c r="I9" s="8">
        <v>0</v>
      </c>
      <c r="J9" s="8">
        <v>96</v>
      </c>
      <c r="K9" s="8">
        <v>0</v>
      </c>
      <c r="L9" s="8">
        <v>0</v>
      </c>
      <c r="M9" s="8">
        <v>0</v>
      </c>
      <c r="N9" s="8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/>
      <c r="W9" s="9"/>
    </row>
    <row r="10" spans="1:23" ht="17.5" customHeight="1" x14ac:dyDescent="0.4">
      <c r="A10" s="16" t="s">
        <v>27</v>
      </c>
      <c r="B10" s="13" t="s">
        <v>28</v>
      </c>
      <c r="C10" s="13" t="s">
        <v>29</v>
      </c>
      <c r="D10" s="14">
        <v>15</v>
      </c>
      <c r="E10" s="15">
        <v>240</v>
      </c>
      <c r="F10" s="15">
        <v>0</v>
      </c>
      <c r="G10" s="15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/>
      <c r="W10" s="9"/>
    </row>
    <row r="11" spans="1:23" ht="17.5" customHeight="1" x14ac:dyDescent="0.4">
      <c r="A11" s="13" t="s">
        <v>30</v>
      </c>
      <c r="B11" s="13" t="s">
        <v>31</v>
      </c>
      <c r="C11" s="13" t="s">
        <v>32</v>
      </c>
      <c r="D11" s="14">
        <v>173</v>
      </c>
      <c r="E11" s="15">
        <v>130</v>
      </c>
      <c r="F11" s="15">
        <v>260</v>
      </c>
      <c r="G11" s="15">
        <v>260</v>
      </c>
      <c r="H11" s="8">
        <v>0</v>
      </c>
      <c r="I11" s="8">
        <v>130</v>
      </c>
      <c r="J11" s="8">
        <v>0</v>
      </c>
      <c r="K11" s="8">
        <v>130</v>
      </c>
      <c r="L11" s="8">
        <v>0</v>
      </c>
      <c r="M11" s="8">
        <v>0</v>
      </c>
      <c r="N11" s="8">
        <v>0</v>
      </c>
      <c r="O11" s="9">
        <v>0</v>
      </c>
      <c r="P11" s="9">
        <v>130</v>
      </c>
      <c r="Q11" s="9">
        <v>0</v>
      </c>
      <c r="R11" s="9">
        <v>0</v>
      </c>
      <c r="S11" s="9">
        <v>130</v>
      </c>
      <c r="T11" s="9">
        <v>0</v>
      </c>
      <c r="U11" s="9">
        <v>0</v>
      </c>
      <c r="V11" s="9"/>
      <c r="W11" s="9"/>
    </row>
    <row r="12" spans="1:23" ht="17.5" customHeight="1" x14ac:dyDescent="0.4">
      <c r="A12" s="13" t="s">
        <v>33</v>
      </c>
      <c r="B12" s="13" t="s">
        <v>34</v>
      </c>
      <c r="C12" s="13" t="s">
        <v>35</v>
      </c>
      <c r="D12" s="14">
        <v>40</v>
      </c>
      <c r="E12" s="15">
        <v>200</v>
      </c>
      <c r="F12" s="15">
        <v>0</v>
      </c>
      <c r="G12" s="15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/>
      <c r="W12" s="9"/>
    </row>
    <row r="13" spans="1:23" ht="17.5" customHeight="1" x14ac:dyDescent="0.4">
      <c r="A13" s="13" t="s">
        <v>36</v>
      </c>
      <c r="B13" s="13" t="s">
        <v>37</v>
      </c>
      <c r="C13" s="13">
        <v>630131090</v>
      </c>
      <c r="D13" s="14">
        <v>40</v>
      </c>
      <c r="E13" s="15">
        <v>40</v>
      </c>
      <c r="F13" s="15">
        <v>140</v>
      </c>
      <c r="G13" s="15">
        <v>0</v>
      </c>
      <c r="H13" s="8">
        <v>0</v>
      </c>
      <c r="I13" s="8">
        <v>0</v>
      </c>
      <c r="J13" s="8">
        <v>140</v>
      </c>
      <c r="K13" s="8">
        <v>0</v>
      </c>
      <c r="L13" s="8">
        <v>0</v>
      </c>
      <c r="M13" s="8">
        <v>0</v>
      </c>
      <c r="N13" s="8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/>
      <c r="W13" s="9"/>
    </row>
    <row r="14" spans="1:23" ht="17.5" customHeight="1" x14ac:dyDescent="0.4">
      <c r="A14" s="13" t="s">
        <v>38</v>
      </c>
      <c r="B14" s="13" t="s">
        <v>39</v>
      </c>
      <c r="C14" s="13" t="s">
        <v>40</v>
      </c>
      <c r="D14" s="14">
        <v>50</v>
      </c>
      <c r="E14" s="15">
        <v>45</v>
      </c>
      <c r="F14" s="15">
        <v>56</v>
      </c>
      <c r="G14" s="15">
        <v>42</v>
      </c>
      <c r="H14" s="8">
        <v>14</v>
      </c>
      <c r="I14" s="8">
        <v>14</v>
      </c>
      <c r="J14" s="8">
        <v>14</v>
      </c>
      <c r="K14" s="8">
        <v>14</v>
      </c>
      <c r="L14" s="8">
        <v>0</v>
      </c>
      <c r="M14" s="8">
        <v>0</v>
      </c>
      <c r="N14" s="8">
        <v>0</v>
      </c>
      <c r="O14" s="9">
        <v>0</v>
      </c>
      <c r="P14" s="9">
        <v>14</v>
      </c>
      <c r="Q14" s="9">
        <v>0</v>
      </c>
      <c r="R14" s="9">
        <v>14</v>
      </c>
      <c r="S14" s="9">
        <v>14</v>
      </c>
      <c r="T14" s="9">
        <v>0</v>
      </c>
      <c r="U14" s="9">
        <v>0</v>
      </c>
      <c r="V14" s="9"/>
      <c r="W14" s="9"/>
    </row>
    <row r="15" spans="1:23" ht="17.5" customHeight="1" x14ac:dyDescent="0.4">
      <c r="A15" s="13" t="s">
        <v>41</v>
      </c>
      <c r="B15" s="13" t="s">
        <v>42</v>
      </c>
      <c r="C15" s="13" t="s">
        <v>43</v>
      </c>
      <c r="D15" s="14">
        <v>0</v>
      </c>
      <c r="E15" s="15">
        <v>10</v>
      </c>
      <c r="F15" s="15">
        <v>0</v>
      </c>
      <c r="G15" s="15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/>
      <c r="W15" s="9"/>
    </row>
    <row r="16" spans="1:23" ht="17.5" customHeight="1" x14ac:dyDescent="0.4">
      <c r="A16" s="13" t="s">
        <v>44</v>
      </c>
      <c r="B16" s="13" t="s">
        <v>45</v>
      </c>
      <c r="C16" s="13" t="s">
        <v>46</v>
      </c>
      <c r="D16" s="14">
        <v>234</v>
      </c>
      <c r="E16" s="15">
        <v>20</v>
      </c>
      <c r="F16" s="15">
        <v>252</v>
      </c>
      <c r="G16" s="15">
        <v>252</v>
      </c>
      <c r="H16" s="8">
        <v>42</v>
      </c>
      <c r="I16" s="8">
        <v>56</v>
      </c>
      <c r="J16" s="8">
        <v>56</v>
      </c>
      <c r="K16" s="8">
        <v>56</v>
      </c>
      <c r="L16" s="8">
        <v>42</v>
      </c>
      <c r="M16" s="8">
        <v>0</v>
      </c>
      <c r="N16" s="8">
        <v>0</v>
      </c>
      <c r="O16" s="9">
        <v>42</v>
      </c>
      <c r="P16" s="9">
        <v>56</v>
      </c>
      <c r="Q16" s="9">
        <v>42</v>
      </c>
      <c r="R16" s="9">
        <v>56</v>
      </c>
      <c r="S16" s="9">
        <v>56</v>
      </c>
      <c r="T16" s="9">
        <v>0</v>
      </c>
      <c r="U16" s="9">
        <v>0</v>
      </c>
      <c r="V16" s="9"/>
      <c r="W16" s="9"/>
    </row>
    <row r="17" spans="1:23" ht="17.5" customHeight="1" x14ac:dyDescent="0.4">
      <c r="A17" s="13" t="s">
        <v>47</v>
      </c>
      <c r="B17" s="13" t="s">
        <v>48</v>
      </c>
      <c r="C17" s="13" t="s">
        <v>49</v>
      </c>
      <c r="D17" s="14">
        <v>36</v>
      </c>
      <c r="E17" s="15">
        <v>22</v>
      </c>
      <c r="F17" s="15">
        <v>28</v>
      </c>
      <c r="G17" s="15">
        <v>28</v>
      </c>
      <c r="H17" s="8">
        <v>0</v>
      </c>
      <c r="I17" s="8">
        <v>14</v>
      </c>
      <c r="J17" s="8">
        <v>0</v>
      </c>
      <c r="K17" s="8">
        <v>14</v>
      </c>
      <c r="L17" s="8">
        <v>0</v>
      </c>
      <c r="M17" s="8">
        <v>0</v>
      </c>
      <c r="N17" s="8">
        <v>0</v>
      </c>
      <c r="O17" s="9">
        <v>0</v>
      </c>
      <c r="P17" s="9">
        <v>0</v>
      </c>
      <c r="Q17" s="9">
        <v>14</v>
      </c>
      <c r="R17" s="9">
        <v>0</v>
      </c>
      <c r="S17" s="9">
        <v>14</v>
      </c>
      <c r="T17" s="9">
        <v>0</v>
      </c>
      <c r="U17" s="9">
        <v>0</v>
      </c>
      <c r="V17" s="9"/>
      <c r="W17" s="9"/>
    </row>
    <row r="18" spans="1:23" ht="17.5" customHeight="1" x14ac:dyDescent="0.4">
      <c r="A18" s="13" t="s">
        <v>50</v>
      </c>
      <c r="B18" s="13" t="s">
        <v>51</v>
      </c>
      <c r="C18" s="13" t="s">
        <v>52</v>
      </c>
      <c r="D18" s="14">
        <v>0</v>
      </c>
      <c r="E18" s="15">
        <v>0</v>
      </c>
      <c r="F18" s="15">
        <v>0</v>
      </c>
      <c r="G18" s="15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/>
      <c r="W18" s="9"/>
    </row>
    <row r="19" spans="1:23" ht="17.5" customHeight="1" x14ac:dyDescent="0.4">
      <c r="A19" s="13" t="s">
        <v>53</v>
      </c>
      <c r="B19" s="13" t="s">
        <v>54</v>
      </c>
      <c r="C19" s="13" t="s">
        <v>55</v>
      </c>
      <c r="D19" s="14">
        <v>0</v>
      </c>
      <c r="E19" s="15">
        <v>15</v>
      </c>
      <c r="F19" s="15">
        <v>14</v>
      </c>
      <c r="G19" s="15">
        <v>0</v>
      </c>
      <c r="H19" s="8">
        <v>14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/>
      <c r="W19" s="9"/>
    </row>
    <row r="20" spans="1:23" ht="17.5" customHeight="1" x14ac:dyDescent="0.4">
      <c r="A20" s="13" t="s">
        <v>56</v>
      </c>
      <c r="B20" s="13" t="s">
        <v>57</v>
      </c>
      <c r="C20" s="13" t="s">
        <v>58</v>
      </c>
      <c r="D20" s="14">
        <v>40</v>
      </c>
      <c r="E20" s="15">
        <v>22</v>
      </c>
      <c r="F20" s="15">
        <v>42</v>
      </c>
      <c r="G20" s="15">
        <v>28</v>
      </c>
      <c r="H20" s="8">
        <v>14</v>
      </c>
      <c r="I20" s="8">
        <v>0</v>
      </c>
      <c r="J20" s="8">
        <v>14</v>
      </c>
      <c r="K20" s="8">
        <v>0</v>
      </c>
      <c r="L20" s="8">
        <v>14</v>
      </c>
      <c r="M20" s="8">
        <v>0</v>
      </c>
      <c r="N20" s="8">
        <v>0</v>
      </c>
      <c r="O20" s="9">
        <v>0</v>
      </c>
      <c r="P20" s="9">
        <v>0</v>
      </c>
      <c r="Q20" s="9">
        <v>28</v>
      </c>
      <c r="R20" s="9">
        <v>0</v>
      </c>
      <c r="S20" s="9">
        <v>0</v>
      </c>
      <c r="T20" s="9">
        <v>0</v>
      </c>
      <c r="U20" s="9">
        <v>0</v>
      </c>
      <c r="V20" s="9"/>
      <c r="W20" s="9"/>
    </row>
    <row r="21" spans="1:23" ht="17.5" customHeight="1" x14ac:dyDescent="0.4">
      <c r="A21" s="13" t="s">
        <v>59</v>
      </c>
      <c r="B21" s="13" t="s">
        <v>60</v>
      </c>
      <c r="C21" s="13" t="s">
        <v>61</v>
      </c>
      <c r="D21" s="14">
        <v>0</v>
      </c>
      <c r="E21" s="15">
        <v>22</v>
      </c>
      <c r="F21" s="15">
        <v>14</v>
      </c>
      <c r="G21" s="15">
        <v>0</v>
      </c>
      <c r="H21" s="8">
        <v>0</v>
      </c>
      <c r="I21" s="8">
        <v>0</v>
      </c>
      <c r="J21" s="8">
        <v>0</v>
      </c>
      <c r="K21" s="8">
        <v>0</v>
      </c>
      <c r="L21" s="8">
        <v>14</v>
      </c>
      <c r="M21" s="8">
        <v>0</v>
      </c>
      <c r="N21" s="8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/>
      <c r="W21" s="9"/>
    </row>
    <row r="22" spans="1:23" ht="32" customHeight="1" x14ac:dyDescent="0.4">
      <c r="A22" s="74" t="s">
        <v>10</v>
      </c>
      <c r="B22" s="74" t="s">
        <v>11</v>
      </c>
      <c r="C22" s="74" t="s">
        <v>12</v>
      </c>
      <c r="D22" s="74" t="s">
        <v>13</v>
      </c>
      <c r="E22" s="74" t="s">
        <v>17</v>
      </c>
      <c r="F22" s="68" t="s">
        <v>122</v>
      </c>
      <c r="G22" s="68" t="s">
        <v>123</v>
      </c>
      <c r="H22" s="71" t="s">
        <v>0</v>
      </c>
      <c r="I22" s="72"/>
      <c r="J22" s="72"/>
      <c r="K22" s="72"/>
      <c r="L22" s="72"/>
      <c r="M22" s="73"/>
      <c r="N22" s="8"/>
      <c r="O22" s="63" t="s">
        <v>1</v>
      </c>
      <c r="P22" s="64"/>
      <c r="Q22" s="64"/>
      <c r="R22" s="64"/>
      <c r="S22" s="64"/>
      <c r="T22" s="64"/>
      <c r="U22" s="64"/>
      <c r="V22" s="64"/>
      <c r="W22" s="64"/>
    </row>
    <row r="23" spans="1:23" ht="17.5" customHeight="1" x14ac:dyDescent="0.4">
      <c r="A23" s="75"/>
      <c r="B23" s="75"/>
      <c r="C23" s="75"/>
      <c r="D23" s="75"/>
      <c r="E23" s="75"/>
      <c r="F23" s="69"/>
      <c r="G23" s="69"/>
      <c r="H23" s="5" t="s">
        <v>2</v>
      </c>
      <c r="I23" s="5" t="s">
        <v>3</v>
      </c>
      <c r="J23" s="5" t="s">
        <v>4</v>
      </c>
      <c r="K23" s="5" t="s">
        <v>5</v>
      </c>
      <c r="L23" s="5" t="s">
        <v>6</v>
      </c>
      <c r="M23" s="5" t="s">
        <v>7</v>
      </c>
      <c r="N23" s="5" t="s">
        <v>8</v>
      </c>
      <c r="O23" s="6" t="s">
        <v>2</v>
      </c>
      <c r="P23" s="6" t="s">
        <v>3</v>
      </c>
      <c r="Q23" s="6" t="s">
        <v>4</v>
      </c>
      <c r="R23" s="6" t="s">
        <v>5</v>
      </c>
      <c r="S23" s="6" t="s">
        <v>6</v>
      </c>
      <c r="T23" s="6" t="s">
        <v>7</v>
      </c>
      <c r="U23" s="6" t="s">
        <v>8</v>
      </c>
      <c r="V23" s="11"/>
      <c r="W23" s="11"/>
    </row>
    <row r="24" spans="1:23" ht="17.5" customHeight="1" x14ac:dyDescent="0.4">
      <c r="A24" s="76"/>
      <c r="B24" s="76"/>
      <c r="C24" s="76"/>
      <c r="D24" s="76"/>
      <c r="E24" s="76"/>
      <c r="F24" s="69"/>
      <c r="G24" s="69"/>
      <c r="H24" s="10">
        <v>0.27083333333333331</v>
      </c>
      <c r="I24" s="10">
        <v>0.375</v>
      </c>
      <c r="J24" s="10">
        <v>0.45833333333333331</v>
      </c>
      <c r="K24" s="10">
        <v>0.54166666666666663</v>
      </c>
      <c r="L24" s="10">
        <v>0.625</v>
      </c>
      <c r="M24" s="17"/>
      <c r="N24" s="8"/>
      <c r="O24" s="11"/>
      <c r="P24" s="11"/>
      <c r="Q24" s="45"/>
      <c r="R24" s="45"/>
      <c r="S24" s="45"/>
      <c r="T24" s="45"/>
      <c r="U24" s="45"/>
      <c r="V24" s="45"/>
      <c r="W24" s="11"/>
    </row>
    <row r="25" spans="1:23" ht="18.5" x14ac:dyDescent="0.4">
      <c r="A25" s="13" t="s">
        <v>62</v>
      </c>
      <c r="B25" s="13" t="s">
        <v>63</v>
      </c>
      <c r="C25" s="13" t="s">
        <v>64</v>
      </c>
      <c r="D25" s="14">
        <v>124</v>
      </c>
      <c r="E25" s="15">
        <v>12</v>
      </c>
      <c r="F25" s="15"/>
      <c r="G25" s="15"/>
      <c r="H25" s="8">
        <v>48</v>
      </c>
      <c r="I25" s="8">
        <v>32</v>
      </c>
      <c r="J25" s="8">
        <v>32</v>
      </c>
      <c r="K25" s="8">
        <v>32</v>
      </c>
      <c r="L25" s="8">
        <v>16</v>
      </c>
      <c r="M25" s="8">
        <v>0</v>
      </c>
      <c r="N25" s="8">
        <v>0</v>
      </c>
      <c r="O25" s="9">
        <v>44</v>
      </c>
      <c r="P25" s="9">
        <v>40</v>
      </c>
      <c r="Q25" s="9">
        <v>44</v>
      </c>
      <c r="R25" s="9">
        <v>0</v>
      </c>
      <c r="S25" s="9">
        <v>0</v>
      </c>
      <c r="T25" s="9">
        <v>0</v>
      </c>
      <c r="U25" s="9">
        <v>0</v>
      </c>
      <c r="V25" s="21"/>
      <c r="W25" s="9">
        <v>128</v>
      </c>
    </row>
    <row r="26" spans="1:23" ht="17.5" customHeight="1" x14ac:dyDescent="0.4">
      <c r="A26" s="13" t="s">
        <v>65</v>
      </c>
      <c r="B26" s="13" t="s">
        <v>66</v>
      </c>
      <c r="C26" s="13" t="s">
        <v>67</v>
      </c>
      <c r="D26" s="14">
        <v>22</v>
      </c>
      <c r="E26" s="15">
        <v>46</v>
      </c>
      <c r="F26" s="15">
        <v>48</v>
      </c>
      <c r="G26" s="15">
        <v>16</v>
      </c>
      <c r="H26" s="8">
        <v>16</v>
      </c>
      <c r="I26" s="8">
        <v>0</v>
      </c>
      <c r="J26" s="8">
        <v>16</v>
      </c>
      <c r="K26" s="8">
        <v>0</v>
      </c>
      <c r="L26" s="8">
        <v>16</v>
      </c>
      <c r="M26" s="8">
        <v>0</v>
      </c>
      <c r="N26" s="8"/>
      <c r="O26" s="9">
        <v>16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6"/>
      <c r="W26" s="9">
        <v>16</v>
      </c>
    </row>
    <row r="27" spans="1:23" ht="18.5" x14ac:dyDescent="0.4">
      <c r="A27" s="13" t="s">
        <v>68</v>
      </c>
      <c r="B27" s="13" t="s">
        <v>69</v>
      </c>
      <c r="C27" s="13" t="s">
        <v>70</v>
      </c>
      <c r="D27" s="14">
        <v>212</v>
      </c>
      <c r="E27" s="15">
        <v>146</v>
      </c>
      <c r="F27" s="15">
        <v>144</v>
      </c>
      <c r="G27" s="15">
        <v>60</v>
      </c>
      <c r="H27" s="8">
        <v>0</v>
      </c>
      <c r="I27" s="8">
        <v>32</v>
      </c>
      <c r="J27" s="8">
        <v>32</v>
      </c>
      <c r="K27" s="8">
        <v>48</v>
      </c>
      <c r="L27" s="8">
        <v>32</v>
      </c>
      <c r="M27" s="8">
        <v>0</v>
      </c>
      <c r="N27" s="8"/>
      <c r="O27" s="9">
        <v>0</v>
      </c>
      <c r="P27" s="9">
        <v>12</v>
      </c>
      <c r="Q27" s="9">
        <v>48</v>
      </c>
      <c r="R27" s="9">
        <v>0</v>
      </c>
      <c r="S27" s="9">
        <v>0</v>
      </c>
      <c r="T27" s="9">
        <v>0</v>
      </c>
      <c r="U27" s="9">
        <v>0</v>
      </c>
      <c r="V27" s="6"/>
      <c r="W27" s="9">
        <v>60</v>
      </c>
    </row>
    <row r="28" spans="1:23" ht="18.5" x14ac:dyDescent="0.4">
      <c r="A28" s="13" t="s">
        <v>71</v>
      </c>
      <c r="B28" s="13" t="s">
        <v>72</v>
      </c>
      <c r="C28" s="13" t="s">
        <v>73</v>
      </c>
      <c r="D28" s="14">
        <v>114</v>
      </c>
      <c r="E28" s="15">
        <v>51</v>
      </c>
      <c r="F28" s="15">
        <v>64</v>
      </c>
      <c r="G28" s="15">
        <v>32</v>
      </c>
      <c r="H28" s="8">
        <v>16</v>
      </c>
      <c r="I28" s="8">
        <v>16</v>
      </c>
      <c r="J28" s="8">
        <v>16</v>
      </c>
      <c r="K28" s="8">
        <v>16</v>
      </c>
      <c r="L28" s="8">
        <v>0</v>
      </c>
      <c r="M28" s="8">
        <v>0</v>
      </c>
      <c r="N28" s="8"/>
      <c r="O28" s="9">
        <v>16</v>
      </c>
      <c r="P28" s="9">
        <v>16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6"/>
      <c r="W28" s="9">
        <v>32</v>
      </c>
    </row>
    <row r="29" spans="1:23" ht="18.5" x14ac:dyDescent="0.4">
      <c r="A29" s="13" t="s">
        <v>74</v>
      </c>
      <c r="B29" s="13" t="s">
        <v>75</v>
      </c>
      <c r="C29" s="13" t="s">
        <v>76</v>
      </c>
      <c r="D29" s="14">
        <v>34</v>
      </c>
      <c r="E29" s="15">
        <v>29</v>
      </c>
      <c r="F29" s="15">
        <v>32</v>
      </c>
      <c r="G29" s="15">
        <v>0</v>
      </c>
      <c r="H29" s="8">
        <v>16</v>
      </c>
      <c r="I29" s="8">
        <v>16</v>
      </c>
      <c r="J29" s="8">
        <v>0</v>
      </c>
      <c r="K29" s="8">
        <v>0</v>
      </c>
      <c r="L29" s="8">
        <v>0</v>
      </c>
      <c r="M29" s="8">
        <v>0</v>
      </c>
      <c r="N29" s="8"/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6"/>
      <c r="W29" s="9">
        <v>0</v>
      </c>
    </row>
  </sheetData>
  <protectedRanges>
    <protectedRange sqref="E13" name="Range1_5_1_1_2"/>
    <protectedRange sqref="E12" name="Range1_2_3_1_1_2"/>
    <protectedRange sqref="E7:E11 F26:G29 F7:G21" name="Range1_3_2_2"/>
  </protectedRanges>
  <mergeCells count="19">
    <mergeCell ref="G22:G24"/>
    <mergeCell ref="H22:M22"/>
    <mergeCell ref="O22:W22"/>
    <mergeCell ref="A22:A24"/>
    <mergeCell ref="B22:B24"/>
    <mergeCell ref="C22:C24"/>
    <mergeCell ref="D22:D24"/>
    <mergeCell ref="E22:E24"/>
    <mergeCell ref="F22:F24"/>
    <mergeCell ref="D1:D2"/>
    <mergeCell ref="H1:M1"/>
    <mergeCell ref="O1:W1"/>
    <mergeCell ref="B2:C2"/>
    <mergeCell ref="A3:A6"/>
    <mergeCell ref="B3:B6"/>
    <mergeCell ref="C3:C6"/>
    <mergeCell ref="D3:D6"/>
    <mergeCell ref="F3:F6"/>
    <mergeCell ref="G3:G6"/>
  </mergeCells>
  <pageMargins left="0.70866141732283472" right="0.70866141732283472" top="0.74803149606299213" bottom="0.74803149606299213" header="0.31496062992125984" footer="0.31496062992125984"/>
  <pageSetup scale="72" orientation="landscape" horizontalDpi="200" verticalDpi="200" r:id="rId1"/>
  <headerFooter>
    <oddFooter>&amp;L_x000D_&amp;1#&amp;"Calibri Light"&amp;8&amp;K000000 Classified as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857E-9C2A-4932-A6A2-887E1EEEC8C0}">
  <dimension ref="A1:AJ49"/>
  <sheetViews>
    <sheetView showZeros="0" zoomScale="70" zoomScaleNormal="70" workbookViewId="0">
      <pane xSplit="12" ySplit="6" topLeftCell="M26" activePane="bottomRight" state="frozen"/>
      <selection activeCell="G18" sqref="G18"/>
      <selection pane="topRight" activeCell="G18" sqref="G18"/>
      <selection pane="bottomLeft" activeCell="G18" sqref="G18"/>
      <selection pane="bottomRight" sqref="A1:XFD1048576"/>
    </sheetView>
  </sheetViews>
  <sheetFormatPr defaultRowHeight="14.5" x14ac:dyDescent="0.35"/>
  <cols>
    <col min="1" max="1" width="15.453125" bestFit="1" customWidth="1"/>
    <col min="2" max="2" width="17.1796875" bestFit="1" customWidth="1"/>
    <col min="3" max="3" width="13.54296875" bestFit="1" customWidth="1"/>
    <col min="4" max="4" width="13.54296875" style="24" customWidth="1"/>
    <col min="5" max="5" width="14" customWidth="1"/>
    <col min="6" max="6" width="12.7265625" bestFit="1" customWidth="1"/>
    <col min="7" max="7" width="6.81640625" customWidth="1"/>
    <col min="8" max="8" width="14.08984375" customWidth="1"/>
    <col min="9" max="11" width="13" customWidth="1"/>
    <col min="12" max="12" width="13.36328125" customWidth="1"/>
    <col min="13" max="18" width="6.453125" bestFit="1" customWidth="1"/>
    <col min="19" max="19" width="5.6328125" customWidth="1"/>
    <col min="20" max="22" width="6.453125" bestFit="1" customWidth="1"/>
    <col min="23" max="25" width="6.453125" customWidth="1"/>
    <col min="26" max="27" width="6.453125" bestFit="1" customWidth="1"/>
    <col min="28" max="29" width="5.7265625" customWidth="1"/>
    <col min="30" max="30" width="10" bestFit="1" customWidth="1"/>
    <col min="31" max="36" width="5.7265625" customWidth="1"/>
  </cols>
  <sheetData>
    <row r="1" spans="1:36" ht="18.5" x14ac:dyDescent="0.45">
      <c r="F1" s="2">
        <v>45904</v>
      </c>
      <c r="M1" s="54" t="s">
        <v>0</v>
      </c>
      <c r="N1" s="54"/>
      <c r="O1" s="54"/>
      <c r="P1" s="54"/>
      <c r="Q1" s="54"/>
      <c r="R1" s="54"/>
      <c r="S1" s="54"/>
      <c r="T1" s="55" t="s">
        <v>1</v>
      </c>
      <c r="U1" s="56"/>
      <c r="V1" s="56"/>
      <c r="W1" s="56"/>
      <c r="X1" s="56"/>
      <c r="Y1" s="56"/>
      <c r="Z1" s="56"/>
      <c r="AA1" s="56"/>
      <c r="AB1" s="56"/>
      <c r="AC1" s="56"/>
      <c r="AD1" s="56"/>
      <c r="AE1" s="55" t="s">
        <v>77</v>
      </c>
      <c r="AF1" s="56"/>
      <c r="AG1" s="56"/>
      <c r="AH1" s="56"/>
      <c r="AI1" s="56"/>
      <c r="AJ1" s="56"/>
    </row>
    <row r="2" spans="1:36" x14ac:dyDescent="0.35">
      <c r="B2" s="57"/>
      <c r="C2" s="58"/>
      <c r="L2" s="25"/>
      <c r="M2" s="26" t="s">
        <v>2</v>
      </c>
      <c r="N2" s="26" t="s">
        <v>3</v>
      </c>
      <c r="O2" s="26" t="s">
        <v>4</v>
      </c>
      <c r="P2" s="26" t="s">
        <v>5</v>
      </c>
      <c r="Q2" s="26" t="s">
        <v>6</v>
      </c>
      <c r="R2" s="26" t="s">
        <v>7</v>
      </c>
      <c r="S2" s="26"/>
      <c r="T2" s="27" t="s">
        <v>2</v>
      </c>
      <c r="U2" s="27" t="s">
        <v>3</v>
      </c>
      <c r="V2" s="27" t="s">
        <v>4</v>
      </c>
      <c r="W2" s="27" t="s">
        <v>5</v>
      </c>
      <c r="X2" s="27" t="s">
        <v>6</v>
      </c>
      <c r="Y2" s="27" t="s">
        <v>7</v>
      </c>
      <c r="Z2" s="27" t="s">
        <v>8</v>
      </c>
      <c r="AA2" s="27" t="s">
        <v>9</v>
      </c>
      <c r="AB2" s="27" t="s">
        <v>78</v>
      </c>
      <c r="AC2" s="27"/>
      <c r="AD2" s="27" t="s">
        <v>79</v>
      </c>
      <c r="AE2" s="27" t="s">
        <v>2</v>
      </c>
      <c r="AF2" s="27" t="s">
        <v>3</v>
      </c>
      <c r="AG2" s="27" t="s">
        <v>4</v>
      </c>
      <c r="AH2" s="27" t="s">
        <v>5</v>
      </c>
      <c r="AI2" s="27" t="s">
        <v>6</v>
      </c>
      <c r="AJ2" s="27" t="s">
        <v>7</v>
      </c>
    </row>
    <row r="3" spans="1:36" x14ac:dyDescent="0.35">
      <c r="A3" s="49" t="s">
        <v>10</v>
      </c>
      <c r="B3" s="50" t="s">
        <v>11</v>
      </c>
      <c r="C3" s="50" t="s">
        <v>12</v>
      </c>
      <c r="D3" s="50" t="s">
        <v>80</v>
      </c>
      <c r="E3" s="59" t="s">
        <v>13</v>
      </c>
      <c r="F3" s="49" t="s">
        <v>81</v>
      </c>
      <c r="G3" s="49" t="s">
        <v>82</v>
      </c>
      <c r="H3" s="49" t="s">
        <v>83</v>
      </c>
      <c r="I3" s="51" t="s">
        <v>84</v>
      </c>
      <c r="J3" s="49" t="s">
        <v>122</v>
      </c>
      <c r="K3" s="49" t="s">
        <v>123</v>
      </c>
      <c r="L3" s="46" t="s">
        <v>85</v>
      </c>
      <c r="M3" s="22">
        <v>6</v>
      </c>
      <c r="N3" s="22">
        <v>6</v>
      </c>
      <c r="O3" s="22">
        <v>6</v>
      </c>
      <c r="P3" s="22">
        <v>6</v>
      </c>
      <c r="Q3" s="22">
        <v>6</v>
      </c>
      <c r="R3" s="22">
        <v>6</v>
      </c>
      <c r="S3" s="22">
        <v>36</v>
      </c>
      <c r="T3" s="28">
        <v>6</v>
      </c>
      <c r="U3" s="28">
        <v>3</v>
      </c>
      <c r="V3" s="28">
        <v>5</v>
      </c>
      <c r="W3" s="28">
        <v>4</v>
      </c>
      <c r="X3" s="28">
        <v>5</v>
      </c>
      <c r="Y3" s="28">
        <v>5</v>
      </c>
      <c r="Z3" s="28"/>
      <c r="AA3" s="28"/>
      <c r="AB3" s="28"/>
      <c r="AC3" s="28">
        <v>28</v>
      </c>
      <c r="AD3" s="28"/>
      <c r="AE3" s="28">
        <v>0</v>
      </c>
      <c r="AF3" s="28">
        <v>-3</v>
      </c>
      <c r="AG3" s="28">
        <v>-4</v>
      </c>
      <c r="AH3" s="28">
        <v>4</v>
      </c>
      <c r="AI3" s="28">
        <v>-2</v>
      </c>
      <c r="AJ3" s="28">
        <v>-8</v>
      </c>
    </row>
    <row r="4" spans="1:36" x14ac:dyDescent="0.35">
      <c r="A4" s="49"/>
      <c r="B4" s="50"/>
      <c r="C4" s="50"/>
      <c r="D4" s="50"/>
      <c r="E4" s="59"/>
      <c r="F4" s="49"/>
      <c r="G4" s="50"/>
      <c r="H4" s="50"/>
      <c r="I4" s="52"/>
      <c r="J4" s="49"/>
      <c r="K4" s="49"/>
      <c r="L4" s="46" t="s">
        <v>14</v>
      </c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 t="s">
        <v>16</v>
      </c>
      <c r="AE4" s="27"/>
      <c r="AF4" s="27"/>
      <c r="AG4" s="27"/>
      <c r="AH4" s="27"/>
      <c r="AI4" s="27"/>
      <c r="AJ4" s="27"/>
    </row>
    <row r="5" spans="1:36" x14ac:dyDescent="0.35">
      <c r="A5" s="49"/>
      <c r="B5" s="50"/>
      <c r="C5" s="50"/>
      <c r="D5" s="50"/>
      <c r="E5" s="59"/>
      <c r="F5" s="49"/>
      <c r="G5" s="50"/>
      <c r="H5" s="50"/>
      <c r="I5" s="52"/>
      <c r="J5" s="49"/>
      <c r="K5" s="49"/>
      <c r="L5" s="46"/>
      <c r="M5" s="26"/>
      <c r="N5" s="26"/>
      <c r="O5" s="26"/>
      <c r="P5" s="26"/>
      <c r="Q5" s="26"/>
      <c r="R5" s="26"/>
      <c r="S5" s="26"/>
      <c r="T5" s="29"/>
      <c r="U5" s="27"/>
      <c r="V5" s="27"/>
      <c r="W5" s="27"/>
      <c r="X5" s="27"/>
      <c r="Y5" s="27"/>
      <c r="Z5" s="27"/>
      <c r="AA5" s="27"/>
      <c r="AB5" s="27"/>
      <c r="AC5" s="27"/>
      <c r="AD5" s="30" t="s">
        <v>86</v>
      </c>
      <c r="AE5" s="27"/>
      <c r="AF5" s="27"/>
      <c r="AG5" s="27"/>
      <c r="AH5" s="27"/>
      <c r="AI5" s="27"/>
      <c r="AJ5" s="27"/>
    </row>
    <row r="6" spans="1:36" ht="16" x14ac:dyDescent="0.35">
      <c r="A6" s="49"/>
      <c r="B6" s="50"/>
      <c r="C6" s="50"/>
      <c r="D6" s="50"/>
      <c r="E6" s="59"/>
      <c r="F6" s="49"/>
      <c r="G6" s="50"/>
      <c r="H6" s="50"/>
      <c r="I6" s="53"/>
      <c r="J6" s="49"/>
      <c r="K6" s="49"/>
      <c r="L6" s="46" t="s">
        <v>87</v>
      </c>
      <c r="M6" s="10">
        <v>0.27083333333333331</v>
      </c>
      <c r="N6" s="10">
        <v>0.41666666666666669</v>
      </c>
      <c r="O6" s="10">
        <v>0.54166666666666663</v>
      </c>
      <c r="P6" s="10">
        <v>0.66666666666666663</v>
      </c>
      <c r="Q6" s="10">
        <v>0.79166666666666663</v>
      </c>
      <c r="R6" s="10"/>
      <c r="S6" s="10"/>
      <c r="T6" s="11">
        <v>0.27083333333333331</v>
      </c>
      <c r="U6" s="11">
        <v>0.45624999999999999</v>
      </c>
      <c r="V6" s="11">
        <v>0.52083333333333337</v>
      </c>
      <c r="W6" s="11">
        <v>0.66666666666666663</v>
      </c>
      <c r="X6" s="11">
        <v>0.79166666666666663</v>
      </c>
      <c r="Y6" s="11">
        <v>0.89583333333333337</v>
      </c>
      <c r="Z6" s="11"/>
      <c r="AA6" s="11"/>
      <c r="AB6" s="11"/>
      <c r="AC6" s="27"/>
      <c r="AD6" s="31" t="s">
        <v>88</v>
      </c>
      <c r="AE6" s="31">
        <v>0.27083333333333331</v>
      </c>
      <c r="AF6" s="31">
        <v>0.29166666666666669</v>
      </c>
      <c r="AG6" s="31">
        <v>0.40625</v>
      </c>
      <c r="AH6" s="31">
        <v>0.46875</v>
      </c>
      <c r="AI6" s="31">
        <v>0.61458333333333337</v>
      </c>
      <c r="AJ6" s="31"/>
    </row>
    <row r="7" spans="1:36" ht="18.5" x14ac:dyDescent="0.35">
      <c r="A7" s="32" t="s">
        <v>18</v>
      </c>
      <c r="B7" s="32" t="s">
        <v>19</v>
      </c>
      <c r="C7" s="32" t="s">
        <v>20</v>
      </c>
      <c r="D7" s="33">
        <v>184</v>
      </c>
      <c r="E7" s="14">
        <v>26</v>
      </c>
      <c r="F7" s="15">
        <v>100</v>
      </c>
      <c r="G7" s="33"/>
      <c r="H7" s="33">
        <v>110</v>
      </c>
      <c r="I7" s="33">
        <v>14</v>
      </c>
      <c r="J7" s="33">
        <v>96</v>
      </c>
      <c r="K7" s="33">
        <v>0</v>
      </c>
      <c r="L7" s="34"/>
      <c r="M7" s="8"/>
      <c r="N7" s="8"/>
      <c r="O7" s="8"/>
      <c r="P7" s="8"/>
      <c r="Q7" s="8">
        <v>96</v>
      </c>
      <c r="R7" s="8"/>
      <c r="S7" s="8"/>
      <c r="T7" s="9"/>
      <c r="U7" s="9"/>
      <c r="V7" s="9"/>
      <c r="W7" s="9"/>
      <c r="X7" s="9"/>
      <c r="Y7" s="9"/>
      <c r="Z7" s="9"/>
      <c r="AA7" s="9"/>
      <c r="AB7" s="9"/>
      <c r="AC7" s="28"/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-96</v>
      </c>
      <c r="AJ7" s="28">
        <v>-96</v>
      </c>
    </row>
    <row r="8" spans="1:36" ht="18.5" x14ac:dyDescent="0.35">
      <c r="A8" s="32" t="s">
        <v>21</v>
      </c>
      <c r="B8" s="32" t="s">
        <v>22</v>
      </c>
      <c r="C8" s="32" t="s">
        <v>23</v>
      </c>
      <c r="D8" s="33">
        <v>199</v>
      </c>
      <c r="E8" s="14">
        <v>276</v>
      </c>
      <c r="F8" s="15">
        <v>30</v>
      </c>
      <c r="G8" s="33"/>
      <c r="H8" s="33">
        <v>445</v>
      </c>
      <c r="I8" s="33">
        <v>0</v>
      </c>
      <c r="J8" s="33">
        <v>480</v>
      </c>
      <c r="K8" s="33">
        <v>480</v>
      </c>
      <c r="L8" s="34"/>
      <c r="M8" s="8">
        <v>96</v>
      </c>
      <c r="N8" s="8">
        <v>96</v>
      </c>
      <c r="O8" s="8">
        <v>96</v>
      </c>
      <c r="P8" s="8">
        <v>96</v>
      </c>
      <c r="Q8" s="8">
        <v>96</v>
      </c>
      <c r="R8" s="8"/>
      <c r="S8" s="8"/>
      <c r="T8" s="9">
        <v>96</v>
      </c>
      <c r="U8" s="9">
        <v>192</v>
      </c>
      <c r="V8" s="9"/>
      <c r="W8" s="9">
        <v>192</v>
      </c>
      <c r="X8" s="9"/>
      <c r="Y8" s="9"/>
      <c r="Z8" s="9"/>
      <c r="AA8" s="9"/>
      <c r="AB8" s="9"/>
      <c r="AC8" s="28"/>
      <c r="AD8" s="28">
        <v>480</v>
      </c>
      <c r="AE8" s="28">
        <v>0</v>
      </c>
      <c r="AF8" s="28">
        <v>96</v>
      </c>
      <c r="AG8" s="28">
        <v>0</v>
      </c>
      <c r="AH8" s="28">
        <v>96</v>
      </c>
      <c r="AI8" s="28">
        <v>0</v>
      </c>
      <c r="AJ8" s="28">
        <v>0</v>
      </c>
    </row>
    <row r="9" spans="1:36" ht="18.5" x14ac:dyDescent="0.35">
      <c r="A9" s="32" t="s">
        <v>24</v>
      </c>
      <c r="B9" s="32" t="s">
        <v>25</v>
      </c>
      <c r="C9" s="32" t="s">
        <v>26</v>
      </c>
      <c r="D9" s="33">
        <v>168</v>
      </c>
      <c r="E9" s="14">
        <v>24</v>
      </c>
      <c r="F9" s="15">
        <v>130</v>
      </c>
      <c r="G9" s="33"/>
      <c r="H9" s="33">
        <v>62</v>
      </c>
      <c r="I9" s="33">
        <v>0</v>
      </c>
      <c r="J9" s="33">
        <v>96</v>
      </c>
      <c r="K9" s="33">
        <v>0</v>
      </c>
      <c r="L9" s="34"/>
      <c r="M9" s="8"/>
      <c r="N9" s="8"/>
      <c r="O9" s="8"/>
      <c r="P9" s="8">
        <v>96</v>
      </c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28"/>
      <c r="AD9" s="28">
        <v>0</v>
      </c>
      <c r="AE9" s="28">
        <v>0</v>
      </c>
      <c r="AF9" s="28">
        <v>0</v>
      </c>
      <c r="AG9" s="28">
        <v>0</v>
      </c>
      <c r="AH9" s="28">
        <v>-96</v>
      </c>
      <c r="AI9" s="28">
        <v>-96</v>
      </c>
      <c r="AJ9" s="28">
        <v>-96</v>
      </c>
    </row>
    <row r="10" spans="1:36" ht="18.5" x14ac:dyDescent="0.35">
      <c r="A10" s="35" t="s">
        <v>27</v>
      </c>
      <c r="B10" s="32" t="s">
        <v>28</v>
      </c>
      <c r="C10" s="32" t="s">
        <v>29</v>
      </c>
      <c r="D10" s="33">
        <v>200</v>
      </c>
      <c r="E10" s="14">
        <v>12</v>
      </c>
      <c r="F10" s="15">
        <v>218</v>
      </c>
      <c r="G10" s="33"/>
      <c r="H10" s="33">
        <v>0</v>
      </c>
      <c r="I10" s="33">
        <v>0</v>
      </c>
      <c r="J10" s="33">
        <v>0</v>
      </c>
      <c r="K10" s="33">
        <v>0</v>
      </c>
      <c r="L10" s="34"/>
      <c r="M10" s="8"/>
      <c r="N10" s="8"/>
      <c r="O10" s="8"/>
      <c r="P10" s="8"/>
      <c r="Q10" s="8"/>
      <c r="R10" s="8"/>
      <c r="S10" s="8"/>
      <c r="T10" s="9"/>
      <c r="U10" s="9"/>
      <c r="V10" s="9"/>
      <c r="W10" s="9"/>
      <c r="X10" s="9"/>
      <c r="Y10" s="9"/>
      <c r="Z10" s="9"/>
      <c r="AA10" s="9"/>
      <c r="AB10" s="9"/>
      <c r="AC10" s="28"/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</row>
    <row r="11" spans="1:36" ht="18.5" x14ac:dyDescent="0.35">
      <c r="A11" s="32" t="s">
        <v>30</v>
      </c>
      <c r="B11" s="32" t="s">
        <v>31</v>
      </c>
      <c r="C11" s="32" t="s">
        <v>32</v>
      </c>
      <c r="D11" s="33">
        <v>260</v>
      </c>
      <c r="E11" s="14">
        <v>188</v>
      </c>
      <c r="F11" s="15">
        <v>240</v>
      </c>
      <c r="G11" s="33"/>
      <c r="H11" s="33">
        <v>208</v>
      </c>
      <c r="I11" s="33">
        <v>0</v>
      </c>
      <c r="J11" s="33">
        <v>260</v>
      </c>
      <c r="K11" s="33">
        <v>260</v>
      </c>
      <c r="L11" s="34"/>
      <c r="M11" s="8"/>
      <c r="N11" s="8"/>
      <c r="O11" s="8">
        <v>130</v>
      </c>
      <c r="P11" s="8">
        <v>130</v>
      </c>
      <c r="Q11" s="8"/>
      <c r="R11" s="8"/>
      <c r="S11" s="8"/>
      <c r="T11" s="9"/>
      <c r="U11" s="9">
        <v>130</v>
      </c>
      <c r="V11" s="9"/>
      <c r="W11" s="9">
        <v>130</v>
      </c>
      <c r="X11" s="9"/>
      <c r="Y11" s="9"/>
      <c r="Z11" s="9"/>
      <c r="AA11" s="9"/>
      <c r="AB11" s="9"/>
      <c r="AC11" s="28"/>
      <c r="AD11" s="28">
        <v>260</v>
      </c>
      <c r="AE11" s="28">
        <v>0</v>
      </c>
      <c r="AF11" s="28">
        <v>130</v>
      </c>
      <c r="AG11" s="28">
        <v>0</v>
      </c>
      <c r="AH11" s="28">
        <v>0</v>
      </c>
      <c r="AI11" s="28">
        <v>0</v>
      </c>
      <c r="AJ11" s="28">
        <v>0</v>
      </c>
    </row>
    <row r="12" spans="1:36" ht="18.5" x14ac:dyDescent="0.35">
      <c r="A12" s="32" t="s">
        <v>33</v>
      </c>
      <c r="B12" s="32" t="s">
        <v>34</v>
      </c>
      <c r="C12" s="32" t="s">
        <v>35</v>
      </c>
      <c r="D12" s="33">
        <v>140</v>
      </c>
      <c r="E12" s="14">
        <v>10</v>
      </c>
      <c r="F12" s="15">
        <v>190</v>
      </c>
      <c r="G12" s="33"/>
      <c r="H12" s="33">
        <v>0</v>
      </c>
      <c r="I12" s="33">
        <v>0</v>
      </c>
      <c r="J12" s="33">
        <v>0</v>
      </c>
      <c r="K12" s="33">
        <v>0</v>
      </c>
      <c r="L12" s="34"/>
      <c r="M12" s="8"/>
      <c r="N12" s="8"/>
      <c r="O12" s="8"/>
      <c r="P12" s="8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28"/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</row>
    <row r="13" spans="1:36" ht="18.5" x14ac:dyDescent="0.35">
      <c r="A13" s="32" t="s">
        <v>36</v>
      </c>
      <c r="B13" s="32" t="s">
        <v>37</v>
      </c>
      <c r="C13" s="32">
        <v>630131090</v>
      </c>
      <c r="D13" s="33">
        <v>140</v>
      </c>
      <c r="E13" s="14">
        <v>24</v>
      </c>
      <c r="F13" s="15">
        <v>100</v>
      </c>
      <c r="G13" s="33"/>
      <c r="H13" s="33">
        <v>64</v>
      </c>
      <c r="I13" s="33">
        <v>0</v>
      </c>
      <c r="J13" s="33">
        <v>140</v>
      </c>
      <c r="K13" s="33">
        <v>0</v>
      </c>
      <c r="L13" s="34"/>
      <c r="M13" s="8"/>
      <c r="N13" s="8"/>
      <c r="O13" s="8"/>
      <c r="P13" s="8"/>
      <c r="Q13" s="8">
        <v>140</v>
      </c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28"/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-140</v>
      </c>
      <c r="AJ13" s="28">
        <v>-140</v>
      </c>
    </row>
    <row r="14" spans="1:36" ht="18.5" x14ac:dyDescent="0.35">
      <c r="A14" s="32" t="s">
        <v>38</v>
      </c>
      <c r="B14" s="32" t="s">
        <v>39</v>
      </c>
      <c r="C14" s="32" t="s">
        <v>40</v>
      </c>
      <c r="D14" s="33">
        <v>42</v>
      </c>
      <c r="E14" s="14">
        <v>25</v>
      </c>
      <c r="F14" s="15">
        <v>58</v>
      </c>
      <c r="G14" s="33"/>
      <c r="H14" s="33">
        <v>9</v>
      </c>
      <c r="I14" s="33">
        <v>0</v>
      </c>
      <c r="J14" s="33">
        <v>14</v>
      </c>
      <c r="K14" s="33">
        <v>42</v>
      </c>
      <c r="L14" s="34"/>
      <c r="M14" s="8">
        <v>14</v>
      </c>
      <c r="N14" s="8"/>
      <c r="O14" s="8"/>
      <c r="P14" s="8"/>
      <c r="Q14" s="8"/>
      <c r="R14" s="8"/>
      <c r="S14" s="8"/>
      <c r="T14" s="9"/>
      <c r="U14" s="9"/>
      <c r="V14" s="9">
        <v>14</v>
      </c>
      <c r="W14" s="9">
        <v>14</v>
      </c>
      <c r="X14" s="9"/>
      <c r="Y14" s="9">
        <v>14</v>
      </c>
      <c r="Z14" s="9"/>
      <c r="AA14" s="9"/>
      <c r="AB14" s="9"/>
      <c r="AC14" s="28"/>
      <c r="AD14" s="28">
        <v>42</v>
      </c>
      <c r="AE14" s="28">
        <v>-14</v>
      </c>
      <c r="AF14" s="28">
        <v>-14</v>
      </c>
      <c r="AG14" s="28">
        <v>0</v>
      </c>
      <c r="AH14" s="28">
        <v>28</v>
      </c>
      <c r="AI14" s="28">
        <v>28</v>
      </c>
      <c r="AJ14" s="28">
        <v>28</v>
      </c>
    </row>
    <row r="15" spans="1:36" ht="18.5" x14ac:dyDescent="0.35">
      <c r="A15" s="32" t="s">
        <v>41</v>
      </c>
      <c r="B15" s="32" t="s">
        <v>42</v>
      </c>
      <c r="C15" s="32" t="s">
        <v>43</v>
      </c>
      <c r="D15" s="33">
        <v>28</v>
      </c>
      <c r="E15" s="14">
        <v>0</v>
      </c>
      <c r="F15" s="15">
        <v>42</v>
      </c>
      <c r="G15" s="33"/>
      <c r="H15" s="33">
        <v>0</v>
      </c>
      <c r="I15" s="33">
        <v>0</v>
      </c>
      <c r="J15" s="33">
        <v>0</v>
      </c>
      <c r="K15" s="33">
        <v>0</v>
      </c>
      <c r="L15" s="34"/>
      <c r="M15" s="8"/>
      <c r="N15" s="8"/>
      <c r="O15" s="8"/>
      <c r="P15" s="8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28"/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</row>
    <row r="16" spans="1:36" ht="18.5" x14ac:dyDescent="0.35">
      <c r="A16" s="32" t="s">
        <v>44</v>
      </c>
      <c r="B16" s="32" t="s">
        <v>45</v>
      </c>
      <c r="C16" s="32" t="s">
        <v>46</v>
      </c>
      <c r="D16" s="33">
        <v>84</v>
      </c>
      <c r="E16" s="14">
        <v>306</v>
      </c>
      <c r="F16" s="15">
        <v>80</v>
      </c>
      <c r="G16" s="33"/>
      <c r="H16" s="33">
        <v>310</v>
      </c>
      <c r="I16" s="33">
        <v>2</v>
      </c>
      <c r="J16" s="33">
        <v>308</v>
      </c>
      <c r="K16" s="33">
        <v>294</v>
      </c>
      <c r="L16" s="34"/>
      <c r="M16" s="8">
        <v>28</v>
      </c>
      <c r="N16" s="8">
        <v>70</v>
      </c>
      <c r="O16" s="8">
        <v>70</v>
      </c>
      <c r="P16" s="8">
        <v>84</v>
      </c>
      <c r="Q16" s="8">
        <v>56</v>
      </c>
      <c r="R16" s="8"/>
      <c r="S16" s="8"/>
      <c r="T16" s="9">
        <v>28</v>
      </c>
      <c r="U16" s="9">
        <v>56</v>
      </c>
      <c r="V16" s="9">
        <v>56</v>
      </c>
      <c r="W16" s="9">
        <v>56</v>
      </c>
      <c r="X16" s="9">
        <v>56</v>
      </c>
      <c r="Y16" s="9">
        <v>42</v>
      </c>
      <c r="Z16" s="9"/>
      <c r="AA16" s="9"/>
      <c r="AB16" s="9"/>
      <c r="AC16" s="28"/>
      <c r="AD16" s="28">
        <v>294</v>
      </c>
      <c r="AE16" s="28">
        <v>0</v>
      </c>
      <c r="AF16" s="28">
        <v>-14</v>
      </c>
      <c r="AG16" s="28">
        <v>-28</v>
      </c>
      <c r="AH16" s="28">
        <v>42</v>
      </c>
      <c r="AI16" s="28">
        <v>-14</v>
      </c>
      <c r="AJ16" s="28">
        <v>-14</v>
      </c>
    </row>
    <row r="17" spans="1:36" ht="18.5" x14ac:dyDescent="0.35">
      <c r="A17" s="32" t="s">
        <v>47</v>
      </c>
      <c r="B17" s="32" t="s">
        <v>48</v>
      </c>
      <c r="C17" s="32" t="s">
        <v>49</v>
      </c>
      <c r="D17" s="33">
        <v>28</v>
      </c>
      <c r="E17" s="14">
        <v>15</v>
      </c>
      <c r="F17" s="15">
        <v>28</v>
      </c>
      <c r="G17" s="33"/>
      <c r="H17" s="33">
        <v>15</v>
      </c>
      <c r="I17" s="33">
        <v>0</v>
      </c>
      <c r="J17" s="33">
        <v>28</v>
      </c>
      <c r="K17" s="33">
        <v>28</v>
      </c>
      <c r="L17" s="34"/>
      <c r="M17" s="8">
        <v>14</v>
      </c>
      <c r="N17" s="8"/>
      <c r="O17" s="8"/>
      <c r="P17" s="8"/>
      <c r="Q17" s="8">
        <v>14</v>
      </c>
      <c r="R17" s="8"/>
      <c r="S17" s="8"/>
      <c r="T17" s="9"/>
      <c r="U17" s="9"/>
      <c r="V17" s="9"/>
      <c r="W17" s="9">
        <v>14</v>
      </c>
      <c r="X17" s="9">
        <v>14</v>
      </c>
      <c r="Y17" s="9"/>
      <c r="Z17" s="9"/>
      <c r="AA17" s="9"/>
      <c r="AB17" s="9"/>
      <c r="AC17" s="28"/>
      <c r="AD17" s="28">
        <v>28</v>
      </c>
      <c r="AE17" s="28">
        <v>-14</v>
      </c>
      <c r="AF17" s="28">
        <v>-14</v>
      </c>
      <c r="AG17" s="28">
        <v>-14</v>
      </c>
      <c r="AH17" s="28">
        <v>14</v>
      </c>
      <c r="AI17" s="28">
        <v>0</v>
      </c>
      <c r="AJ17" s="28">
        <v>0</v>
      </c>
    </row>
    <row r="18" spans="1:36" ht="18.5" x14ac:dyDescent="0.35">
      <c r="A18" s="32" t="s">
        <v>50</v>
      </c>
      <c r="B18" s="32" t="s">
        <v>51</v>
      </c>
      <c r="C18" s="32" t="s">
        <v>52</v>
      </c>
      <c r="D18" s="33">
        <v>0</v>
      </c>
      <c r="E18" s="14">
        <v>0</v>
      </c>
      <c r="F18" s="15">
        <v>0</v>
      </c>
      <c r="G18" s="33"/>
      <c r="H18" s="33">
        <v>0</v>
      </c>
      <c r="I18" s="33">
        <v>0</v>
      </c>
      <c r="J18" s="33">
        <v>0</v>
      </c>
      <c r="K18" s="33">
        <v>0</v>
      </c>
      <c r="L18" s="34"/>
      <c r="M18" s="8"/>
      <c r="N18" s="8"/>
      <c r="O18" s="8"/>
      <c r="P18" s="8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28"/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</row>
    <row r="19" spans="1:36" ht="18.5" x14ac:dyDescent="0.35">
      <c r="A19" s="32" t="s">
        <v>53</v>
      </c>
      <c r="B19" s="32" t="s">
        <v>54</v>
      </c>
      <c r="C19" s="32" t="s">
        <v>55</v>
      </c>
      <c r="D19" s="33">
        <v>28</v>
      </c>
      <c r="E19" s="14">
        <v>0</v>
      </c>
      <c r="F19" s="15">
        <v>14</v>
      </c>
      <c r="G19" s="33"/>
      <c r="H19" s="33">
        <v>14</v>
      </c>
      <c r="I19" s="33">
        <v>0</v>
      </c>
      <c r="J19" s="33">
        <v>14</v>
      </c>
      <c r="K19" s="33">
        <v>0</v>
      </c>
      <c r="L19" s="34"/>
      <c r="M19" s="8"/>
      <c r="N19" s="8"/>
      <c r="O19" s="8"/>
      <c r="P19" s="8"/>
      <c r="Q19" s="8">
        <v>14</v>
      </c>
      <c r="R19" s="8"/>
      <c r="S19" s="8"/>
      <c r="T19" s="9"/>
      <c r="U19" s="9"/>
      <c r="V19" s="9"/>
      <c r="W19" s="9"/>
      <c r="X19" s="9"/>
      <c r="Y19" s="9"/>
      <c r="Z19" s="9"/>
      <c r="AA19" s="9"/>
      <c r="AB19" s="9"/>
      <c r="AC19" s="28"/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-14</v>
      </c>
      <c r="AJ19" s="28">
        <v>-14</v>
      </c>
    </row>
    <row r="20" spans="1:36" ht="18.5" x14ac:dyDescent="0.35">
      <c r="A20" s="32" t="s">
        <v>56</v>
      </c>
      <c r="B20" s="32" t="s">
        <v>57</v>
      </c>
      <c r="C20" s="32" t="s">
        <v>58</v>
      </c>
      <c r="D20" s="33">
        <v>28</v>
      </c>
      <c r="E20" s="14">
        <v>46</v>
      </c>
      <c r="F20" s="15">
        <v>40</v>
      </c>
      <c r="G20" s="33"/>
      <c r="H20" s="33">
        <v>34</v>
      </c>
      <c r="I20" s="33">
        <v>0</v>
      </c>
      <c r="J20" s="33">
        <v>56</v>
      </c>
      <c r="K20" s="33">
        <v>14</v>
      </c>
      <c r="L20" s="34"/>
      <c r="M20" s="8">
        <v>28</v>
      </c>
      <c r="N20" s="8">
        <v>14</v>
      </c>
      <c r="O20" s="8">
        <v>14</v>
      </c>
      <c r="P20" s="8"/>
      <c r="Q20" s="8"/>
      <c r="R20" s="8"/>
      <c r="S20" s="8"/>
      <c r="T20" s="9">
        <v>14</v>
      </c>
      <c r="U20" s="9"/>
      <c r="V20" s="9"/>
      <c r="W20" s="9"/>
      <c r="X20" s="9"/>
      <c r="Y20" s="9"/>
      <c r="Z20" s="9"/>
      <c r="AA20" s="9"/>
      <c r="AB20" s="9"/>
      <c r="AC20" s="28"/>
      <c r="AD20" s="28">
        <v>14</v>
      </c>
      <c r="AE20" s="28">
        <v>-14</v>
      </c>
      <c r="AF20" s="28">
        <v>-28</v>
      </c>
      <c r="AG20" s="28">
        <v>-42</v>
      </c>
      <c r="AH20" s="28">
        <v>-42</v>
      </c>
      <c r="AI20" s="28">
        <v>-42</v>
      </c>
      <c r="AJ20" s="28">
        <v>-42</v>
      </c>
    </row>
    <row r="21" spans="1:36" ht="18.5" x14ac:dyDescent="0.35">
      <c r="A21" s="32" t="s">
        <v>59</v>
      </c>
      <c r="B21" s="32" t="s">
        <v>60</v>
      </c>
      <c r="C21" s="32" t="s">
        <v>61</v>
      </c>
      <c r="D21" s="33">
        <v>28</v>
      </c>
      <c r="E21" s="14">
        <v>12</v>
      </c>
      <c r="F21" s="15">
        <v>44</v>
      </c>
      <c r="G21" s="33"/>
      <c r="H21" s="33">
        <v>0</v>
      </c>
      <c r="I21" s="33">
        <v>0</v>
      </c>
      <c r="J21" s="33">
        <v>0</v>
      </c>
      <c r="K21" s="33">
        <v>0</v>
      </c>
      <c r="L21" s="34"/>
      <c r="M21" s="8"/>
      <c r="N21" s="8"/>
      <c r="O21" s="8"/>
      <c r="P21" s="8"/>
      <c r="Q21" s="8"/>
      <c r="R21" s="8"/>
      <c r="S21" s="8"/>
      <c r="T21" s="9"/>
      <c r="U21" s="9"/>
      <c r="V21" s="9"/>
      <c r="W21" s="9"/>
      <c r="X21" s="9"/>
      <c r="Y21" s="9"/>
      <c r="Z21" s="9"/>
      <c r="AA21" s="9"/>
      <c r="AB21" s="9"/>
      <c r="AC21" s="28"/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</row>
    <row r="22" spans="1:36" ht="16" x14ac:dyDescent="0.35">
      <c r="A22" s="35">
        <v>542474700122</v>
      </c>
      <c r="B22" s="32" t="s">
        <v>89</v>
      </c>
      <c r="C22" s="32" t="s">
        <v>90</v>
      </c>
      <c r="D22" s="33">
        <v>50</v>
      </c>
      <c r="E22" s="36">
        <v>0</v>
      </c>
      <c r="F22" s="33">
        <v>55</v>
      </c>
      <c r="G22" s="33"/>
      <c r="H22" s="33">
        <v>0</v>
      </c>
      <c r="I22" s="33">
        <v>0</v>
      </c>
      <c r="J22" s="33">
        <v>0</v>
      </c>
      <c r="K22" s="33">
        <v>0</v>
      </c>
      <c r="L22" s="34"/>
      <c r="M22" s="37"/>
      <c r="N22" s="37"/>
      <c r="O22" s="37"/>
      <c r="P22" s="22"/>
      <c r="Q22" s="22"/>
      <c r="R22" s="22"/>
      <c r="S22" s="22"/>
      <c r="T22" s="38"/>
      <c r="U22" s="38"/>
      <c r="V22" s="38"/>
      <c r="W22" s="38"/>
      <c r="X22" s="38"/>
      <c r="Y22" s="38"/>
      <c r="Z22" s="28"/>
      <c r="AA22" s="28"/>
      <c r="AB22" s="28"/>
      <c r="AC22" s="28"/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</row>
    <row r="23" spans="1:36" ht="16" x14ac:dyDescent="0.35">
      <c r="A23" s="35">
        <v>542463700115</v>
      </c>
      <c r="B23" s="32" t="s">
        <v>91</v>
      </c>
      <c r="C23" s="32" t="s">
        <v>92</v>
      </c>
      <c r="D23" s="33">
        <v>50</v>
      </c>
      <c r="E23" s="36">
        <v>0</v>
      </c>
      <c r="F23" s="33">
        <v>60</v>
      </c>
      <c r="G23" s="33"/>
      <c r="H23" s="33">
        <v>0</v>
      </c>
      <c r="I23" s="33">
        <v>0</v>
      </c>
      <c r="J23" s="33">
        <v>0</v>
      </c>
      <c r="K23" s="33">
        <v>0</v>
      </c>
      <c r="L23" s="34"/>
      <c r="M23" s="37"/>
      <c r="N23" s="37"/>
      <c r="O23" s="37"/>
      <c r="P23" s="22"/>
      <c r="Q23" s="22"/>
      <c r="R23" s="22"/>
      <c r="S23" s="22"/>
      <c r="T23" s="38"/>
      <c r="U23" s="38"/>
      <c r="V23" s="38"/>
      <c r="W23" s="38"/>
      <c r="X23" s="38"/>
      <c r="Y23" s="38"/>
      <c r="Z23" s="28"/>
      <c r="AA23" s="28"/>
      <c r="AB23" s="28"/>
      <c r="AC23" s="28"/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</row>
    <row r="24" spans="1:36" ht="16" x14ac:dyDescent="0.35">
      <c r="A24" s="35">
        <v>542463700114</v>
      </c>
      <c r="B24" s="32" t="s">
        <v>93</v>
      </c>
      <c r="C24" s="32" t="s">
        <v>94</v>
      </c>
      <c r="D24" s="33">
        <v>50</v>
      </c>
      <c r="E24" s="36">
        <v>0</v>
      </c>
      <c r="F24" s="33">
        <v>42</v>
      </c>
      <c r="G24" s="33"/>
      <c r="H24" s="33">
        <v>8</v>
      </c>
      <c r="I24" s="33">
        <v>8</v>
      </c>
      <c r="J24" s="33">
        <v>0</v>
      </c>
      <c r="K24" s="33">
        <v>0</v>
      </c>
      <c r="L24" s="34"/>
      <c r="M24" s="37"/>
      <c r="N24" s="37"/>
      <c r="O24" s="37"/>
      <c r="P24" s="22"/>
      <c r="Q24" s="22"/>
      <c r="R24" s="22"/>
      <c r="S24" s="22"/>
      <c r="T24" s="38"/>
      <c r="U24" s="38"/>
      <c r="V24" s="38"/>
      <c r="W24" s="38"/>
      <c r="X24" s="38"/>
      <c r="Y24" s="38"/>
      <c r="Z24" s="28"/>
      <c r="AA24" s="28"/>
      <c r="AB24" s="28"/>
      <c r="AC24" s="28"/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</row>
    <row r="25" spans="1:36" ht="16" x14ac:dyDescent="0.35">
      <c r="A25" s="35">
        <v>542472700140</v>
      </c>
      <c r="B25" s="32" t="s">
        <v>95</v>
      </c>
      <c r="C25" s="32" t="s">
        <v>96</v>
      </c>
      <c r="D25" s="33">
        <v>50</v>
      </c>
      <c r="E25" s="36">
        <v>0</v>
      </c>
      <c r="F25" s="33">
        <v>60</v>
      </c>
      <c r="G25" s="33"/>
      <c r="H25" s="33">
        <v>0</v>
      </c>
      <c r="I25" s="33">
        <v>0</v>
      </c>
      <c r="J25" s="33">
        <v>0</v>
      </c>
      <c r="K25" s="33">
        <v>0</v>
      </c>
      <c r="L25" s="34"/>
      <c r="M25" s="37"/>
      <c r="N25" s="37"/>
      <c r="O25" s="37"/>
      <c r="P25" s="22"/>
      <c r="Q25" s="22"/>
      <c r="R25" s="22"/>
      <c r="S25" s="22"/>
      <c r="T25" s="38"/>
      <c r="U25" s="38"/>
      <c r="V25" s="38"/>
      <c r="W25" s="38"/>
      <c r="X25" s="38"/>
      <c r="Y25" s="38"/>
      <c r="Z25" s="28"/>
      <c r="AA25" s="28"/>
      <c r="AB25" s="28"/>
      <c r="AC25" s="28"/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</row>
    <row r="26" spans="1:36" ht="16" x14ac:dyDescent="0.35">
      <c r="A26" s="35">
        <v>542472700139</v>
      </c>
      <c r="B26" s="32" t="s">
        <v>97</v>
      </c>
      <c r="C26" s="32" t="s">
        <v>98</v>
      </c>
      <c r="D26" s="33">
        <v>50</v>
      </c>
      <c r="E26" s="36">
        <v>0</v>
      </c>
      <c r="F26" s="33">
        <v>40</v>
      </c>
      <c r="G26" s="33"/>
      <c r="H26" s="33">
        <v>10</v>
      </c>
      <c r="I26" s="33">
        <v>10</v>
      </c>
      <c r="J26" s="33">
        <v>0</v>
      </c>
      <c r="K26" s="33">
        <v>0</v>
      </c>
      <c r="L26" s="34"/>
      <c r="M26" s="37"/>
      <c r="N26" s="37"/>
      <c r="O26" s="37"/>
      <c r="P26" s="22"/>
      <c r="Q26" s="22"/>
      <c r="R26" s="22"/>
      <c r="S26" s="22"/>
      <c r="T26" s="38"/>
      <c r="U26" s="38"/>
      <c r="V26" s="38"/>
      <c r="W26" s="38"/>
      <c r="X26" s="38"/>
      <c r="Y26" s="38"/>
      <c r="Z26" s="28"/>
      <c r="AA26" s="28"/>
      <c r="AB26" s="28"/>
      <c r="AC26" s="28"/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</row>
    <row r="27" spans="1:36" ht="16" x14ac:dyDescent="0.35">
      <c r="A27" s="35">
        <v>542473700124</v>
      </c>
      <c r="B27" s="32" t="s">
        <v>99</v>
      </c>
      <c r="C27" s="32" t="s">
        <v>100</v>
      </c>
      <c r="D27" s="33">
        <v>50</v>
      </c>
      <c r="E27" s="36">
        <v>0</v>
      </c>
      <c r="F27" s="33">
        <v>35</v>
      </c>
      <c r="G27" s="33"/>
      <c r="H27" s="33">
        <v>15</v>
      </c>
      <c r="I27" s="33">
        <v>15</v>
      </c>
      <c r="J27" s="33">
        <v>0</v>
      </c>
      <c r="K27" s="33">
        <v>0</v>
      </c>
      <c r="L27" s="34"/>
      <c r="M27" s="37"/>
      <c r="N27" s="37"/>
      <c r="O27" s="37"/>
      <c r="P27" s="22"/>
      <c r="Q27" s="22"/>
      <c r="R27" s="22"/>
      <c r="S27" s="22"/>
      <c r="T27" s="38"/>
      <c r="U27" s="38"/>
      <c r="V27" s="38"/>
      <c r="W27" s="38"/>
      <c r="X27" s="38"/>
      <c r="Y27" s="38"/>
      <c r="Z27" s="28"/>
      <c r="AA27" s="28"/>
      <c r="AB27" s="28"/>
      <c r="AC27" s="28"/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</row>
    <row r="28" spans="1:36" ht="16" x14ac:dyDescent="0.35">
      <c r="A28" s="35">
        <v>542473700123</v>
      </c>
      <c r="B28" s="32" t="s">
        <v>101</v>
      </c>
      <c r="C28" s="32" t="s">
        <v>102</v>
      </c>
      <c r="D28" s="33">
        <v>50</v>
      </c>
      <c r="E28" s="36">
        <v>0</v>
      </c>
      <c r="F28" s="33">
        <v>36</v>
      </c>
      <c r="G28" s="33"/>
      <c r="H28" s="33">
        <v>14</v>
      </c>
      <c r="I28" s="33">
        <v>14</v>
      </c>
      <c r="J28" s="33">
        <v>0</v>
      </c>
      <c r="K28" s="33">
        <v>0</v>
      </c>
      <c r="L28" s="34"/>
      <c r="M28" s="37"/>
      <c r="N28" s="37"/>
      <c r="O28" s="37"/>
      <c r="P28" s="22"/>
      <c r="Q28" s="22"/>
      <c r="R28" s="22"/>
      <c r="S28" s="22"/>
      <c r="T28" s="38"/>
      <c r="U28" s="38"/>
      <c r="V28" s="38"/>
      <c r="W28" s="38"/>
      <c r="X28" s="38"/>
      <c r="Y28" s="38"/>
      <c r="Z28" s="28"/>
      <c r="AA28" s="28"/>
      <c r="AB28" s="28"/>
      <c r="AC28" s="28"/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</row>
    <row r="29" spans="1:36" ht="16" x14ac:dyDescent="0.35">
      <c r="A29" s="39">
        <v>542488100121</v>
      </c>
      <c r="B29" s="40" t="s">
        <v>103</v>
      </c>
      <c r="C29" s="40" t="s">
        <v>104</v>
      </c>
      <c r="D29" s="33">
        <v>50</v>
      </c>
      <c r="E29" s="36">
        <v>0</v>
      </c>
      <c r="F29" s="8">
        <v>250</v>
      </c>
      <c r="G29" s="33"/>
      <c r="H29" s="33">
        <v>0</v>
      </c>
      <c r="I29" s="33">
        <v>0</v>
      </c>
      <c r="J29" s="33">
        <v>0</v>
      </c>
      <c r="K29" s="33">
        <v>0</v>
      </c>
      <c r="L29" s="34"/>
      <c r="M29" s="37"/>
      <c r="N29" s="37"/>
      <c r="O29" s="37"/>
      <c r="P29" s="22"/>
      <c r="Q29" s="22"/>
      <c r="R29" s="22"/>
      <c r="S29" s="22"/>
      <c r="T29" s="38"/>
      <c r="U29" s="38"/>
      <c r="V29" s="38"/>
      <c r="W29" s="38"/>
      <c r="X29" s="38"/>
      <c r="Y29" s="38"/>
      <c r="Z29" s="28"/>
      <c r="AA29" s="28"/>
      <c r="AB29" s="28"/>
      <c r="AC29" s="28"/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</row>
    <row r="30" spans="1:36" ht="16" x14ac:dyDescent="0.35">
      <c r="A30" s="39">
        <v>542488100120</v>
      </c>
      <c r="B30" s="40" t="s">
        <v>105</v>
      </c>
      <c r="C30" s="40" t="s">
        <v>106</v>
      </c>
      <c r="D30" s="33">
        <v>50</v>
      </c>
      <c r="E30" s="36">
        <v>0</v>
      </c>
      <c r="F30" s="8">
        <v>50</v>
      </c>
      <c r="G30" s="33"/>
      <c r="H30" s="33">
        <v>0</v>
      </c>
      <c r="I30" s="33">
        <v>0</v>
      </c>
      <c r="J30" s="33">
        <v>0</v>
      </c>
      <c r="K30" s="33">
        <v>0</v>
      </c>
      <c r="L30" s="34"/>
      <c r="M30" s="37"/>
      <c r="N30" s="37"/>
      <c r="O30" s="37"/>
      <c r="P30" s="22"/>
      <c r="Q30" s="22"/>
      <c r="R30" s="22"/>
      <c r="S30" s="22"/>
      <c r="T30" s="38"/>
      <c r="U30" s="38"/>
      <c r="V30" s="38"/>
      <c r="W30" s="38"/>
      <c r="X30" s="38"/>
      <c r="Y30" s="38"/>
      <c r="Z30" s="28"/>
      <c r="AA30" s="28"/>
      <c r="AB30" s="28"/>
      <c r="AC30" s="28"/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</row>
    <row r="31" spans="1:36" ht="16" x14ac:dyDescent="0.35">
      <c r="A31" s="39">
        <v>542488100123</v>
      </c>
      <c r="B31" s="40" t="s">
        <v>107</v>
      </c>
      <c r="C31" s="40" t="s">
        <v>108</v>
      </c>
      <c r="D31" s="33">
        <v>50</v>
      </c>
      <c r="E31" s="36">
        <v>0</v>
      </c>
      <c r="F31" s="8">
        <v>70</v>
      </c>
      <c r="G31" s="33"/>
      <c r="H31" s="33">
        <v>0</v>
      </c>
      <c r="I31" s="33">
        <v>0</v>
      </c>
      <c r="J31" s="33">
        <v>0</v>
      </c>
      <c r="K31" s="33">
        <v>0</v>
      </c>
      <c r="L31" s="34"/>
      <c r="M31" s="37"/>
      <c r="N31" s="37"/>
      <c r="O31" s="37"/>
      <c r="P31" s="22"/>
      <c r="Q31" s="22"/>
      <c r="R31" s="22"/>
      <c r="S31" s="22"/>
      <c r="T31" s="38"/>
      <c r="U31" s="38"/>
      <c r="V31" s="38"/>
      <c r="W31" s="38"/>
      <c r="X31" s="38"/>
      <c r="Y31" s="38"/>
      <c r="Z31" s="28"/>
      <c r="AA31" s="28"/>
      <c r="AB31" s="28"/>
      <c r="AC31" s="28"/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</row>
    <row r="32" spans="1:36" ht="16" x14ac:dyDescent="0.35">
      <c r="A32" s="39">
        <v>542488100122</v>
      </c>
      <c r="B32" s="40" t="s">
        <v>109</v>
      </c>
      <c r="C32" s="40" t="s">
        <v>110</v>
      </c>
      <c r="D32" s="33">
        <v>50</v>
      </c>
      <c r="E32" s="36">
        <v>0</v>
      </c>
      <c r="F32" s="8">
        <v>30</v>
      </c>
      <c r="G32" s="33"/>
      <c r="H32" s="33">
        <v>20</v>
      </c>
      <c r="I32" s="33">
        <v>20</v>
      </c>
      <c r="J32" s="33">
        <v>0</v>
      </c>
      <c r="K32" s="33">
        <v>0</v>
      </c>
      <c r="L32" s="34"/>
      <c r="M32" s="37"/>
      <c r="N32" s="37"/>
      <c r="O32" s="37"/>
      <c r="P32" s="22"/>
      <c r="Q32" s="22"/>
      <c r="R32" s="22"/>
      <c r="S32" s="22"/>
      <c r="T32" s="38"/>
      <c r="U32" s="38"/>
      <c r="V32" s="38"/>
      <c r="W32" s="38"/>
      <c r="X32" s="38"/>
      <c r="Y32" s="38"/>
      <c r="Z32" s="28"/>
      <c r="AA32" s="28"/>
      <c r="AB32" s="28"/>
      <c r="AC32" s="28"/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</row>
    <row r="33" spans="1:36" ht="16" x14ac:dyDescent="0.35">
      <c r="A33" s="35">
        <v>542490600102</v>
      </c>
      <c r="B33" s="32" t="s">
        <v>111</v>
      </c>
      <c r="C33" s="32" t="s">
        <v>112</v>
      </c>
      <c r="D33" s="33">
        <v>50</v>
      </c>
      <c r="E33" s="36">
        <v>0</v>
      </c>
      <c r="F33" s="33">
        <v>40</v>
      </c>
      <c r="G33" s="33"/>
      <c r="H33" s="33">
        <v>10</v>
      </c>
      <c r="I33" s="33">
        <v>10</v>
      </c>
      <c r="J33" s="33">
        <v>0</v>
      </c>
      <c r="K33" s="33">
        <v>0</v>
      </c>
      <c r="L33" s="34"/>
      <c r="M33" s="37"/>
      <c r="N33" s="37"/>
      <c r="O33" s="37"/>
      <c r="P33" s="22"/>
      <c r="Q33" s="22"/>
      <c r="R33" s="22"/>
      <c r="S33" s="22"/>
      <c r="T33" s="38"/>
      <c r="U33" s="38"/>
      <c r="V33" s="38"/>
      <c r="W33" s="38"/>
      <c r="X33" s="38"/>
      <c r="Y33" s="38"/>
      <c r="Z33" s="28"/>
      <c r="AA33" s="28"/>
      <c r="AB33" s="28"/>
      <c r="AC33" s="28"/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</row>
    <row r="34" spans="1:36" ht="16" x14ac:dyDescent="0.35">
      <c r="A34" s="35">
        <v>542490600101</v>
      </c>
      <c r="B34" s="32" t="s">
        <v>113</v>
      </c>
      <c r="C34" s="32" t="s">
        <v>114</v>
      </c>
      <c r="D34" s="33">
        <v>50</v>
      </c>
      <c r="E34" s="36">
        <v>0</v>
      </c>
      <c r="F34" s="33">
        <v>40</v>
      </c>
      <c r="G34" s="33"/>
      <c r="H34" s="33">
        <v>10</v>
      </c>
      <c r="I34" s="33">
        <v>10</v>
      </c>
      <c r="J34" s="33">
        <v>0</v>
      </c>
      <c r="K34" s="33">
        <v>0</v>
      </c>
      <c r="L34" s="34"/>
      <c r="M34" s="37"/>
      <c r="N34" s="37"/>
      <c r="O34" s="37"/>
      <c r="P34" s="22"/>
      <c r="Q34" s="22"/>
      <c r="R34" s="22"/>
      <c r="S34" s="22"/>
      <c r="T34" s="38"/>
      <c r="U34" s="38"/>
      <c r="V34" s="38"/>
      <c r="W34" s="38"/>
      <c r="X34" s="38"/>
      <c r="Y34" s="38"/>
      <c r="Z34" s="28"/>
      <c r="AA34" s="28"/>
      <c r="AB34" s="28"/>
      <c r="AC34" s="28"/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</row>
    <row r="35" spans="1:36" ht="16" x14ac:dyDescent="0.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  <c r="M35" s="10">
        <v>0.27083333333333331</v>
      </c>
      <c r="N35" s="10">
        <v>0.375</v>
      </c>
      <c r="O35" s="10">
        <v>0.45833333333333331</v>
      </c>
      <c r="P35" s="10">
        <v>0.54166666666666663</v>
      </c>
      <c r="Q35" s="10">
        <v>0.625</v>
      </c>
      <c r="R35" s="17"/>
      <c r="S35" s="8"/>
      <c r="T35" s="11">
        <v>0.27083333333333331</v>
      </c>
      <c r="U35" s="11">
        <v>0.36944444444444446</v>
      </c>
      <c r="V35" s="11">
        <v>0.58333333333333337</v>
      </c>
      <c r="W35" s="11"/>
      <c r="X35" s="11"/>
      <c r="Y35" s="11"/>
      <c r="Z35" s="11"/>
      <c r="AA35" s="11"/>
      <c r="AB35" s="31"/>
      <c r="AC35" s="41"/>
      <c r="AD35" s="31" t="s">
        <v>88</v>
      </c>
      <c r="AE35" s="31">
        <v>0.27083333333333331</v>
      </c>
      <c r="AF35" s="31"/>
      <c r="AG35" s="31"/>
      <c r="AH35" s="31"/>
      <c r="AI35" s="31"/>
      <c r="AJ35" s="31"/>
    </row>
    <row r="36" spans="1:36" ht="18.5" x14ac:dyDescent="0.35">
      <c r="A36" s="32" t="s">
        <v>62</v>
      </c>
      <c r="B36" s="32" t="s">
        <v>63</v>
      </c>
      <c r="C36" s="32" t="s">
        <v>64</v>
      </c>
      <c r="D36" s="33">
        <v>80</v>
      </c>
      <c r="E36" s="14">
        <v>142</v>
      </c>
      <c r="F36" s="15">
        <v>70</v>
      </c>
      <c r="G36" s="33"/>
      <c r="H36" s="33">
        <v>152</v>
      </c>
      <c r="I36" s="33">
        <v>8</v>
      </c>
      <c r="J36" s="33">
        <v>144</v>
      </c>
      <c r="K36" s="33">
        <v>60</v>
      </c>
      <c r="L36" s="34"/>
      <c r="M36" s="18">
        <v>16</v>
      </c>
      <c r="N36" s="18">
        <v>32</v>
      </c>
      <c r="O36" s="18">
        <v>32</v>
      </c>
      <c r="P36" s="18">
        <v>32</v>
      </c>
      <c r="Q36" s="18">
        <v>32</v>
      </c>
      <c r="R36" s="19"/>
      <c r="S36" s="8"/>
      <c r="T36" s="9">
        <v>12</v>
      </c>
      <c r="U36" s="9">
        <v>0</v>
      </c>
      <c r="V36" s="20">
        <v>48</v>
      </c>
      <c r="W36" s="20"/>
      <c r="X36" s="20"/>
      <c r="Y36" s="20"/>
      <c r="Z36" s="20"/>
      <c r="AA36" s="20"/>
      <c r="AB36" s="42"/>
      <c r="AC36" s="28"/>
      <c r="AD36" s="28">
        <v>60</v>
      </c>
      <c r="AE36" s="28">
        <v>-4</v>
      </c>
      <c r="AF36" s="28">
        <v>-36</v>
      </c>
      <c r="AG36" s="28">
        <v>-20</v>
      </c>
      <c r="AH36" s="28">
        <v>-52</v>
      </c>
      <c r="AI36" s="28">
        <v>-84</v>
      </c>
      <c r="AJ36" s="28">
        <v>-84</v>
      </c>
    </row>
    <row r="37" spans="1:36" ht="18.5" x14ac:dyDescent="0.35">
      <c r="A37" s="32" t="s">
        <v>65</v>
      </c>
      <c r="B37" s="32" t="s">
        <v>66</v>
      </c>
      <c r="C37" s="32" t="s">
        <v>67</v>
      </c>
      <c r="D37" s="33">
        <v>32</v>
      </c>
      <c r="E37" s="14">
        <v>19</v>
      </c>
      <c r="F37" s="15">
        <v>27</v>
      </c>
      <c r="G37" s="33"/>
      <c r="H37" s="33">
        <v>24</v>
      </c>
      <c r="I37" s="33">
        <v>0</v>
      </c>
      <c r="J37" s="33">
        <v>32</v>
      </c>
      <c r="K37" s="33">
        <v>0</v>
      </c>
      <c r="L37" s="34"/>
      <c r="M37" s="8"/>
      <c r="N37" s="8"/>
      <c r="O37" s="8">
        <v>16</v>
      </c>
      <c r="P37" s="8">
        <v>16</v>
      </c>
      <c r="Q37" s="18"/>
      <c r="R37" s="22"/>
      <c r="S37" s="8"/>
      <c r="T37" s="9"/>
      <c r="U37" s="9"/>
      <c r="V37" s="9"/>
      <c r="W37" s="9"/>
      <c r="X37" s="9"/>
      <c r="Y37" s="9"/>
      <c r="Z37" s="9"/>
      <c r="AA37" s="9"/>
      <c r="AB37" s="27"/>
      <c r="AC37" s="28"/>
      <c r="AD37" s="28">
        <v>0</v>
      </c>
      <c r="AE37" s="28">
        <v>0</v>
      </c>
      <c r="AF37" s="28">
        <v>0</v>
      </c>
      <c r="AG37" s="28">
        <v>-16</v>
      </c>
      <c r="AH37" s="28">
        <v>-32</v>
      </c>
      <c r="AI37" s="28">
        <v>-32</v>
      </c>
      <c r="AJ37" s="28">
        <v>-32</v>
      </c>
    </row>
    <row r="38" spans="1:36" ht="18.5" x14ac:dyDescent="0.35">
      <c r="A38" s="32" t="s">
        <v>68</v>
      </c>
      <c r="B38" s="32" t="s">
        <v>69</v>
      </c>
      <c r="C38" s="32" t="s">
        <v>70</v>
      </c>
      <c r="D38" s="33">
        <v>64</v>
      </c>
      <c r="E38" s="14">
        <v>208</v>
      </c>
      <c r="F38" s="15">
        <v>116</v>
      </c>
      <c r="G38" s="33"/>
      <c r="H38" s="33">
        <v>156</v>
      </c>
      <c r="I38" s="33">
        <v>0</v>
      </c>
      <c r="J38" s="33">
        <v>160</v>
      </c>
      <c r="K38" s="33">
        <v>108</v>
      </c>
      <c r="L38" s="34"/>
      <c r="M38" s="8">
        <v>48</v>
      </c>
      <c r="N38" s="8">
        <v>32</v>
      </c>
      <c r="O38" s="8">
        <v>16</v>
      </c>
      <c r="P38" s="8">
        <v>16</v>
      </c>
      <c r="Q38" s="18">
        <v>48</v>
      </c>
      <c r="R38" s="22"/>
      <c r="S38" s="8"/>
      <c r="T38" s="9">
        <v>48</v>
      </c>
      <c r="U38" s="9">
        <v>60</v>
      </c>
      <c r="V38" s="9"/>
      <c r="W38" s="9"/>
      <c r="X38" s="9"/>
      <c r="Y38" s="9"/>
      <c r="Z38" s="9"/>
      <c r="AA38" s="9"/>
      <c r="AB38" s="27"/>
      <c r="AC38" s="28"/>
      <c r="AD38" s="28">
        <v>108</v>
      </c>
      <c r="AE38" s="28">
        <v>0</v>
      </c>
      <c r="AF38" s="28">
        <v>28</v>
      </c>
      <c r="AG38" s="28">
        <v>12</v>
      </c>
      <c r="AH38" s="28">
        <v>-4</v>
      </c>
      <c r="AI38" s="28">
        <v>-52</v>
      </c>
      <c r="AJ38" s="28">
        <v>-52</v>
      </c>
    </row>
    <row r="39" spans="1:36" ht="18.5" x14ac:dyDescent="0.35">
      <c r="A39" s="32" t="s">
        <v>71</v>
      </c>
      <c r="B39" s="32" t="s">
        <v>72</v>
      </c>
      <c r="C39" s="32" t="s">
        <v>73</v>
      </c>
      <c r="D39" s="33">
        <v>32</v>
      </c>
      <c r="E39" s="14">
        <v>103</v>
      </c>
      <c r="F39" s="15">
        <v>76</v>
      </c>
      <c r="G39" s="33"/>
      <c r="H39" s="33">
        <v>59</v>
      </c>
      <c r="I39" s="33">
        <v>0</v>
      </c>
      <c r="J39" s="33">
        <v>80</v>
      </c>
      <c r="K39" s="33">
        <v>44</v>
      </c>
      <c r="L39" s="34"/>
      <c r="M39" s="8">
        <v>16</v>
      </c>
      <c r="N39" s="8">
        <v>16</v>
      </c>
      <c r="O39" s="8">
        <v>16</v>
      </c>
      <c r="P39" s="22">
        <v>16</v>
      </c>
      <c r="Q39" s="18">
        <v>16</v>
      </c>
      <c r="R39" s="23"/>
      <c r="S39" s="8"/>
      <c r="T39" s="9">
        <v>12</v>
      </c>
      <c r="U39" s="9"/>
      <c r="V39" s="9">
        <v>32</v>
      </c>
      <c r="W39" s="9"/>
      <c r="X39" s="9"/>
      <c r="Y39" s="9"/>
      <c r="Z39" s="9"/>
      <c r="AA39" s="9"/>
      <c r="AB39" s="27"/>
      <c r="AC39" s="28"/>
      <c r="AD39" s="28">
        <v>44</v>
      </c>
      <c r="AE39" s="28">
        <v>-4</v>
      </c>
      <c r="AF39" s="28">
        <v>-20</v>
      </c>
      <c r="AG39" s="28">
        <v>-4</v>
      </c>
      <c r="AH39" s="28">
        <v>-20</v>
      </c>
      <c r="AI39" s="28">
        <v>-36</v>
      </c>
      <c r="AJ39" s="28">
        <v>-36</v>
      </c>
    </row>
    <row r="40" spans="1:36" ht="18.5" x14ac:dyDescent="0.4">
      <c r="A40" s="32" t="s">
        <v>74</v>
      </c>
      <c r="B40" s="32" t="s">
        <v>75</v>
      </c>
      <c r="C40" s="32" t="s">
        <v>76</v>
      </c>
      <c r="D40" s="33">
        <v>32</v>
      </c>
      <c r="E40" s="14">
        <v>48</v>
      </c>
      <c r="F40" s="15">
        <v>16</v>
      </c>
      <c r="G40" s="33"/>
      <c r="H40" s="33">
        <v>64</v>
      </c>
      <c r="I40" s="33">
        <v>0</v>
      </c>
      <c r="J40" s="33">
        <v>64</v>
      </c>
      <c r="K40" s="33">
        <v>32</v>
      </c>
      <c r="L40" s="34" t="s">
        <v>115</v>
      </c>
      <c r="M40" s="8">
        <v>16</v>
      </c>
      <c r="N40" s="8">
        <v>16</v>
      </c>
      <c r="O40" s="8">
        <v>16</v>
      </c>
      <c r="P40" s="22">
        <v>16</v>
      </c>
      <c r="Q40" s="18"/>
      <c r="R40" s="23"/>
      <c r="S40" s="22"/>
      <c r="T40" s="9">
        <v>16</v>
      </c>
      <c r="U40" s="9"/>
      <c r="V40" s="9">
        <v>16</v>
      </c>
      <c r="W40" s="9"/>
      <c r="X40" s="9"/>
      <c r="Y40" s="9"/>
      <c r="Z40" s="6"/>
      <c r="AA40" s="27"/>
      <c r="AB40" s="27"/>
      <c r="AC40" s="28"/>
      <c r="AD40" s="28">
        <v>32</v>
      </c>
      <c r="AE40" s="28">
        <v>0</v>
      </c>
      <c r="AF40" s="28">
        <v>-16</v>
      </c>
      <c r="AG40" s="28">
        <v>-16</v>
      </c>
      <c r="AH40" s="28">
        <v>-32</v>
      </c>
      <c r="AI40" s="28">
        <v>-32</v>
      </c>
      <c r="AJ40" s="28">
        <v>-32</v>
      </c>
    </row>
    <row r="45" spans="1:36" x14ac:dyDescent="0.35">
      <c r="A45">
        <v>27</v>
      </c>
    </row>
    <row r="46" spans="1:36" x14ac:dyDescent="0.35">
      <c r="A46">
        <v>32</v>
      </c>
    </row>
    <row r="47" spans="1:36" x14ac:dyDescent="0.35">
      <c r="A47">
        <v>16</v>
      </c>
    </row>
    <row r="48" spans="1:36" x14ac:dyDescent="0.35">
      <c r="A48">
        <v>12</v>
      </c>
    </row>
    <row r="49" spans="1:1" x14ac:dyDescent="0.35">
      <c r="A49">
        <v>21</v>
      </c>
    </row>
  </sheetData>
  <protectedRanges>
    <protectedRange sqref="R40" name="Range1_1_2_1_2_1_1_1_1_1_1_1_1"/>
    <protectedRange sqref="R39" name="Range1_1_2_1_2_1_1_1_1_2_1_1_1"/>
    <protectedRange sqref="R36:R38" name="Range1_1_2_1_2_1_1_1_1_2_1_2_4_1_2"/>
    <protectedRange sqref="F22:F34" name="Range1_2_1"/>
    <protectedRange sqref="Q39" name="Range1_1_2_1_2_1_1_1_1_2_1_1_1_1_1"/>
    <protectedRange sqref="Q40" name="Range1_1_2_1_2_1_1_1_1_1_1_1_1_1_1_1"/>
    <protectedRange sqref="Q36:Q38" name="Range1_1_2_1_2_1_1_1_1_2_1_2_4_1_2_1"/>
    <protectedRange sqref="P40" name="Range1_1_2_1_2_1_2_1_1_1"/>
    <protectedRange sqref="P39" name="Range1_1_2_1_2_1_1_1_1_2_1_2_4_1_1_1"/>
    <protectedRange sqref="F13" name="Range1_5_1_1"/>
    <protectedRange sqref="F12" name="Range1_2_3_1_1"/>
    <protectedRange sqref="F7:F11" name="Range1_3_2"/>
  </protectedRanges>
  <mergeCells count="15">
    <mergeCell ref="M1:S1"/>
    <mergeCell ref="T1:AD1"/>
    <mergeCell ref="AE1:AJ1"/>
    <mergeCell ref="B2:C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</mergeCells>
  <conditionalFormatting sqref="I7:K40">
    <cfRule type="cellIs" dxfId="57" priority="5" operator="greaterThan">
      <formula>0</formula>
    </cfRule>
  </conditionalFormatting>
  <conditionalFormatting sqref="P39:P40">
    <cfRule type="cellIs" dxfId="56" priority="1" operator="lessThan">
      <formula>0</formula>
    </cfRule>
  </conditionalFormatting>
  <conditionalFormatting sqref="R40">
    <cfRule type="cellIs" dxfId="55" priority="4" operator="lessThan">
      <formula>0</formula>
    </cfRule>
  </conditionalFormatting>
  <conditionalFormatting sqref="R36:S39">
    <cfRule type="cellIs" dxfId="54" priority="3" operator="lessThan">
      <formula>0</formula>
    </cfRule>
  </conditionalFormatting>
  <conditionalFormatting sqref="Z39">
    <cfRule type="cellIs" dxfId="53" priority="2" operator="lessThan">
      <formula>0</formula>
    </cfRule>
  </conditionalFormatting>
  <conditionalFormatting sqref="AA36:AA39">
    <cfRule type="cellIs" dxfId="52" priority="6" operator="lessThan">
      <formula>0</formula>
    </cfRule>
  </conditionalFormatting>
  <conditionalFormatting sqref="AE3:AJ3">
    <cfRule type="cellIs" dxfId="51" priority="7" operator="lessThan">
      <formula>0</formula>
    </cfRule>
  </conditionalFormatting>
  <conditionalFormatting sqref="AE7:AJ34 AE36:AJ40">
    <cfRule type="cellIs" dxfId="50" priority="8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98" orientation="landscape" horizontalDpi="200" verticalDpi="200" r:id="rId1"/>
  <headerFooter>
    <oddFooter>&amp;L_x000D_&amp;1#&amp;"Calibri Light"&amp;8&amp;K000000 Classified as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6E01-E1E9-4229-BA10-CEE29F3D28BC}">
  <sheetPr>
    <pageSetUpPr fitToPage="1"/>
  </sheetPr>
  <dimension ref="A1:W29"/>
  <sheetViews>
    <sheetView showZeros="0" zoomScale="70" zoomScaleNormal="70" workbookViewId="0">
      <pane xSplit="5" ySplit="6" topLeftCell="F17" activePane="bottomRight" state="frozen"/>
      <selection activeCell="M7" sqref="M7"/>
      <selection pane="topRight" activeCell="M7" sqref="M7"/>
      <selection pane="bottomLeft" activeCell="M7" sqref="M7"/>
      <selection pane="bottomRight" activeCell="A2" sqref="A2"/>
    </sheetView>
  </sheetViews>
  <sheetFormatPr defaultRowHeight="16" x14ac:dyDescent="0.4"/>
  <cols>
    <col min="1" max="1" width="18.26953125" style="1" bestFit="1" customWidth="1"/>
    <col min="2" max="2" width="18.54296875" style="1" bestFit="1" customWidth="1"/>
    <col min="3" max="3" width="17" style="1" customWidth="1"/>
    <col min="4" max="4" width="12.54296875" style="1" bestFit="1" customWidth="1"/>
    <col min="5" max="7" width="12" style="1" customWidth="1"/>
    <col min="8" max="8" width="9.08984375" style="1" customWidth="1"/>
    <col min="9" max="9" width="6.453125" style="1" bestFit="1" customWidth="1"/>
    <col min="10" max="15" width="6.36328125" style="1" customWidth="1"/>
    <col min="16" max="16" width="6.453125" style="1" bestFit="1" customWidth="1"/>
    <col min="17" max="23" width="6.36328125" style="1" customWidth="1"/>
    <col min="24" max="16384" width="8.7265625" style="1"/>
  </cols>
  <sheetData>
    <row r="1" spans="1:23" ht="18.5" x14ac:dyDescent="0.45">
      <c r="C1" s="2">
        <v>45904</v>
      </c>
      <c r="D1" s="60"/>
      <c r="H1" s="62" t="s">
        <v>0</v>
      </c>
      <c r="I1" s="62"/>
      <c r="J1" s="62"/>
      <c r="K1" s="62"/>
      <c r="L1" s="62"/>
      <c r="M1" s="62"/>
      <c r="N1" s="3"/>
      <c r="O1" s="63" t="s">
        <v>1</v>
      </c>
      <c r="P1" s="64"/>
      <c r="Q1" s="64"/>
      <c r="R1" s="64"/>
      <c r="S1" s="64"/>
      <c r="T1" s="64"/>
      <c r="U1" s="64"/>
      <c r="V1" s="64"/>
      <c r="W1" s="64"/>
    </row>
    <row r="2" spans="1:23" x14ac:dyDescent="0.4">
      <c r="B2" s="65"/>
      <c r="C2" s="66"/>
      <c r="D2" s="61"/>
      <c r="E2" s="4"/>
      <c r="F2" s="4"/>
      <c r="G2" s="4"/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O2" s="6" t="s">
        <v>2</v>
      </c>
      <c r="P2" s="6" t="s">
        <v>3</v>
      </c>
      <c r="Q2" s="6" t="s">
        <v>4</v>
      </c>
      <c r="R2" s="6" t="s">
        <v>5</v>
      </c>
      <c r="S2" s="6" t="s">
        <v>6</v>
      </c>
      <c r="T2" s="6" t="s">
        <v>7</v>
      </c>
      <c r="U2" s="6" t="s">
        <v>8</v>
      </c>
      <c r="V2" s="6" t="s">
        <v>9</v>
      </c>
      <c r="W2" s="6"/>
    </row>
    <row r="3" spans="1:23" x14ac:dyDescent="0.4">
      <c r="A3" s="59" t="s">
        <v>10</v>
      </c>
      <c r="B3" s="67" t="s">
        <v>11</v>
      </c>
      <c r="C3" s="67" t="s">
        <v>12</v>
      </c>
      <c r="D3" s="59" t="s">
        <v>13</v>
      </c>
      <c r="E3" s="7" t="s">
        <v>14</v>
      </c>
      <c r="F3" s="68" t="s">
        <v>122</v>
      </c>
      <c r="G3" s="68" t="s">
        <v>123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/>
      <c r="W3" s="9"/>
    </row>
    <row r="4" spans="1:23" x14ac:dyDescent="0.4">
      <c r="A4" s="59"/>
      <c r="B4" s="67"/>
      <c r="C4" s="67"/>
      <c r="D4" s="59"/>
      <c r="E4" s="7" t="s">
        <v>15</v>
      </c>
      <c r="F4" s="69"/>
      <c r="G4" s="69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</row>
    <row r="5" spans="1:23" x14ac:dyDescent="0.4">
      <c r="A5" s="59"/>
      <c r="B5" s="67"/>
      <c r="C5" s="67"/>
      <c r="D5" s="59"/>
      <c r="E5" s="7" t="s">
        <v>16</v>
      </c>
      <c r="F5" s="69"/>
      <c r="G5" s="69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</row>
    <row r="6" spans="1:23" ht="16" customHeight="1" x14ac:dyDescent="0.4">
      <c r="A6" s="59"/>
      <c r="B6" s="67"/>
      <c r="C6" s="67"/>
      <c r="D6" s="59"/>
      <c r="E6" s="7" t="s">
        <v>17</v>
      </c>
      <c r="F6" s="70"/>
      <c r="G6" s="70"/>
      <c r="H6" s="10">
        <v>0.27083333333333331</v>
      </c>
      <c r="I6" s="10">
        <v>0.41666666666666669</v>
      </c>
      <c r="J6" s="10">
        <v>0.54166666666666663</v>
      </c>
      <c r="K6" s="10">
        <v>0.66666666666666663</v>
      </c>
      <c r="L6" s="10">
        <v>0.79166666666666663</v>
      </c>
      <c r="M6" s="10">
        <v>0</v>
      </c>
      <c r="N6" s="10"/>
      <c r="O6" s="11">
        <v>0.27083333333333331</v>
      </c>
      <c r="P6" s="11">
        <v>0.45624999999999999</v>
      </c>
      <c r="Q6" s="11">
        <v>0.52083333333333337</v>
      </c>
      <c r="R6" s="11">
        <v>0.66666666666666663</v>
      </c>
      <c r="S6" s="11">
        <v>0.79166666666666663</v>
      </c>
      <c r="T6" s="11">
        <v>0.89583333333333337</v>
      </c>
      <c r="U6" s="11">
        <v>0</v>
      </c>
      <c r="V6" s="11"/>
      <c r="W6" s="12"/>
    </row>
    <row r="7" spans="1:23" ht="17.5" customHeight="1" x14ac:dyDescent="0.4">
      <c r="A7" s="13" t="s">
        <v>18</v>
      </c>
      <c r="B7" s="13" t="s">
        <v>19</v>
      </c>
      <c r="C7" s="13" t="s">
        <v>20</v>
      </c>
      <c r="D7" s="14">
        <v>26</v>
      </c>
      <c r="E7" s="15">
        <v>100</v>
      </c>
      <c r="F7" s="15">
        <v>96</v>
      </c>
      <c r="G7" s="15">
        <v>0</v>
      </c>
      <c r="H7" s="8">
        <v>0</v>
      </c>
      <c r="I7" s="8">
        <v>0</v>
      </c>
      <c r="J7" s="8">
        <v>0</v>
      </c>
      <c r="K7" s="8">
        <v>0</v>
      </c>
      <c r="L7" s="8">
        <v>96</v>
      </c>
      <c r="M7" s="8">
        <v>0</v>
      </c>
      <c r="N7" s="8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/>
      <c r="W7" s="9"/>
    </row>
    <row r="8" spans="1:23" ht="17.5" customHeight="1" x14ac:dyDescent="0.4">
      <c r="A8" s="13" t="s">
        <v>21</v>
      </c>
      <c r="B8" s="13" t="s">
        <v>22</v>
      </c>
      <c r="C8" s="13" t="s">
        <v>23</v>
      </c>
      <c r="D8" s="14">
        <v>276</v>
      </c>
      <c r="E8" s="15">
        <v>192</v>
      </c>
      <c r="F8" s="15">
        <v>480</v>
      </c>
      <c r="G8" s="15">
        <v>480</v>
      </c>
      <c r="H8" s="8">
        <v>96</v>
      </c>
      <c r="I8" s="8">
        <v>96</v>
      </c>
      <c r="J8" s="8">
        <v>96</v>
      </c>
      <c r="K8" s="8">
        <v>96</v>
      </c>
      <c r="L8" s="8">
        <v>96</v>
      </c>
      <c r="M8" s="8">
        <v>0</v>
      </c>
      <c r="N8" s="8">
        <v>0</v>
      </c>
      <c r="O8" s="9">
        <v>96</v>
      </c>
      <c r="P8" s="9">
        <v>192</v>
      </c>
      <c r="Q8" s="9">
        <v>0</v>
      </c>
      <c r="R8" s="9">
        <v>192</v>
      </c>
      <c r="S8" s="9">
        <v>0</v>
      </c>
      <c r="T8" s="9">
        <v>0</v>
      </c>
      <c r="U8" s="9">
        <v>0</v>
      </c>
      <c r="V8" s="9"/>
      <c r="W8" s="9"/>
    </row>
    <row r="9" spans="1:23" ht="17.5" customHeight="1" x14ac:dyDescent="0.4">
      <c r="A9" s="13" t="s">
        <v>24</v>
      </c>
      <c r="B9" s="13" t="s">
        <v>25</v>
      </c>
      <c r="C9" s="13" t="s">
        <v>26</v>
      </c>
      <c r="D9" s="14">
        <v>24</v>
      </c>
      <c r="E9" s="15">
        <v>40</v>
      </c>
      <c r="F9" s="15">
        <v>96</v>
      </c>
      <c r="G9" s="15">
        <v>0</v>
      </c>
      <c r="H9" s="8">
        <v>0</v>
      </c>
      <c r="I9" s="8">
        <v>0</v>
      </c>
      <c r="J9" s="8">
        <v>0</v>
      </c>
      <c r="K9" s="8">
        <v>96</v>
      </c>
      <c r="L9" s="8">
        <v>0</v>
      </c>
      <c r="M9" s="8">
        <v>0</v>
      </c>
      <c r="N9" s="8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/>
      <c r="W9" s="9"/>
    </row>
    <row r="10" spans="1:23" ht="17.5" customHeight="1" x14ac:dyDescent="0.4">
      <c r="A10" s="16" t="s">
        <v>27</v>
      </c>
      <c r="B10" s="13" t="s">
        <v>28</v>
      </c>
      <c r="C10" s="13" t="s">
        <v>29</v>
      </c>
      <c r="D10" s="14">
        <v>12</v>
      </c>
      <c r="E10" s="15">
        <v>240</v>
      </c>
      <c r="F10" s="15">
        <v>0</v>
      </c>
      <c r="G10" s="15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/>
      <c r="W10" s="9"/>
    </row>
    <row r="11" spans="1:23" ht="17.5" customHeight="1" x14ac:dyDescent="0.4">
      <c r="A11" s="13" t="s">
        <v>30</v>
      </c>
      <c r="B11" s="13" t="s">
        <v>31</v>
      </c>
      <c r="C11" s="13" t="s">
        <v>32</v>
      </c>
      <c r="D11" s="14">
        <v>188</v>
      </c>
      <c r="E11" s="15">
        <v>130</v>
      </c>
      <c r="F11" s="15">
        <v>260</v>
      </c>
      <c r="G11" s="15">
        <v>260</v>
      </c>
      <c r="H11" s="8">
        <v>0</v>
      </c>
      <c r="I11" s="8">
        <v>0</v>
      </c>
      <c r="J11" s="8">
        <v>130</v>
      </c>
      <c r="K11" s="8">
        <v>130</v>
      </c>
      <c r="L11" s="8">
        <v>0</v>
      </c>
      <c r="M11" s="8">
        <v>0</v>
      </c>
      <c r="N11" s="8">
        <v>0</v>
      </c>
      <c r="O11" s="9">
        <v>0</v>
      </c>
      <c r="P11" s="9">
        <v>130</v>
      </c>
      <c r="Q11" s="9">
        <v>0</v>
      </c>
      <c r="R11" s="9">
        <v>130</v>
      </c>
      <c r="S11" s="9">
        <v>0</v>
      </c>
      <c r="T11" s="9">
        <v>0</v>
      </c>
      <c r="U11" s="9">
        <v>0</v>
      </c>
      <c r="V11" s="9"/>
      <c r="W11" s="9"/>
    </row>
    <row r="12" spans="1:23" ht="17.5" customHeight="1" x14ac:dyDescent="0.4">
      <c r="A12" s="13" t="s">
        <v>33</v>
      </c>
      <c r="B12" s="13" t="s">
        <v>34</v>
      </c>
      <c r="C12" s="13" t="s">
        <v>35</v>
      </c>
      <c r="D12" s="14">
        <v>10</v>
      </c>
      <c r="E12" s="15">
        <v>200</v>
      </c>
      <c r="F12" s="15">
        <v>0</v>
      </c>
      <c r="G12" s="15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/>
      <c r="W12" s="9"/>
    </row>
    <row r="13" spans="1:23" ht="17.5" customHeight="1" x14ac:dyDescent="0.4">
      <c r="A13" s="13" t="s">
        <v>36</v>
      </c>
      <c r="B13" s="13" t="s">
        <v>37</v>
      </c>
      <c r="C13" s="13">
        <v>630131090</v>
      </c>
      <c r="D13" s="14">
        <v>24</v>
      </c>
      <c r="E13" s="15">
        <v>40</v>
      </c>
      <c r="F13" s="15">
        <v>140</v>
      </c>
      <c r="G13" s="15">
        <v>0</v>
      </c>
      <c r="H13" s="8">
        <v>0</v>
      </c>
      <c r="I13" s="8">
        <v>0</v>
      </c>
      <c r="J13" s="8">
        <v>0</v>
      </c>
      <c r="K13" s="8">
        <v>0</v>
      </c>
      <c r="L13" s="8">
        <v>140</v>
      </c>
      <c r="M13" s="8">
        <v>0</v>
      </c>
      <c r="N13" s="8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/>
      <c r="W13" s="9"/>
    </row>
    <row r="14" spans="1:23" ht="17.5" customHeight="1" x14ac:dyDescent="0.4">
      <c r="A14" s="13" t="s">
        <v>38</v>
      </c>
      <c r="B14" s="13" t="s">
        <v>39</v>
      </c>
      <c r="C14" s="13" t="s">
        <v>40</v>
      </c>
      <c r="D14" s="14">
        <v>25</v>
      </c>
      <c r="E14" s="15">
        <v>45</v>
      </c>
      <c r="F14" s="15">
        <v>14</v>
      </c>
      <c r="G14" s="15">
        <v>42</v>
      </c>
      <c r="H14" s="8">
        <v>14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9">
        <v>0</v>
      </c>
      <c r="P14" s="9">
        <v>0</v>
      </c>
      <c r="Q14" s="9">
        <v>14</v>
      </c>
      <c r="R14" s="9">
        <v>14</v>
      </c>
      <c r="S14" s="9">
        <v>0</v>
      </c>
      <c r="T14" s="9">
        <v>14</v>
      </c>
      <c r="U14" s="9">
        <v>0</v>
      </c>
      <c r="V14" s="9"/>
      <c r="W14" s="9"/>
    </row>
    <row r="15" spans="1:23" ht="17.5" customHeight="1" x14ac:dyDescent="0.4">
      <c r="A15" s="13" t="s">
        <v>41</v>
      </c>
      <c r="B15" s="13" t="s">
        <v>42</v>
      </c>
      <c r="C15" s="13" t="s">
        <v>43</v>
      </c>
      <c r="D15" s="14">
        <v>0</v>
      </c>
      <c r="E15" s="15">
        <v>10</v>
      </c>
      <c r="F15" s="15">
        <v>0</v>
      </c>
      <c r="G15" s="15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/>
      <c r="W15" s="9"/>
    </row>
    <row r="16" spans="1:23" ht="17.5" customHeight="1" x14ac:dyDescent="0.4">
      <c r="A16" s="13" t="s">
        <v>44</v>
      </c>
      <c r="B16" s="13" t="s">
        <v>45</v>
      </c>
      <c r="C16" s="13" t="s">
        <v>46</v>
      </c>
      <c r="D16" s="14">
        <v>306</v>
      </c>
      <c r="E16" s="15">
        <v>20</v>
      </c>
      <c r="F16" s="15">
        <v>308</v>
      </c>
      <c r="G16" s="15">
        <v>294</v>
      </c>
      <c r="H16" s="8">
        <v>28</v>
      </c>
      <c r="I16" s="8">
        <v>70</v>
      </c>
      <c r="J16" s="8">
        <v>70</v>
      </c>
      <c r="K16" s="8">
        <v>84</v>
      </c>
      <c r="L16" s="8">
        <v>56</v>
      </c>
      <c r="M16" s="8">
        <v>0</v>
      </c>
      <c r="N16" s="8">
        <v>0</v>
      </c>
      <c r="O16" s="9">
        <v>28</v>
      </c>
      <c r="P16" s="9">
        <v>56</v>
      </c>
      <c r="Q16" s="9">
        <v>56</v>
      </c>
      <c r="R16" s="9">
        <v>56</v>
      </c>
      <c r="S16" s="9">
        <v>56</v>
      </c>
      <c r="T16" s="9">
        <v>42</v>
      </c>
      <c r="U16" s="9">
        <v>0</v>
      </c>
      <c r="V16" s="9"/>
      <c r="W16" s="9"/>
    </row>
    <row r="17" spans="1:23" ht="17.5" customHeight="1" x14ac:dyDescent="0.4">
      <c r="A17" s="13" t="s">
        <v>47</v>
      </c>
      <c r="B17" s="13" t="s">
        <v>48</v>
      </c>
      <c r="C17" s="13" t="s">
        <v>49</v>
      </c>
      <c r="D17" s="14">
        <v>15</v>
      </c>
      <c r="E17" s="15">
        <v>22</v>
      </c>
      <c r="F17" s="15">
        <v>28</v>
      </c>
      <c r="G17" s="15">
        <v>28</v>
      </c>
      <c r="H17" s="8">
        <v>14</v>
      </c>
      <c r="I17" s="8">
        <v>0</v>
      </c>
      <c r="J17" s="8">
        <v>0</v>
      </c>
      <c r="K17" s="8">
        <v>0</v>
      </c>
      <c r="L17" s="8">
        <v>14</v>
      </c>
      <c r="M17" s="8">
        <v>0</v>
      </c>
      <c r="N17" s="8">
        <v>0</v>
      </c>
      <c r="O17" s="9">
        <v>0</v>
      </c>
      <c r="P17" s="9">
        <v>0</v>
      </c>
      <c r="Q17" s="9">
        <v>0</v>
      </c>
      <c r="R17" s="9">
        <v>14</v>
      </c>
      <c r="S17" s="9">
        <v>14</v>
      </c>
      <c r="T17" s="9">
        <v>0</v>
      </c>
      <c r="U17" s="9">
        <v>0</v>
      </c>
      <c r="V17" s="9"/>
      <c r="W17" s="9"/>
    </row>
    <row r="18" spans="1:23" ht="17.5" customHeight="1" x14ac:dyDescent="0.4">
      <c r="A18" s="13" t="s">
        <v>50</v>
      </c>
      <c r="B18" s="13" t="s">
        <v>51</v>
      </c>
      <c r="C18" s="13" t="s">
        <v>52</v>
      </c>
      <c r="D18" s="14">
        <v>0</v>
      </c>
      <c r="E18" s="15">
        <v>0</v>
      </c>
      <c r="F18" s="15">
        <v>0</v>
      </c>
      <c r="G18" s="15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/>
      <c r="W18" s="9"/>
    </row>
    <row r="19" spans="1:23" ht="17.5" customHeight="1" x14ac:dyDescent="0.4">
      <c r="A19" s="13" t="s">
        <v>53</v>
      </c>
      <c r="B19" s="13" t="s">
        <v>54</v>
      </c>
      <c r="C19" s="13" t="s">
        <v>55</v>
      </c>
      <c r="D19" s="14">
        <v>0</v>
      </c>
      <c r="E19" s="15">
        <v>15</v>
      </c>
      <c r="F19" s="15">
        <v>14</v>
      </c>
      <c r="G19" s="15">
        <v>0</v>
      </c>
      <c r="H19" s="8">
        <v>0</v>
      </c>
      <c r="I19" s="8">
        <v>0</v>
      </c>
      <c r="J19" s="8">
        <v>0</v>
      </c>
      <c r="K19" s="8">
        <v>0</v>
      </c>
      <c r="L19" s="8">
        <v>14</v>
      </c>
      <c r="M19" s="8">
        <v>0</v>
      </c>
      <c r="N19" s="8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/>
      <c r="W19" s="9"/>
    </row>
    <row r="20" spans="1:23" ht="17.5" customHeight="1" x14ac:dyDescent="0.4">
      <c r="A20" s="13" t="s">
        <v>56</v>
      </c>
      <c r="B20" s="13" t="s">
        <v>57</v>
      </c>
      <c r="C20" s="13" t="s">
        <v>58</v>
      </c>
      <c r="D20" s="14">
        <v>46</v>
      </c>
      <c r="E20" s="15">
        <v>22</v>
      </c>
      <c r="F20" s="15">
        <v>56</v>
      </c>
      <c r="G20" s="15">
        <v>14</v>
      </c>
      <c r="H20" s="8">
        <v>28</v>
      </c>
      <c r="I20" s="8">
        <v>14</v>
      </c>
      <c r="J20" s="8">
        <v>14</v>
      </c>
      <c r="K20" s="8">
        <v>0</v>
      </c>
      <c r="L20" s="8">
        <v>0</v>
      </c>
      <c r="M20" s="8">
        <v>0</v>
      </c>
      <c r="N20" s="8">
        <v>0</v>
      </c>
      <c r="O20" s="9">
        <v>14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/>
      <c r="W20" s="9"/>
    </row>
    <row r="21" spans="1:23" ht="17.5" customHeight="1" x14ac:dyDescent="0.4">
      <c r="A21" s="13" t="s">
        <v>59</v>
      </c>
      <c r="B21" s="13" t="s">
        <v>60</v>
      </c>
      <c r="C21" s="13" t="s">
        <v>61</v>
      </c>
      <c r="D21" s="14">
        <v>12</v>
      </c>
      <c r="E21" s="15">
        <v>22</v>
      </c>
      <c r="F21" s="15">
        <v>0</v>
      </c>
      <c r="G21" s="15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/>
      <c r="W21" s="9"/>
    </row>
    <row r="22" spans="1:23" ht="32" customHeight="1" x14ac:dyDescent="0.4">
      <c r="A22" s="74" t="s">
        <v>10</v>
      </c>
      <c r="B22" s="74" t="s">
        <v>11</v>
      </c>
      <c r="C22" s="74" t="s">
        <v>12</v>
      </c>
      <c r="D22" s="74" t="s">
        <v>13</v>
      </c>
      <c r="E22" s="74" t="s">
        <v>17</v>
      </c>
      <c r="F22" s="68" t="s">
        <v>122</v>
      </c>
      <c r="G22" s="68" t="s">
        <v>123</v>
      </c>
      <c r="H22" s="71" t="s">
        <v>0</v>
      </c>
      <c r="I22" s="72"/>
      <c r="J22" s="72"/>
      <c r="K22" s="72"/>
      <c r="L22" s="72"/>
      <c r="M22" s="73"/>
      <c r="N22" s="8"/>
      <c r="O22" s="63" t="s">
        <v>1</v>
      </c>
      <c r="P22" s="64"/>
      <c r="Q22" s="64"/>
      <c r="R22" s="64"/>
      <c r="S22" s="64"/>
      <c r="T22" s="64"/>
      <c r="U22" s="64"/>
      <c r="V22" s="64"/>
      <c r="W22" s="64"/>
    </row>
    <row r="23" spans="1:23" ht="17.5" customHeight="1" x14ac:dyDescent="0.4">
      <c r="A23" s="75"/>
      <c r="B23" s="75"/>
      <c r="C23" s="75"/>
      <c r="D23" s="75"/>
      <c r="E23" s="75"/>
      <c r="F23" s="69"/>
      <c r="G23" s="69"/>
      <c r="H23" s="5" t="s">
        <v>2</v>
      </c>
      <c r="I23" s="5" t="s">
        <v>3</v>
      </c>
      <c r="J23" s="5" t="s">
        <v>4</v>
      </c>
      <c r="K23" s="5" t="s">
        <v>5</v>
      </c>
      <c r="L23" s="5" t="s">
        <v>6</v>
      </c>
      <c r="M23" s="5" t="s">
        <v>7</v>
      </c>
      <c r="N23" s="5" t="s">
        <v>8</v>
      </c>
      <c r="O23" s="6" t="s">
        <v>2</v>
      </c>
      <c r="P23" s="6" t="s">
        <v>3</v>
      </c>
      <c r="Q23" s="6" t="s">
        <v>4</v>
      </c>
      <c r="R23" s="6" t="s">
        <v>5</v>
      </c>
      <c r="S23" s="6" t="s">
        <v>6</v>
      </c>
      <c r="T23" s="6" t="s">
        <v>7</v>
      </c>
      <c r="U23" s="6" t="s">
        <v>8</v>
      </c>
      <c r="V23" s="11"/>
      <c r="W23" s="11"/>
    </row>
    <row r="24" spans="1:23" ht="17.5" customHeight="1" x14ac:dyDescent="0.4">
      <c r="A24" s="76"/>
      <c r="B24" s="76"/>
      <c r="C24" s="76"/>
      <c r="D24" s="76"/>
      <c r="E24" s="76"/>
      <c r="F24" s="69"/>
      <c r="G24" s="69"/>
      <c r="H24" s="10"/>
      <c r="I24" s="10"/>
      <c r="J24" s="10"/>
      <c r="K24" s="10"/>
      <c r="L24" s="10"/>
      <c r="M24" s="17"/>
      <c r="N24" s="8"/>
      <c r="O24" s="11"/>
      <c r="P24" s="11"/>
      <c r="Q24" s="45"/>
      <c r="R24" s="45"/>
      <c r="S24" s="45"/>
      <c r="T24" s="45"/>
      <c r="U24" s="45"/>
      <c r="V24" s="45"/>
      <c r="W24" s="11"/>
    </row>
    <row r="25" spans="1:23" ht="18.5" x14ac:dyDescent="0.4">
      <c r="A25" s="13" t="s">
        <v>62</v>
      </c>
      <c r="B25" s="13" t="s">
        <v>63</v>
      </c>
      <c r="C25" s="13" t="s">
        <v>64</v>
      </c>
      <c r="D25" s="14">
        <v>142</v>
      </c>
      <c r="E25" s="15">
        <v>12</v>
      </c>
      <c r="F25" s="15"/>
      <c r="G25" s="15"/>
      <c r="H25" s="8">
        <v>16</v>
      </c>
      <c r="I25" s="8">
        <v>32</v>
      </c>
      <c r="J25" s="8">
        <v>32</v>
      </c>
      <c r="K25" s="8">
        <v>32</v>
      </c>
      <c r="L25" s="8">
        <v>32</v>
      </c>
      <c r="M25" s="8">
        <v>0</v>
      </c>
      <c r="N25" s="8">
        <v>0</v>
      </c>
      <c r="O25" s="9">
        <v>12</v>
      </c>
      <c r="P25" s="9">
        <v>0</v>
      </c>
      <c r="Q25" s="9">
        <v>48</v>
      </c>
      <c r="R25" s="9">
        <v>0</v>
      </c>
      <c r="S25" s="9">
        <v>0</v>
      </c>
      <c r="T25" s="9">
        <v>0</v>
      </c>
      <c r="U25" s="9">
        <v>0</v>
      </c>
      <c r="V25" s="21"/>
      <c r="W25" s="9">
        <v>60</v>
      </c>
    </row>
    <row r="26" spans="1:23" ht="17.5" customHeight="1" x14ac:dyDescent="0.4">
      <c r="A26" s="13" t="s">
        <v>65</v>
      </c>
      <c r="B26" s="13" t="s">
        <v>66</v>
      </c>
      <c r="C26" s="13" t="s">
        <v>67</v>
      </c>
      <c r="D26" s="14">
        <v>19</v>
      </c>
      <c r="E26" s="15">
        <v>46</v>
      </c>
      <c r="F26" s="15">
        <v>32</v>
      </c>
      <c r="G26" s="15">
        <v>0</v>
      </c>
      <c r="H26" s="8">
        <v>0</v>
      </c>
      <c r="I26" s="8">
        <v>0</v>
      </c>
      <c r="J26" s="8">
        <v>16</v>
      </c>
      <c r="K26" s="8">
        <v>16</v>
      </c>
      <c r="L26" s="8">
        <v>0</v>
      </c>
      <c r="M26" s="8">
        <v>0</v>
      </c>
      <c r="N26" s="8"/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6"/>
      <c r="W26" s="9">
        <v>0</v>
      </c>
    </row>
    <row r="27" spans="1:23" ht="18.5" x14ac:dyDescent="0.4">
      <c r="A27" s="13" t="s">
        <v>68</v>
      </c>
      <c r="B27" s="13" t="s">
        <v>69</v>
      </c>
      <c r="C27" s="13" t="s">
        <v>70</v>
      </c>
      <c r="D27" s="14">
        <v>208</v>
      </c>
      <c r="E27" s="15">
        <v>146</v>
      </c>
      <c r="F27" s="15">
        <v>160</v>
      </c>
      <c r="G27" s="15">
        <v>108</v>
      </c>
      <c r="H27" s="8">
        <v>48</v>
      </c>
      <c r="I27" s="8">
        <v>32</v>
      </c>
      <c r="J27" s="8">
        <v>16</v>
      </c>
      <c r="K27" s="8">
        <v>16</v>
      </c>
      <c r="L27" s="8">
        <v>48</v>
      </c>
      <c r="M27" s="8">
        <v>0</v>
      </c>
      <c r="N27" s="8"/>
      <c r="O27" s="9">
        <v>48</v>
      </c>
      <c r="P27" s="9">
        <v>60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6"/>
      <c r="W27" s="9">
        <v>108</v>
      </c>
    </row>
    <row r="28" spans="1:23" ht="18.5" x14ac:dyDescent="0.4">
      <c r="A28" s="13" t="s">
        <v>71</v>
      </c>
      <c r="B28" s="13" t="s">
        <v>72</v>
      </c>
      <c r="C28" s="13" t="s">
        <v>73</v>
      </c>
      <c r="D28" s="14">
        <v>103</v>
      </c>
      <c r="E28" s="15">
        <v>51</v>
      </c>
      <c r="F28" s="15">
        <v>80</v>
      </c>
      <c r="G28" s="15">
        <v>44</v>
      </c>
      <c r="H28" s="8">
        <v>16</v>
      </c>
      <c r="I28" s="8">
        <v>16</v>
      </c>
      <c r="J28" s="8">
        <v>16</v>
      </c>
      <c r="K28" s="8">
        <v>16</v>
      </c>
      <c r="L28" s="8">
        <v>16</v>
      </c>
      <c r="M28" s="8">
        <v>0</v>
      </c>
      <c r="N28" s="8"/>
      <c r="O28" s="9">
        <v>12</v>
      </c>
      <c r="P28" s="9">
        <v>0</v>
      </c>
      <c r="Q28" s="9">
        <v>32</v>
      </c>
      <c r="R28" s="9">
        <v>0</v>
      </c>
      <c r="S28" s="9">
        <v>0</v>
      </c>
      <c r="T28" s="9">
        <v>0</v>
      </c>
      <c r="U28" s="9">
        <v>0</v>
      </c>
      <c r="V28" s="6"/>
      <c r="W28" s="9">
        <v>44</v>
      </c>
    </row>
    <row r="29" spans="1:23" ht="18.5" x14ac:dyDescent="0.4">
      <c r="A29" s="13" t="s">
        <v>74</v>
      </c>
      <c r="B29" s="13" t="s">
        <v>75</v>
      </c>
      <c r="C29" s="13" t="s">
        <v>76</v>
      </c>
      <c r="D29" s="14">
        <v>48</v>
      </c>
      <c r="E29" s="15">
        <v>29</v>
      </c>
      <c r="F29" s="15">
        <v>64</v>
      </c>
      <c r="G29" s="15">
        <v>32</v>
      </c>
      <c r="H29" s="8">
        <v>16</v>
      </c>
      <c r="I29" s="8">
        <v>16</v>
      </c>
      <c r="J29" s="8">
        <v>16</v>
      </c>
      <c r="K29" s="8">
        <v>16</v>
      </c>
      <c r="L29" s="8">
        <v>0</v>
      </c>
      <c r="M29" s="8">
        <v>0</v>
      </c>
      <c r="N29" s="8"/>
      <c r="O29" s="9">
        <v>16</v>
      </c>
      <c r="P29" s="9">
        <v>0</v>
      </c>
      <c r="Q29" s="9">
        <v>16</v>
      </c>
      <c r="R29" s="9">
        <v>0</v>
      </c>
      <c r="S29" s="9">
        <v>0</v>
      </c>
      <c r="T29" s="9">
        <v>0</v>
      </c>
      <c r="U29" s="9">
        <v>0</v>
      </c>
      <c r="V29" s="6"/>
      <c r="W29" s="9">
        <v>32</v>
      </c>
    </row>
  </sheetData>
  <protectedRanges>
    <protectedRange sqref="E13" name="Range1_5_1_1_2"/>
    <protectedRange sqref="E12" name="Range1_2_3_1_1_2"/>
    <protectedRange sqref="E7:E11 F26:G29 F7:G21" name="Range1_3_2_2"/>
  </protectedRanges>
  <mergeCells count="19">
    <mergeCell ref="D1:D2"/>
    <mergeCell ref="H1:M1"/>
    <mergeCell ref="O1:W1"/>
    <mergeCell ref="B2:C2"/>
    <mergeCell ref="A3:A6"/>
    <mergeCell ref="B3:B6"/>
    <mergeCell ref="C3:C6"/>
    <mergeCell ref="D3:D6"/>
    <mergeCell ref="F3:F6"/>
    <mergeCell ref="G3:G6"/>
    <mergeCell ref="G22:G24"/>
    <mergeCell ref="H22:M22"/>
    <mergeCell ref="O22:W22"/>
    <mergeCell ref="A22:A24"/>
    <mergeCell ref="B22:B24"/>
    <mergeCell ref="C22:C24"/>
    <mergeCell ref="D22:D24"/>
    <mergeCell ref="E22:E24"/>
    <mergeCell ref="F22:F24"/>
  </mergeCells>
  <pageMargins left="0.70866141732283472" right="0.70866141732283472" top="0.74803149606299213" bottom="0.74803149606299213" header="0.31496062992125984" footer="0.31496062992125984"/>
  <pageSetup scale="72" orientation="landscape" horizontalDpi="200" verticalDpi="200" r:id="rId1"/>
  <headerFooter>
    <oddFooter>&amp;L_x000D_&amp;1#&amp;"Calibri Light"&amp;8&amp;K000000 Classified as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23B7-8179-4FB7-A4F5-F12479D6C69F}">
  <dimension ref="A1:AJ49"/>
  <sheetViews>
    <sheetView showZeros="0" zoomScale="70" zoomScaleNormal="70" workbookViewId="0">
      <pane xSplit="12" ySplit="6" topLeftCell="O27" activePane="bottomRight" state="frozen"/>
      <selection activeCell="G18" sqref="G18"/>
      <selection pane="topRight" activeCell="G18" sqref="G18"/>
      <selection pane="bottomLeft" activeCell="G18" sqref="G18"/>
      <selection pane="bottomRight" sqref="A1:XFD1048576"/>
    </sheetView>
  </sheetViews>
  <sheetFormatPr defaultRowHeight="14.5" x14ac:dyDescent="0.35"/>
  <cols>
    <col min="1" max="1" width="15.453125" bestFit="1" customWidth="1"/>
    <col min="2" max="2" width="17.1796875" bestFit="1" customWidth="1"/>
    <col min="3" max="3" width="13.54296875" bestFit="1" customWidth="1"/>
    <col min="4" max="4" width="13.54296875" style="24" customWidth="1"/>
    <col min="5" max="5" width="14" customWidth="1"/>
    <col min="6" max="6" width="12.7265625" bestFit="1" customWidth="1"/>
    <col min="7" max="7" width="6.81640625" customWidth="1"/>
    <col min="8" max="8" width="14.08984375" customWidth="1"/>
    <col min="9" max="11" width="13" customWidth="1"/>
    <col min="12" max="12" width="13.36328125" customWidth="1"/>
    <col min="13" max="18" width="6.453125" bestFit="1" customWidth="1"/>
    <col min="19" max="19" width="5.6328125" customWidth="1"/>
    <col min="20" max="22" width="6.453125" bestFit="1" customWidth="1"/>
    <col min="23" max="25" width="6.453125" customWidth="1"/>
    <col min="26" max="27" width="6.453125" bestFit="1" customWidth="1"/>
    <col min="28" max="29" width="5.7265625" customWidth="1"/>
    <col min="30" max="30" width="10" bestFit="1" customWidth="1"/>
    <col min="31" max="36" width="5.7265625" customWidth="1"/>
  </cols>
  <sheetData>
    <row r="1" spans="1:36" ht="18.5" x14ac:dyDescent="0.45">
      <c r="F1" s="2">
        <v>45906</v>
      </c>
      <c r="M1" s="54" t="s">
        <v>0</v>
      </c>
      <c r="N1" s="54"/>
      <c r="O1" s="54"/>
      <c r="P1" s="54"/>
      <c r="Q1" s="54"/>
      <c r="R1" s="54"/>
      <c r="S1" s="54"/>
      <c r="T1" s="55" t="s">
        <v>1</v>
      </c>
      <c r="U1" s="56"/>
      <c r="V1" s="56"/>
      <c r="W1" s="56"/>
      <c r="X1" s="56"/>
      <c r="Y1" s="56"/>
      <c r="Z1" s="56"/>
      <c r="AA1" s="56"/>
      <c r="AB1" s="56"/>
      <c r="AC1" s="56"/>
      <c r="AD1" s="56"/>
      <c r="AE1" s="55" t="s">
        <v>77</v>
      </c>
      <c r="AF1" s="56"/>
      <c r="AG1" s="56"/>
      <c r="AH1" s="56"/>
      <c r="AI1" s="56"/>
      <c r="AJ1" s="56"/>
    </row>
    <row r="2" spans="1:36" x14ac:dyDescent="0.35">
      <c r="B2" s="57"/>
      <c r="C2" s="58"/>
      <c r="L2" s="25"/>
      <c r="M2" s="26" t="s">
        <v>2</v>
      </c>
      <c r="N2" s="26" t="s">
        <v>3</v>
      </c>
      <c r="O2" s="26" t="s">
        <v>4</v>
      </c>
      <c r="P2" s="26" t="s">
        <v>5</v>
      </c>
      <c r="Q2" s="26" t="s">
        <v>6</v>
      </c>
      <c r="R2" s="26" t="s">
        <v>7</v>
      </c>
      <c r="S2" s="26"/>
      <c r="T2" s="27" t="s">
        <v>2</v>
      </c>
      <c r="U2" s="27" t="s">
        <v>3</v>
      </c>
      <c r="V2" s="27" t="s">
        <v>4</v>
      </c>
      <c r="W2" s="27" t="s">
        <v>5</v>
      </c>
      <c r="X2" s="27" t="s">
        <v>6</v>
      </c>
      <c r="Y2" s="27" t="s">
        <v>7</v>
      </c>
      <c r="Z2" s="27" t="s">
        <v>8</v>
      </c>
      <c r="AA2" s="27" t="s">
        <v>9</v>
      </c>
      <c r="AB2" s="27" t="s">
        <v>78</v>
      </c>
      <c r="AC2" s="27"/>
      <c r="AD2" s="27" t="s">
        <v>79</v>
      </c>
      <c r="AE2" s="27" t="s">
        <v>2</v>
      </c>
      <c r="AF2" s="27" t="s">
        <v>3</v>
      </c>
      <c r="AG2" s="27" t="s">
        <v>4</v>
      </c>
      <c r="AH2" s="27" t="s">
        <v>5</v>
      </c>
      <c r="AI2" s="27" t="s">
        <v>6</v>
      </c>
      <c r="AJ2" s="27" t="s">
        <v>7</v>
      </c>
    </row>
    <row r="3" spans="1:36" x14ac:dyDescent="0.35">
      <c r="A3" s="49" t="s">
        <v>10</v>
      </c>
      <c r="B3" s="50" t="s">
        <v>11</v>
      </c>
      <c r="C3" s="50" t="s">
        <v>12</v>
      </c>
      <c r="D3" s="50" t="s">
        <v>80</v>
      </c>
      <c r="E3" s="59" t="s">
        <v>13</v>
      </c>
      <c r="F3" s="49" t="s">
        <v>81</v>
      </c>
      <c r="G3" s="49" t="s">
        <v>82</v>
      </c>
      <c r="H3" s="49" t="s">
        <v>83</v>
      </c>
      <c r="I3" s="51" t="s">
        <v>84</v>
      </c>
      <c r="J3" s="49" t="s">
        <v>122</v>
      </c>
      <c r="K3" s="49" t="s">
        <v>123</v>
      </c>
      <c r="L3" s="46" t="s">
        <v>85</v>
      </c>
      <c r="M3" s="22">
        <v>6</v>
      </c>
      <c r="N3" s="22">
        <v>6</v>
      </c>
      <c r="O3" s="22">
        <v>6</v>
      </c>
      <c r="P3" s="22">
        <v>6</v>
      </c>
      <c r="Q3" s="22">
        <v>6</v>
      </c>
      <c r="R3" s="22">
        <v>6</v>
      </c>
      <c r="S3" s="22">
        <v>36</v>
      </c>
      <c r="T3" s="28">
        <v>6</v>
      </c>
      <c r="U3" s="28">
        <v>3</v>
      </c>
      <c r="V3" s="28">
        <v>5</v>
      </c>
      <c r="W3" s="28">
        <v>4</v>
      </c>
      <c r="X3" s="28">
        <v>5</v>
      </c>
      <c r="Y3" s="28">
        <v>5</v>
      </c>
      <c r="Z3" s="28"/>
      <c r="AA3" s="28"/>
      <c r="AB3" s="28"/>
      <c r="AC3" s="28">
        <v>28</v>
      </c>
      <c r="AD3" s="28"/>
      <c r="AE3" s="28">
        <v>0</v>
      </c>
      <c r="AF3" s="28">
        <v>-3</v>
      </c>
      <c r="AG3" s="28">
        <v>-4</v>
      </c>
      <c r="AH3" s="28">
        <v>4</v>
      </c>
      <c r="AI3" s="28">
        <v>-2</v>
      </c>
      <c r="AJ3" s="28">
        <v>-8</v>
      </c>
    </row>
    <row r="4" spans="1:36" x14ac:dyDescent="0.35">
      <c r="A4" s="49"/>
      <c r="B4" s="50"/>
      <c r="C4" s="50"/>
      <c r="D4" s="50"/>
      <c r="E4" s="59"/>
      <c r="F4" s="49"/>
      <c r="G4" s="50"/>
      <c r="H4" s="50"/>
      <c r="I4" s="52"/>
      <c r="J4" s="49"/>
      <c r="K4" s="49"/>
      <c r="L4" s="46" t="s">
        <v>14</v>
      </c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 t="s">
        <v>16</v>
      </c>
      <c r="AE4" s="27"/>
      <c r="AF4" s="27"/>
      <c r="AG4" s="27"/>
      <c r="AH4" s="27"/>
      <c r="AI4" s="27"/>
      <c r="AJ4" s="27"/>
    </row>
    <row r="5" spans="1:36" x14ac:dyDescent="0.35">
      <c r="A5" s="49"/>
      <c r="B5" s="50"/>
      <c r="C5" s="50"/>
      <c r="D5" s="50"/>
      <c r="E5" s="59"/>
      <c r="F5" s="49"/>
      <c r="G5" s="50"/>
      <c r="H5" s="50"/>
      <c r="I5" s="52"/>
      <c r="J5" s="49"/>
      <c r="K5" s="49"/>
      <c r="L5" s="46"/>
      <c r="M5" s="26"/>
      <c r="N5" s="26"/>
      <c r="O5" s="26"/>
      <c r="P5" s="26"/>
      <c r="Q5" s="26"/>
      <c r="R5" s="26"/>
      <c r="S5" s="26"/>
      <c r="T5" s="29"/>
      <c r="U5" s="27"/>
      <c r="V5" s="27"/>
      <c r="W5" s="27"/>
      <c r="X5" s="27"/>
      <c r="Y5" s="27"/>
      <c r="Z5" s="27"/>
      <c r="AA5" s="27"/>
      <c r="AB5" s="27"/>
      <c r="AC5" s="27"/>
      <c r="AD5" s="30" t="s">
        <v>86</v>
      </c>
      <c r="AE5" s="27"/>
      <c r="AF5" s="27"/>
      <c r="AG5" s="27"/>
      <c r="AH5" s="27"/>
      <c r="AI5" s="27"/>
      <c r="AJ5" s="27"/>
    </row>
    <row r="6" spans="1:36" ht="16" x14ac:dyDescent="0.35">
      <c r="A6" s="49"/>
      <c r="B6" s="50"/>
      <c r="C6" s="50"/>
      <c r="D6" s="50"/>
      <c r="E6" s="59"/>
      <c r="F6" s="49"/>
      <c r="G6" s="50"/>
      <c r="H6" s="50"/>
      <c r="I6" s="53"/>
      <c r="J6" s="49"/>
      <c r="K6" s="49"/>
      <c r="L6" s="46" t="s">
        <v>87</v>
      </c>
      <c r="M6" s="10">
        <v>0.27083333333333331</v>
      </c>
      <c r="N6" s="10">
        <v>0.375</v>
      </c>
      <c r="O6" s="10">
        <v>0.5</v>
      </c>
      <c r="P6" s="10">
        <v>0.625</v>
      </c>
      <c r="Q6" s="10">
        <v>0.75</v>
      </c>
      <c r="R6" s="10">
        <v>0.875</v>
      </c>
      <c r="S6" s="10"/>
      <c r="T6" s="11">
        <v>0.3888888888888889</v>
      </c>
      <c r="U6" s="11">
        <v>0.3888888888888889</v>
      </c>
      <c r="V6" s="11">
        <v>0.4236111111111111</v>
      </c>
      <c r="W6" s="11">
        <v>0.5625</v>
      </c>
      <c r="X6" s="11">
        <v>0.70833333333333337</v>
      </c>
      <c r="Y6" s="11">
        <v>0.82986111111111116</v>
      </c>
      <c r="Z6" s="11"/>
      <c r="AA6" s="11"/>
      <c r="AB6" s="11"/>
      <c r="AC6" s="27"/>
      <c r="AD6" s="31" t="s">
        <v>88</v>
      </c>
      <c r="AE6" s="31">
        <v>0.27083333333333331</v>
      </c>
      <c r="AF6" s="31">
        <v>0.29166666666666669</v>
      </c>
      <c r="AG6" s="31">
        <v>0.40625</v>
      </c>
      <c r="AH6" s="31">
        <v>0.46875</v>
      </c>
      <c r="AI6" s="31">
        <v>0.61458333333333337</v>
      </c>
      <c r="AJ6" s="31"/>
    </row>
    <row r="7" spans="1:36" ht="21" x14ac:dyDescent="0.35">
      <c r="A7" s="32" t="s">
        <v>18</v>
      </c>
      <c r="B7" s="32" t="s">
        <v>19</v>
      </c>
      <c r="C7" s="32" t="s">
        <v>20</v>
      </c>
      <c r="D7" s="33">
        <v>184</v>
      </c>
      <c r="E7" s="48">
        <v>44</v>
      </c>
      <c r="F7" s="15">
        <v>77</v>
      </c>
      <c r="G7" s="33"/>
      <c r="H7" s="33">
        <v>151</v>
      </c>
      <c r="I7" s="33">
        <v>55</v>
      </c>
      <c r="J7" s="33">
        <v>96</v>
      </c>
      <c r="K7" s="33">
        <v>0</v>
      </c>
      <c r="L7" s="34"/>
      <c r="M7" s="8"/>
      <c r="N7" s="8"/>
      <c r="O7" s="8">
        <v>96</v>
      </c>
      <c r="P7" s="8"/>
      <c r="Q7" s="8"/>
      <c r="R7" s="8"/>
      <c r="S7" s="8"/>
      <c r="T7" s="9"/>
      <c r="U7" s="9"/>
      <c r="V7" s="9"/>
      <c r="W7" s="9"/>
      <c r="X7" s="9"/>
      <c r="Y7" s="9"/>
      <c r="Z7" s="9"/>
      <c r="AA7" s="9"/>
      <c r="AB7" s="9"/>
      <c r="AC7" s="28"/>
      <c r="AD7" s="28">
        <v>0</v>
      </c>
      <c r="AE7" s="28">
        <v>0</v>
      </c>
      <c r="AF7" s="28">
        <v>0</v>
      </c>
      <c r="AG7" s="28">
        <v>-96</v>
      </c>
      <c r="AH7" s="28">
        <v>-96</v>
      </c>
      <c r="AI7" s="28">
        <v>-96</v>
      </c>
      <c r="AJ7" s="28">
        <v>-96</v>
      </c>
    </row>
    <row r="8" spans="1:36" ht="21" x14ac:dyDescent="0.35">
      <c r="A8" s="32" t="s">
        <v>21</v>
      </c>
      <c r="B8" s="32" t="s">
        <v>22</v>
      </c>
      <c r="C8" s="32" t="s">
        <v>23</v>
      </c>
      <c r="D8" s="33">
        <v>199</v>
      </c>
      <c r="E8" s="48">
        <v>294</v>
      </c>
      <c r="F8" s="15">
        <v>120</v>
      </c>
      <c r="G8" s="33"/>
      <c r="H8" s="33">
        <v>373</v>
      </c>
      <c r="I8" s="33">
        <v>0</v>
      </c>
      <c r="J8" s="33">
        <v>384</v>
      </c>
      <c r="K8" s="33">
        <v>288</v>
      </c>
      <c r="L8" s="34"/>
      <c r="M8" s="8"/>
      <c r="N8" s="8">
        <v>192</v>
      </c>
      <c r="O8" s="8">
        <v>96</v>
      </c>
      <c r="P8" s="8">
        <v>96</v>
      </c>
      <c r="Q8" s="8"/>
      <c r="R8" s="8"/>
      <c r="S8" s="8"/>
      <c r="T8" s="9"/>
      <c r="U8" s="9"/>
      <c r="V8" s="9">
        <v>192</v>
      </c>
      <c r="W8" s="9">
        <v>96</v>
      </c>
      <c r="X8" s="9"/>
      <c r="Y8" s="9"/>
      <c r="Z8" s="9"/>
      <c r="AA8" s="9"/>
      <c r="AB8" s="9"/>
      <c r="AC8" s="28"/>
      <c r="AD8" s="28">
        <v>288</v>
      </c>
      <c r="AE8" s="28">
        <v>0</v>
      </c>
      <c r="AF8" s="28">
        <v>-192</v>
      </c>
      <c r="AG8" s="28">
        <v>-96</v>
      </c>
      <c r="AH8" s="28">
        <v>-96</v>
      </c>
      <c r="AI8" s="28">
        <v>-96</v>
      </c>
      <c r="AJ8" s="28">
        <v>-96</v>
      </c>
    </row>
    <row r="9" spans="1:36" ht="21" x14ac:dyDescent="0.35">
      <c r="A9" s="32" t="s">
        <v>24</v>
      </c>
      <c r="B9" s="32" t="s">
        <v>25</v>
      </c>
      <c r="C9" s="32" t="s">
        <v>26</v>
      </c>
      <c r="D9" s="33">
        <v>168</v>
      </c>
      <c r="E9" s="48">
        <v>30</v>
      </c>
      <c r="F9" s="15">
        <v>100</v>
      </c>
      <c r="G9" s="33"/>
      <c r="H9" s="33">
        <v>98</v>
      </c>
      <c r="I9" s="33">
        <v>2</v>
      </c>
      <c r="J9" s="33">
        <v>96</v>
      </c>
      <c r="K9" s="33">
        <v>96</v>
      </c>
      <c r="L9" s="34"/>
      <c r="M9" s="8"/>
      <c r="N9" s="8"/>
      <c r="O9" s="8"/>
      <c r="P9" s="8">
        <v>96</v>
      </c>
      <c r="Q9" s="8"/>
      <c r="R9" s="8"/>
      <c r="S9" s="8"/>
      <c r="T9" s="9"/>
      <c r="U9" s="9"/>
      <c r="V9" s="9"/>
      <c r="W9" s="9"/>
      <c r="X9" s="9"/>
      <c r="Y9" s="9">
        <v>96</v>
      </c>
      <c r="Z9" s="9"/>
      <c r="AA9" s="9"/>
      <c r="AB9" s="9"/>
      <c r="AC9" s="28"/>
      <c r="AD9" s="28">
        <v>96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</row>
    <row r="10" spans="1:36" ht="21" x14ac:dyDescent="0.35">
      <c r="A10" s="35" t="s">
        <v>27</v>
      </c>
      <c r="B10" s="32" t="s">
        <v>28</v>
      </c>
      <c r="C10" s="32" t="s">
        <v>29</v>
      </c>
      <c r="D10" s="33">
        <v>200</v>
      </c>
      <c r="E10" s="48">
        <v>12</v>
      </c>
      <c r="F10" s="15">
        <v>200</v>
      </c>
      <c r="G10" s="33"/>
      <c r="H10" s="33">
        <v>12</v>
      </c>
      <c r="I10" s="33">
        <v>12</v>
      </c>
      <c r="J10" s="33">
        <v>0</v>
      </c>
      <c r="K10" s="33">
        <v>0</v>
      </c>
      <c r="L10" s="34"/>
      <c r="M10" s="8"/>
      <c r="N10" s="8"/>
      <c r="O10" s="8"/>
      <c r="P10" s="8"/>
      <c r="Q10" s="8"/>
      <c r="R10" s="8"/>
      <c r="S10" s="8"/>
      <c r="T10" s="9"/>
      <c r="U10" s="9"/>
      <c r="V10" s="9"/>
      <c r="W10" s="9"/>
      <c r="X10" s="9"/>
      <c r="Y10" s="9"/>
      <c r="Z10" s="9"/>
      <c r="AA10" s="9"/>
      <c r="AB10" s="9"/>
      <c r="AC10" s="28"/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</row>
    <row r="11" spans="1:36" ht="21" x14ac:dyDescent="0.35">
      <c r="A11" s="32" t="s">
        <v>30</v>
      </c>
      <c r="B11" s="32" t="s">
        <v>31</v>
      </c>
      <c r="C11" s="32" t="s">
        <v>32</v>
      </c>
      <c r="D11" s="33">
        <v>260</v>
      </c>
      <c r="E11" s="48">
        <v>200</v>
      </c>
      <c r="F11" s="15">
        <v>130</v>
      </c>
      <c r="G11" s="33"/>
      <c r="H11" s="33">
        <v>330</v>
      </c>
      <c r="I11" s="33">
        <v>0</v>
      </c>
      <c r="J11" s="33">
        <v>390</v>
      </c>
      <c r="K11" s="33">
        <v>260</v>
      </c>
      <c r="L11" s="34"/>
      <c r="M11" s="8"/>
      <c r="N11" s="8">
        <v>260</v>
      </c>
      <c r="O11" s="8"/>
      <c r="P11" s="8">
        <v>130</v>
      </c>
      <c r="Q11" s="8"/>
      <c r="R11" s="8"/>
      <c r="S11" s="8"/>
      <c r="T11" s="9"/>
      <c r="U11" s="9"/>
      <c r="V11" s="9">
        <v>260</v>
      </c>
      <c r="W11" s="9"/>
      <c r="X11" s="9"/>
      <c r="Y11" s="9"/>
      <c r="Z11" s="9"/>
      <c r="AA11" s="9"/>
      <c r="AB11" s="9"/>
      <c r="AC11" s="28"/>
      <c r="AD11" s="28">
        <v>260</v>
      </c>
      <c r="AE11" s="28">
        <v>0</v>
      </c>
      <c r="AF11" s="28">
        <v>-260</v>
      </c>
      <c r="AG11" s="28">
        <v>0</v>
      </c>
      <c r="AH11" s="28">
        <v>-130</v>
      </c>
      <c r="AI11" s="28">
        <v>-130</v>
      </c>
      <c r="AJ11" s="28">
        <v>-130</v>
      </c>
    </row>
    <row r="12" spans="1:36" ht="21" x14ac:dyDescent="0.35">
      <c r="A12" s="32" t="s">
        <v>33</v>
      </c>
      <c r="B12" s="32" t="s">
        <v>34</v>
      </c>
      <c r="C12" s="32" t="s">
        <v>35</v>
      </c>
      <c r="D12" s="33">
        <v>140</v>
      </c>
      <c r="E12" s="48">
        <v>40</v>
      </c>
      <c r="F12" s="15">
        <v>150</v>
      </c>
      <c r="G12" s="33"/>
      <c r="H12" s="33">
        <v>30</v>
      </c>
      <c r="I12" s="33">
        <v>30</v>
      </c>
      <c r="J12" s="33">
        <v>0</v>
      </c>
      <c r="K12" s="33">
        <v>0</v>
      </c>
      <c r="L12" s="34"/>
      <c r="M12" s="8"/>
      <c r="N12" s="8"/>
      <c r="O12" s="8"/>
      <c r="P12" s="8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28"/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</row>
    <row r="13" spans="1:36" ht="21" x14ac:dyDescent="0.35">
      <c r="A13" s="32" t="s">
        <v>36</v>
      </c>
      <c r="B13" s="32" t="s">
        <v>37</v>
      </c>
      <c r="C13" s="32">
        <v>630131090</v>
      </c>
      <c r="D13" s="33">
        <v>140</v>
      </c>
      <c r="E13" s="48">
        <v>30</v>
      </c>
      <c r="F13" s="15">
        <v>60</v>
      </c>
      <c r="G13" s="33"/>
      <c r="H13" s="33">
        <v>110</v>
      </c>
      <c r="I13" s="33">
        <v>0</v>
      </c>
      <c r="J13" s="33">
        <v>140</v>
      </c>
      <c r="K13" s="33">
        <v>0</v>
      </c>
      <c r="L13" s="34"/>
      <c r="M13" s="8"/>
      <c r="N13" s="8"/>
      <c r="O13" s="8">
        <v>140</v>
      </c>
      <c r="P13" s="8"/>
      <c r="Q13" s="8"/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28"/>
      <c r="AD13" s="28">
        <v>0</v>
      </c>
      <c r="AE13" s="28">
        <v>0</v>
      </c>
      <c r="AF13" s="28">
        <v>0</v>
      </c>
      <c r="AG13" s="28">
        <v>-140</v>
      </c>
      <c r="AH13" s="28">
        <v>-140</v>
      </c>
      <c r="AI13" s="28">
        <v>-140</v>
      </c>
      <c r="AJ13" s="28">
        <v>-140</v>
      </c>
    </row>
    <row r="14" spans="1:36" ht="21" x14ac:dyDescent="0.35">
      <c r="A14" s="32" t="s">
        <v>38</v>
      </c>
      <c r="B14" s="32" t="s">
        <v>39</v>
      </c>
      <c r="C14" s="32" t="s">
        <v>40</v>
      </c>
      <c r="D14" s="33">
        <v>42</v>
      </c>
      <c r="E14" s="48">
        <v>18</v>
      </c>
      <c r="F14" s="15">
        <v>48</v>
      </c>
      <c r="G14" s="33"/>
      <c r="H14" s="33">
        <v>12</v>
      </c>
      <c r="I14" s="33">
        <v>0</v>
      </c>
      <c r="J14" s="33">
        <v>42</v>
      </c>
      <c r="K14" s="33">
        <v>28</v>
      </c>
      <c r="L14" s="34"/>
      <c r="M14" s="8"/>
      <c r="N14" s="8">
        <v>14</v>
      </c>
      <c r="O14" s="8"/>
      <c r="P14" s="8"/>
      <c r="Q14" s="8">
        <v>14</v>
      </c>
      <c r="R14" s="8">
        <v>14</v>
      </c>
      <c r="S14" s="8"/>
      <c r="T14" s="9"/>
      <c r="U14" s="9"/>
      <c r="V14" s="9"/>
      <c r="W14" s="9">
        <v>14</v>
      </c>
      <c r="X14" s="9"/>
      <c r="Y14" s="9">
        <v>14</v>
      </c>
      <c r="Z14" s="9"/>
      <c r="AA14" s="9"/>
      <c r="AB14" s="9"/>
      <c r="AC14" s="28"/>
      <c r="AD14" s="28">
        <v>28</v>
      </c>
      <c r="AE14" s="28">
        <v>0</v>
      </c>
      <c r="AF14" s="28">
        <v>-14</v>
      </c>
      <c r="AG14" s="28">
        <v>-14</v>
      </c>
      <c r="AH14" s="28">
        <v>14</v>
      </c>
      <c r="AI14" s="28">
        <v>0</v>
      </c>
      <c r="AJ14" s="28">
        <v>-14</v>
      </c>
    </row>
    <row r="15" spans="1:36" ht="21" x14ac:dyDescent="0.35">
      <c r="A15" s="32" t="s">
        <v>41</v>
      </c>
      <c r="B15" s="32" t="s">
        <v>42</v>
      </c>
      <c r="C15" s="32" t="s">
        <v>43</v>
      </c>
      <c r="D15" s="33">
        <v>28</v>
      </c>
      <c r="E15" s="48">
        <v>0</v>
      </c>
      <c r="F15" s="15">
        <v>32</v>
      </c>
      <c r="G15" s="33"/>
      <c r="H15" s="33">
        <v>0</v>
      </c>
      <c r="I15" s="33">
        <v>0</v>
      </c>
      <c r="J15" s="33">
        <v>0</v>
      </c>
      <c r="K15" s="33">
        <v>0</v>
      </c>
      <c r="L15" s="34"/>
      <c r="M15" s="8"/>
      <c r="N15" s="8"/>
      <c r="O15" s="8"/>
      <c r="P15" s="8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28"/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</row>
    <row r="16" spans="1:36" ht="21" x14ac:dyDescent="0.35">
      <c r="A16" s="32" t="s">
        <v>44</v>
      </c>
      <c r="B16" s="32" t="s">
        <v>45</v>
      </c>
      <c r="C16" s="32" t="s">
        <v>46</v>
      </c>
      <c r="D16" s="33">
        <v>84</v>
      </c>
      <c r="E16" s="48">
        <v>299</v>
      </c>
      <c r="F16" s="15">
        <v>78</v>
      </c>
      <c r="G16" s="33"/>
      <c r="H16" s="33">
        <v>305</v>
      </c>
      <c r="I16" s="33">
        <v>0</v>
      </c>
      <c r="J16" s="33">
        <v>378</v>
      </c>
      <c r="K16" s="33">
        <v>266</v>
      </c>
      <c r="L16" s="34"/>
      <c r="M16" s="8">
        <v>84</v>
      </c>
      <c r="N16" s="8">
        <v>56</v>
      </c>
      <c r="O16" s="8">
        <v>56</v>
      </c>
      <c r="P16" s="8">
        <v>56</v>
      </c>
      <c r="Q16" s="8">
        <v>56</v>
      </c>
      <c r="R16" s="8">
        <v>70</v>
      </c>
      <c r="S16" s="8"/>
      <c r="T16" s="9">
        <v>56</v>
      </c>
      <c r="U16" s="9">
        <v>56</v>
      </c>
      <c r="V16" s="9">
        <v>42</v>
      </c>
      <c r="W16" s="9">
        <v>28</v>
      </c>
      <c r="X16" s="9">
        <v>42</v>
      </c>
      <c r="Y16" s="9">
        <v>42</v>
      </c>
      <c r="Z16" s="9"/>
      <c r="AA16" s="9"/>
      <c r="AB16" s="9"/>
      <c r="AC16" s="28"/>
      <c r="AD16" s="28">
        <v>266</v>
      </c>
      <c r="AE16" s="28">
        <v>-28</v>
      </c>
      <c r="AF16" s="28">
        <v>-28</v>
      </c>
      <c r="AG16" s="28">
        <v>-42</v>
      </c>
      <c r="AH16" s="28">
        <v>14</v>
      </c>
      <c r="AI16" s="28">
        <v>-42</v>
      </c>
      <c r="AJ16" s="28">
        <v>-112</v>
      </c>
    </row>
    <row r="17" spans="1:36" ht="21" x14ac:dyDescent="0.35">
      <c r="A17" s="32" t="s">
        <v>47</v>
      </c>
      <c r="B17" s="32" t="s">
        <v>48</v>
      </c>
      <c r="C17" s="32" t="s">
        <v>49</v>
      </c>
      <c r="D17" s="33">
        <v>28</v>
      </c>
      <c r="E17" s="48">
        <v>23</v>
      </c>
      <c r="F17" s="15">
        <v>42</v>
      </c>
      <c r="G17" s="33"/>
      <c r="H17" s="33">
        <v>9</v>
      </c>
      <c r="I17" s="33">
        <v>0</v>
      </c>
      <c r="J17" s="33">
        <v>28</v>
      </c>
      <c r="K17" s="33">
        <v>28</v>
      </c>
      <c r="L17" s="34"/>
      <c r="M17" s="8"/>
      <c r="N17" s="8">
        <v>14</v>
      </c>
      <c r="O17" s="8"/>
      <c r="P17" s="8"/>
      <c r="Q17" s="8">
        <v>14</v>
      </c>
      <c r="R17" s="8"/>
      <c r="S17" s="8"/>
      <c r="T17" s="9"/>
      <c r="U17" s="9"/>
      <c r="V17" s="9"/>
      <c r="W17" s="9">
        <v>14</v>
      </c>
      <c r="X17" s="9">
        <v>14</v>
      </c>
      <c r="Y17" s="9"/>
      <c r="Z17" s="9"/>
      <c r="AA17" s="9"/>
      <c r="AB17" s="9"/>
      <c r="AC17" s="28"/>
      <c r="AD17" s="28">
        <v>28</v>
      </c>
      <c r="AE17" s="28">
        <v>0</v>
      </c>
      <c r="AF17" s="28">
        <v>-14</v>
      </c>
      <c r="AG17" s="28">
        <v>-14</v>
      </c>
      <c r="AH17" s="28">
        <v>14</v>
      </c>
      <c r="AI17" s="28">
        <v>0</v>
      </c>
      <c r="AJ17" s="28">
        <v>0</v>
      </c>
    </row>
    <row r="18" spans="1:36" ht="21" x14ac:dyDescent="0.35">
      <c r="A18" s="32" t="s">
        <v>50</v>
      </c>
      <c r="B18" s="32" t="s">
        <v>51</v>
      </c>
      <c r="C18" s="32" t="s">
        <v>52</v>
      </c>
      <c r="D18" s="33">
        <v>0</v>
      </c>
      <c r="E18" s="48">
        <v>0</v>
      </c>
      <c r="F18" s="15">
        <v>0</v>
      </c>
      <c r="G18" s="33"/>
      <c r="H18" s="33">
        <v>0</v>
      </c>
      <c r="I18" s="33">
        <v>0</v>
      </c>
      <c r="J18" s="33">
        <v>0</v>
      </c>
      <c r="K18" s="33">
        <v>0</v>
      </c>
      <c r="L18" s="34"/>
      <c r="M18" s="8"/>
      <c r="N18" s="8"/>
      <c r="O18" s="8"/>
      <c r="P18" s="8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28"/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</row>
    <row r="19" spans="1:36" ht="21" x14ac:dyDescent="0.35">
      <c r="A19" s="32" t="s">
        <v>53</v>
      </c>
      <c r="B19" s="32" t="s">
        <v>54</v>
      </c>
      <c r="C19" s="32" t="s">
        <v>55</v>
      </c>
      <c r="D19" s="33">
        <v>28</v>
      </c>
      <c r="E19" s="48">
        <v>0</v>
      </c>
      <c r="F19" s="15">
        <v>11</v>
      </c>
      <c r="G19" s="33"/>
      <c r="H19" s="33">
        <v>17</v>
      </c>
      <c r="I19" s="33">
        <v>3</v>
      </c>
      <c r="J19" s="33">
        <v>14</v>
      </c>
      <c r="K19" s="33">
        <v>14</v>
      </c>
      <c r="L19" s="34"/>
      <c r="M19" s="8"/>
      <c r="N19" s="8"/>
      <c r="O19" s="8">
        <v>14</v>
      </c>
      <c r="P19" s="8"/>
      <c r="Q19" s="8"/>
      <c r="R19" s="8"/>
      <c r="S19" s="8"/>
      <c r="T19" s="9"/>
      <c r="U19" s="9"/>
      <c r="V19" s="9"/>
      <c r="W19" s="9">
        <v>14</v>
      </c>
      <c r="X19" s="9"/>
      <c r="Y19" s="9"/>
      <c r="Z19" s="9"/>
      <c r="AA19" s="9"/>
      <c r="AB19" s="9"/>
      <c r="AC19" s="28"/>
      <c r="AD19" s="28">
        <v>14</v>
      </c>
      <c r="AE19" s="28">
        <v>0</v>
      </c>
      <c r="AF19" s="28">
        <v>0</v>
      </c>
      <c r="AG19" s="28">
        <v>-14</v>
      </c>
      <c r="AH19" s="28">
        <v>0</v>
      </c>
      <c r="AI19" s="28">
        <v>0</v>
      </c>
      <c r="AJ19" s="28">
        <v>0</v>
      </c>
    </row>
    <row r="20" spans="1:36" ht="21" x14ac:dyDescent="0.35">
      <c r="A20" s="32" t="s">
        <v>56</v>
      </c>
      <c r="B20" s="32" t="s">
        <v>57</v>
      </c>
      <c r="C20" s="32" t="s">
        <v>58</v>
      </c>
      <c r="D20" s="33">
        <v>28</v>
      </c>
      <c r="E20" s="48">
        <v>10</v>
      </c>
      <c r="F20" s="15">
        <v>30</v>
      </c>
      <c r="G20" s="33"/>
      <c r="H20" s="33">
        <v>8</v>
      </c>
      <c r="I20" s="33">
        <v>0</v>
      </c>
      <c r="J20" s="33">
        <v>14</v>
      </c>
      <c r="K20" s="33">
        <v>14</v>
      </c>
      <c r="L20" s="34"/>
      <c r="M20" s="8"/>
      <c r="N20" s="8"/>
      <c r="O20" s="8"/>
      <c r="P20" s="8">
        <v>14</v>
      </c>
      <c r="Q20" s="8"/>
      <c r="R20" s="8"/>
      <c r="S20" s="8"/>
      <c r="T20" s="9"/>
      <c r="U20" s="9"/>
      <c r="V20" s="9"/>
      <c r="W20" s="9"/>
      <c r="X20" s="9">
        <v>14</v>
      </c>
      <c r="Y20" s="9"/>
      <c r="Z20" s="9"/>
      <c r="AA20" s="9"/>
      <c r="AB20" s="9"/>
      <c r="AC20" s="28"/>
      <c r="AD20" s="28">
        <v>14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</row>
    <row r="21" spans="1:36" ht="21" x14ac:dyDescent="0.35">
      <c r="A21" s="32" t="s">
        <v>59</v>
      </c>
      <c r="B21" s="32" t="s">
        <v>60</v>
      </c>
      <c r="C21" s="32" t="s">
        <v>61</v>
      </c>
      <c r="D21" s="33">
        <v>28</v>
      </c>
      <c r="E21" s="48">
        <v>9</v>
      </c>
      <c r="F21" s="15">
        <v>16</v>
      </c>
      <c r="G21" s="33"/>
      <c r="H21" s="33">
        <v>21</v>
      </c>
      <c r="I21" s="33">
        <v>7</v>
      </c>
      <c r="J21" s="33">
        <v>14</v>
      </c>
      <c r="K21" s="33">
        <v>28</v>
      </c>
      <c r="L21" s="34"/>
      <c r="M21" s="8"/>
      <c r="N21" s="8"/>
      <c r="O21" s="8"/>
      <c r="P21" s="8">
        <v>14</v>
      </c>
      <c r="Q21" s="8"/>
      <c r="R21" s="8"/>
      <c r="S21" s="8"/>
      <c r="T21" s="9"/>
      <c r="U21" s="9"/>
      <c r="V21" s="9"/>
      <c r="W21" s="9">
        <v>14</v>
      </c>
      <c r="X21" s="9"/>
      <c r="Y21" s="9">
        <v>14</v>
      </c>
      <c r="Z21" s="9"/>
      <c r="AA21" s="9"/>
      <c r="AB21" s="9"/>
      <c r="AC21" s="28"/>
      <c r="AD21" s="28">
        <v>28</v>
      </c>
      <c r="AE21" s="28">
        <v>0</v>
      </c>
      <c r="AF21" s="28">
        <v>0</v>
      </c>
      <c r="AG21" s="28">
        <v>0</v>
      </c>
      <c r="AH21" s="28">
        <v>14</v>
      </c>
      <c r="AI21" s="28">
        <v>14</v>
      </c>
      <c r="AJ21" s="28">
        <v>14</v>
      </c>
    </row>
    <row r="22" spans="1:36" ht="16" x14ac:dyDescent="0.35">
      <c r="A22" s="35">
        <v>542474700122</v>
      </c>
      <c r="B22" s="32" t="s">
        <v>89</v>
      </c>
      <c r="C22" s="32" t="s">
        <v>90</v>
      </c>
      <c r="D22" s="33">
        <v>50</v>
      </c>
      <c r="E22" s="36">
        <v>0</v>
      </c>
      <c r="F22" s="33">
        <v>55</v>
      </c>
      <c r="G22" s="33"/>
      <c r="H22" s="33">
        <v>0</v>
      </c>
      <c r="I22" s="33">
        <v>0</v>
      </c>
      <c r="J22" s="33">
        <v>0</v>
      </c>
      <c r="K22" s="33">
        <v>0</v>
      </c>
      <c r="L22" s="34"/>
      <c r="M22" s="37"/>
      <c r="N22" s="37"/>
      <c r="O22" s="37"/>
      <c r="P22" s="22"/>
      <c r="Q22" s="22"/>
      <c r="R22" s="22"/>
      <c r="S22" s="22"/>
      <c r="T22" s="38"/>
      <c r="U22" s="38"/>
      <c r="V22" s="38"/>
      <c r="W22" s="38"/>
      <c r="X22" s="38"/>
      <c r="Y22" s="38"/>
      <c r="Z22" s="28"/>
      <c r="AA22" s="28"/>
      <c r="AB22" s="28"/>
      <c r="AC22" s="28"/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</row>
    <row r="23" spans="1:36" ht="16" x14ac:dyDescent="0.35">
      <c r="A23" s="35">
        <v>542463700115</v>
      </c>
      <c r="B23" s="32" t="s">
        <v>91</v>
      </c>
      <c r="C23" s="32" t="s">
        <v>92</v>
      </c>
      <c r="D23" s="33">
        <v>50</v>
      </c>
      <c r="E23" s="36">
        <v>0</v>
      </c>
      <c r="F23" s="33">
        <v>60</v>
      </c>
      <c r="G23" s="33"/>
      <c r="H23" s="33">
        <v>0</v>
      </c>
      <c r="I23" s="33">
        <v>0</v>
      </c>
      <c r="J23" s="33">
        <v>0</v>
      </c>
      <c r="K23" s="33">
        <v>0</v>
      </c>
      <c r="L23" s="34"/>
      <c r="M23" s="37"/>
      <c r="N23" s="37"/>
      <c r="O23" s="37"/>
      <c r="P23" s="22"/>
      <c r="Q23" s="22"/>
      <c r="R23" s="22"/>
      <c r="S23" s="22"/>
      <c r="T23" s="38"/>
      <c r="U23" s="38"/>
      <c r="V23" s="38"/>
      <c r="W23" s="38"/>
      <c r="X23" s="38"/>
      <c r="Y23" s="38"/>
      <c r="Z23" s="28"/>
      <c r="AA23" s="28"/>
      <c r="AB23" s="28"/>
      <c r="AC23" s="28"/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</row>
    <row r="24" spans="1:36" ht="16" x14ac:dyDescent="0.35">
      <c r="A24" s="35">
        <v>542463700114</v>
      </c>
      <c r="B24" s="32" t="s">
        <v>93</v>
      </c>
      <c r="C24" s="32" t="s">
        <v>94</v>
      </c>
      <c r="D24" s="33">
        <v>50</v>
      </c>
      <c r="E24" s="36">
        <v>0</v>
      </c>
      <c r="F24" s="33">
        <v>42</v>
      </c>
      <c r="G24" s="33"/>
      <c r="H24" s="33">
        <v>8</v>
      </c>
      <c r="I24" s="33">
        <v>8</v>
      </c>
      <c r="J24" s="33">
        <v>0</v>
      </c>
      <c r="K24" s="33">
        <v>0</v>
      </c>
      <c r="L24" s="34"/>
      <c r="M24" s="37"/>
      <c r="N24" s="37"/>
      <c r="O24" s="37"/>
      <c r="P24" s="22"/>
      <c r="Q24" s="22"/>
      <c r="R24" s="22"/>
      <c r="S24" s="22"/>
      <c r="T24" s="38"/>
      <c r="U24" s="38"/>
      <c r="V24" s="38"/>
      <c r="W24" s="38"/>
      <c r="X24" s="38"/>
      <c r="Y24" s="38"/>
      <c r="Z24" s="28"/>
      <c r="AA24" s="28"/>
      <c r="AB24" s="28"/>
      <c r="AC24" s="28"/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</row>
    <row r="25" spans="1:36" ht="16" x14ac:dyDescent="0.35">
      <c r="A25" s="35">
        <v>542472700140</v>
      </c>
      <c r="B25" s="32" t="s">
        <v>95</v>
      </c>
      <c r="C25" s="32" t="s">
        <v>96</v>
      </c>
      <c r="D25" s="33">
        <v>50</v>
      </c>
      <c r="E25" s="36">
        <v>0</v>
      </c>
      <c r="F25" s="33">
        <v>60</v>
      </c>
      <c r="G25" s="33"/>
      <c r="H25" s="33">
        <v>0</v>
      </c>
      <c r="I25" s="33">
        <v>0</v>
      </c>
      <c r="J25" s="33">
        <v>0</v>
      </c>
      <c r="K25" s="33">
        <v>0</v>
      </c>
      <c r="L25" s="34"/>
      <c r="M25" s="37"/>
      <c r="N25" s="37"/>
      <c r="O25" s="37"/>
      <c r="P25" s="22"/>
      <c r="Q25" s="22"/>
      <c r="R25" s="22"/>
      <c r="S25" s="22"/>
      <c r="T25" s="38"/>
      <c r="U25" s="38"/>
      <c r="V25" s="38"/>
      <c r="W25" s="38"/>
      <c r="X25" s="38"/>
      <c r="Y25" s="38"/>
      <c r="Z25" s="28"/>
      <c r="AA25" s="28"/>
      <c r="AB25" s="28"/>
      <c r="AC25" s="28"/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</row>
    <row r="26" spans="1:36" ht="16" x14ac:dyDescent="0.35">
      <c r="A26" s="35">
        <v>542472700139</v>
      </c>
      <c r="B26" s="32" t="s">
        <v>97</v>
      </c>
      <c r="C26" s="32" t="s">
        <v>98</v>
      </c>
      <c r="D26" s="33">
        <v>50</v>
      </c>
      <c r="E26" s="36">
        <v>0</v>
      </c>
      <c r="F26" s="33">
        <v>40</v>
      </c>
      <c r="G26" s="33"/>
      <c r="H26" s="33">
        <v>10</v>
      </c>
      <c r="I26" s="33">
        <v>10</v>
      </c>
      <c r="J26" s="33">
        <v>0</v>
      </c>
      <c r="K26" s="33">
        <v>0</v>
      </c>
      <c r="L26" s="34"/>
      <c r="M26" s="37"/>
      <c r="N26" s="37"/>
      <c r="O26" s="37"/>
      <c r="P26" s="22"/>
      <c r="Q26" s="22"/>
      <c r="R26" s="22"/>
      <c r="S26" s="22"/>
      <c r="T26" s="38"/>
      <c r="U26" s="38"/>
      <c r="V26" s="38"/>
      <c r="W26" s="38"/>
      <c r="X26" s="38"/>
      <c r="Y26" s="38"/>
      <c r="Z26" s="28"/>
      <c r="AA26" s="28"/>
      <c r="AB26" s="28"/>
      <c r="AC26" s="28"/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</row>
    <row r="27" spans="1:36" ht="16" x14ac:dyDescent="0.35">
      <c r="A27" s="35">
        <v>542473700124</v>
      </c>
      <c r="B27" s="32" t="s">
        <v>99</v>
      </c>
      <c r="C27" s="32" t="s">
        <v>100</v>
      </c>
      <c r="D27" s="33">
        <v>50</v>
      </c>
      <c r="E27" s="36">
        <v>0</v>
      </c>
      <c r="F27" s="33">
        <v>35</v>
      </c>
      <c r="G27" s="33"/>
      <c r="H27" s="33">
        <v>15</v>
      </c>
      <c r="I27" s="33">
        <v>15</v>
      </c>
      <c r="J27" s="33">
        <v>0</v>
      </c>
      <c r="K27" s="33">
        <v>0</v>
      </c>
      <c r="L27" s="34"/>
      <c r="M27" s="37"/>
      <c r="N27" s="37"/>
      <c r="O27" s="37"/>
      <c r="P27" s="22"/>
      <c r="Q27" s="22"/>
      <c r="R27" s="22"/>
      <c r="S27" s="22"/>
      <c r="T27" s="38"/>
      <c r="U27" s="38"/>
      <c r="V27" s="38"/>
      <c r="W27" s="38"/>
      <c r="X27" s="38"/>
      <c r="Y27" s="38"/>
      <c r="Z27" s="28"/>
      <c r="AA27" s="28"/>
      <c r="AB27" s="28"/>
      <c r="AC27" s="28"/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</row>
    <row r="28" spans="1:36" ht="16" x14ac:dyDescent="0.35">
      <c r="A28" s="35">
        <v>542473700123</v>
      </c>
      <c r="B28" s="32" t="s">
        <v>101</v>
      </c>
      <c r="C28" s="32" t="s">
        <v>102</v>
      </c>
      <c r="D28" s="33">
        <v>50</v>
      </c>
      <c r="E28" s="36">
        <v>0</v>
      </c>
      <c r="F28" s="33">
        <v>36</v>
      </c>
      <c r="G28" s="33"/>
      <c r="H28" s="33">
        <v>14</v>
      </c>
      <c r="I28" s="33">
        <v>14</v>
      </c>
      <c r="J28" s="33">
        <v>0</v>
      </c>
      <c r="K28" s="33">
        <v>0</v>
      </c>
      <c r="L28" s="34"/>
      <c r="M28" s="37"/>
      <c r="N28" s="37"/>
      <c r="O28" s="37"/>
      <c r="P28" s="22"/>
      <c r="Q28" s="22"/>
      <c r="R28" s="22"/>
      <c r="S28" s="22"/>
      <c r="T28" s="38"/>
      <c r="U28" s="38"/>
      <c r="V28" s="38"/>
      <c r="W28" s="38"/>
      <c r="X28" s="38"/>
      <c r="Y28" s="38"/>
      <c r="Z28" s="28"/>
      <c r="AA28" s="28"/>
      <c r="AB28" s="28"/>
      <c r="AC28" s="28"/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</row>
    <row r="29" spans="1:36" ht="16" x14ac:dyDescent="0.35">
      <c r="A29" s="39">
        <v>542488100121</v>
      </c>
      <c r="B29" s="40" t="s">
        <v>103</v>
      </c>
      <c r="C29" s="40" t="s">
        <v>104</v>
      </c>
      <c r="D29" s="33">
        <v>50</v>
      </c>
      <c r="E29" s="36">
        <v>0</v>
      </c>
      <c r="F29" s="8">
        <v>250</v>
      </c>
      <c r="G29" s="33"/>
      <c r="H29" s="33">
        <v>0</v>
      </c>
      <c r="I29" s="33">
        <v>0</v>
      </c>
      <c r="J29" s="33">
        <v>0</v>
      </c>
      <c r="K29" s="33">
        <v>0</v>
      </c>
      <c r="L29" s="34"/>
      <c r="M29" s="37"/>
      <c r="N29" s="37"/>
      <c r="O29" s="37"/>
      <c r="P29" s="22"/>
      <c r="Q29" s="22"/>
      <c r="R29" s="22"/>
      <c r="S29" s="22"/>
      <c r="T29" s="38"/>
      <c r="U29" s="38"/>
      <c r="V29" s="38"/>
      <c r="W29" s="38"/>
      <c r="X29" s="38"/>
      <c r="Y29" s="38"/>
      <c r="Z29" s="28"/>
      <c r="AA29" s="28"/>
      <c r="AB29" s="28"/>
      <c r="AC29" s="28"/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</row>
    <row r="30" spans="1:36" ht="16" x14ac:dyDescent="0.35">
      <c r="A30" s="39">
        <v>542488100120</v>
      </c>
      <c r="B30" s="40" t="s">
        <v>105</v>
      </c>
      <c r="C30" s="40" t="s">
        <v>106</v>
      </c>
      <c r="D30" s="33">
        <v>50</v>
      </c>
      <c r="E30" s="36">
        <v>0</v>
      </c>
      <c r="F30" s="8">
        <v>50</v>
      </c>
      <c r="G30" s="33"/>
      <c r="H30" s="33">
        <v>0</v>
      </c>
      <c r="I30" s="33">
        <v>0</v>
      </c>
      <c r="J30" s="33">
        <v>0</v>
      </c>
      <c r="K30" s="33">
        <v>0</v>
      </c>
      <c r="L30" s="34"/>
      <c r="M30" s="37"/>
      <c r="N30" s="37"/>
      <c r="O30" s="37"/>
      <c r="P30" s="22"/>
      <c r="Q30" s="22"/>
      <c r="R30" s="22"/>
      <c r="S30" s="22"/>
      <c r="T30" s="38"/>
      <c r="U30" s="38"/>
      <c r="V30" s="38"/>
      <c r="W30" s="38"/>
      <c r="X30" s="38"/>
      <c r="Y30" s="38"/>
      <c r="Z30" s="28"/>
      <c r="AA30" s="28"/>
      <c r="AB30" s="28"/>
      <c r="AC30" s="28"/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</row>
    <row r="31" spans="1:36" ht="16" x14ac:dyDescent="0.35">
      <c r="A31" s="39">
        <v>542488100123</v>
      </c>
      <c r="B31" s="40" t="s">
        <v>107</v>
      </c>
      <c r="C31" s="40" t="s">
        <v>108</v>
      </c>
      <c r="D31" s="33">
        <v>50</v>
      </c>
      <c r="E31" s="36">
        <v>0</v>
      </c>
      <c r="F31" s="8">
        <v>70</v>
      </c>
      <c r="G31" s="33"/>
      <c r="H31" s="33">
        <v>0</v>
      </c>
      <c r="I31" s="33">
        <v>0</v>
      </c>
      <c r="J31" s="33">
        <v>0</v>
      </c>
      <c r="K31" s="33">
        <v>0</v>
      </c>
      <c r="L31" s="34"/>
      <c r="M31" s="37"/>
      <c r="N31" s="37"/>
      <c r="O31" s="37"/>
      <c r="P31" s="22"/>
      <c r="Q31" s="22"/>
      <c r="R31" s="22"/>
      <c r="S31" s="22"/>
      <c r="T31" s="38"/>
      <c r="U31" s="38"/>
      <c r="V31" s="38"/>
      <c r="W31" s="38"/>
      <c r="X31" s="38"/>
      <c r="Y31" s="38"/>
      <c r="Z31" s="28"/>
      <c r="AA31" s="28"/>
      <c r="AB31" s="28"/>
      <c r="AC31" s="28"/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</row>
    <row r="32" spans="1:36" ht="16" x14ac:dyDescent="0.35">
      <c r="A32" s="39">
        <v>542488100122</v>
      </c>
      <c r="B32" s="40" t="s">
        <v>109</v>
      </c>
      <c r="C32" s="40" t="s">
        <v>110</v>
      </c>
      <c r="D32" s="33">
        <v>50</v>
      </c>
      <c r="E32" s="36">
        <v>0</v>
      </c>
      <c r="F32" s="8">
        <v>30</v>
      </c>
      <c r="G32" s="33"/>
      <c r="H32" s="33">
        <v>20</v>
      </c>
      <c r="I32" s="33">
        <v>20</v>
      </c>
      <c r="J32" s="33">
        <v>0</v>
      </c>
      <c r="K32" s="33">
        <v>0</v>
      </c>
      <c r="L32" s="34"/>
      <c r="M32" s="37"/>
      <c r="N32" s="37"/>
      <c r="O32" s="37"/>
      <c r="P32" s="22"/>
      <c r="Q32" s="22"/>
      <c r="R32" s="22"/>
      <c r="S32" s="22"/>
      <c r="T32" s="38"/>
      <c r="U32" s="38"/>
      <c r="V32" s="38"/>
      <c r="W32" s="38"/>
      <c r="X32" s="38"/>
      <c r="Y32" s="38"/>
      <c r="Z32" s="28"/>
      <c r="AA32" s="28"/>
      <c r="AB32" s="28"/>
      <c r="AC32" s="28"/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</row>
    <row r="33" spans="1:36" ht="16" x14ac:dyDescent="0.35">
      <c r="A33" s="35">
        <v>542490600102</v>
      </c>
      <c r="B33" s="32" t="s">
        <v>111</v>
      </c>
      <c r="C33" s="32" t="s">
        <v>112</v>
      </c>
      <c r="D33" s="33">
        <v>50</v>
      </c>
      <c r="E33" s="36">
        <v>0</v>
      </c>
      <c r="F33" s="33">
        <v>40</v>
      </c>
      <c r="G33" s="33"/>
      <c r="H33" s="33">
        <v>10</v>
      </c>
      <c r="I33" s="33">
        <v>10</v>
      </c>
      <c r="J33" s="33">
        <v>0</v>
      </c>
      <c r="K33" s="33">
        <v>0</v>
      </c>
      <c r="L33" s="34"/>
      <c r="M33" s="37"/>
      <c r="N33" s="37"/>
      <c r="O33" s="37"/>
      <c r="P33" s="22"/>
      <c r="Q33" s="22"/>
      <c r="R33" s="22"/>
      <c r="S33" s="22"/>
      <c r="T33" s="38"/>
      <c r="U33" s="38"/>
      <c r="V33" s="38"/>
      <c r="W33" s="38"/>
      <c r="X33" s="38"/>
      <c r="Y33" s="38"/>
      <c r="Z33" s="28"/>
      <c r="AA33" s="28"/>
      <c r="AB33" s="28"/>
      <c r="AC33" s="28"/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</row>
    <row r="34" spans="1:36" ht="16" x14ac:dyDescent="0.35">
      <c r="A34" s="35">
        <v>542490600101</v>
      </c>
      <c r="B34" s="32" t="s">
        <v>113</v>
      </c>
      <c r="C34" s="32" t="s">
        <v>114</v>
      </c>
      <c r="D34" s="33">
        <v>50</v>
      </c>
      <c r="E34" s="36">
        <v>0</v>
      </c>
      <c r="F34" s="33">
        <v>40</v>
      </c>
      <c r="G34" s="33"/>
      <c r="H34" s="33">
        <v>10</v>
      </c>
      <c r="I34" s="33">
        <v>10</v>
      </c>
      <c r="J34" s="33">
        <v>0</v>
      </c>
      <c r="K34" s="33">
        <v>0</v>
      </c>
      <c r="L34" s="34"/>
      <c r="M34" s="37"/>
      <c r="N34" s="37"/>
      <c r="O34" s="37"/>
      <c r="P34" s="22"/>
      <c r="Q34" s="22"/>
      <c r="R34" s="22"/>
      <c r="S34" s="22"/>
      <c r="T34" s="38"/>
      <c r="U34" s="38"/>
      <c r="V34" s="38"/>
      <c r="W34" s="38"/>
      <c r="X34" s="38"/>
      <c r="Y34" s="38"/>
      <c r="Z34" s="28"/>
      <c r="AA34" s="28"/>
      <c r="AB34" s="28"/>
      <c r="AC34" s="28"/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</row>
    <row r="35" spans="1:36" ht="16" x14ac:dyDescent="0.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  <c r="M35" s="10">
        <v>0.27083333333333331</v>
      </c>
      <c r="N35" s="10">
        <v>0.33333333333333331</v>
      </c>
      <c r="O35" s="10">
        <v>0.41666666666666669</v>
      </c>
      <c r="P35" s="10">
        <v>0.5</v>
      </c>
      <c r="Q35" s="10">
        <v>0.58333333333333337</v>
      </c>
      <c r="R35" s="17"/>
      <c r="S35" s="8"/>
      <c r="T35" s="11">
        <v>0.25</v>
      </c>
      <c r="U35" s="11">
        <v>0.39583333333333331</v>
      </c>
      <c r="V35" s="11">
        <v>0.51388888888888884</v>
      </c>
      <c r="W35" s="11">
        <v>0.6875</v>
      </c>
      <c r="X35" s="11"/>
      <c r="Y35" s="11"/>
      <c r="Z35" s="11"/>
      <c r="AA35" s="11"/>
      <c r="AB35" s="31"/>
      <c r="AC35" s="41"/>
      <c r="AD35" s="31" t="s">
        <v>88</v>
      </c>
      <c r="AE35" s="31">
        <v>0.27083333333333331</v>
      </c>
      <c r="AF35" s="31"/>
      <c r="AG35" s="31"/>
      <c r="AH35" s="31"/>
      <c r="AI35" s="31"/>
      <c r="AJ35" s="31"/>
    </row>
    <row r="36" spans="1:36" ht="21" x14ac:dyDescent="0.35">
      <c r="A36" s="32" t="s">
        <v>62</v>
      </c>
      <c r="B36" s="32" t="s">
        <v>63</v>
      </c>
      <c r="C36" s="32" t="s">
        <v>64</v>
      </c>
      <c r="D36" s="33">
        <v>80</v>
      </c>
      <c r="E36" s="48">
        <v>143</v>
      </c>
      <c r="F36" s="15">
        <v>60</v>
      </c>
      <c r="G36" s="33"/>
      <c r="H36" s="33">
        <v>163</v>
      </c>
      <c r="I36" s="33">
        <v>0</v>
      </c>
      <c r="J36" s="33">
        <v>176</v>
      </c>
      <c r="K36" s="33">
        <v>136</v>
      </c>
      <c r="L36" s="34"/>
      <c r="M36" s="18">
        <v>32</v>
      </c>
      <c r="N36" s="18">
        <v>32</v>
      </c>
      <c r="O36" s="18">
        <v>48</v>
      </c>
      <c r="P36" s="18">
        <v>48</v>
      </c>
      <c r="Q36" s="18">
        <v>16</v>
      </c>
      <c r="R36" s="19"/>
      <c r="S36" s="8"/>
      <c r="T36" s="9">
        <v>32</v>
      </c>
      <c r="U36" s="9">
        <v>44</v>
      </c>
      <c r="V36" s="20">
        <v>28</v>
      </c>
      <c r="W36" s="20">
        <v>32</v>
      </c>
      <c r="X36" s="20"/>
      <c r="Y36" s="20"/>
      <c r="Z36" s="20"/>
      <c r="AA36" s="20"/>
      <c r="AB36" s="42"/>
      <c r="AC36" s="28"/>
      <c r="AD36" s="28">
        <v>136</v>
      </c>
      <c r="AE36" s="28">
        <v>0</v>
      </c>
      <c r="AF36" s="28">
        <v>12</v>
      </c>
      <c r="AG36" s="28">
        <v>-8</v>
      </c>
      <c r="AH36" s="28">
        <v>-24</v>
      </c>
      <c r="AI36" s="28">
        <v>-40</v>
      </c>
      <c r="AJ36" s="28">
        <v>-40</v>
      </c>
    </row>
    <row r="37" spans="1:36" ht="21" x14ac:dyDescent="0.35">
      <c r="A37" s="32" t="s">
        <v>65</v>
      </c>
      <c r="B37" s="32" t="s">
        <v>66</v>
      </c>
      <c r="C37" s="32" t="s">
        <v>67</v>
      </c>
      <c r="D37" s="33">
        <v>32</v>
      </c>
      <c r="E37" s="48">
        <v>80</v>
      </c>
      <c r="F37" s="15">
        <v>22</v>
      </c>
      <c r="G37" s="33"/>
      <c r="H37" s="33">
        <v>90</v>
      </c>
      <c r="I37" s="33">
        <v>0</v>
      </c>
      <c r="J37" s="33">
        <v>96</v>
      </c>
      <c r="K37" s="33">
        <v>64</v>
      </c>
      <c r="L37" s="34"/>
      <c r="M37" s="8">
        <v>16</v>
      </c>
      <c r="N37" s="8">
        <v>16</v>
      </c>
      <c r="O37" s="8">
        <v>16</v>
      </c>
      <c r="P37" s="8">
        <v>16</v>
      </c>
      <c r="Q37" s="18">
        <v>32</v>
      </c>
      <c r="R37" s="22"/>
      <c r="S37" s="8"/>
      <c r="T37" s="9">
        <v>16</v>
      </c>
      <c r="U37" s="9">
        <v>16</v>
      </c>
      <c r="V37" s="9">
        <v>16</v>
      </c>
      <c r="W37" s="9">
        <v>16</v>
      </c>
      <c r="X37" s="9"/>
      <c r="Y37" s="9"/>
      <c r="Z37" s="9"/>
      <c r="AA37" s="9"/>
      <c r="AB37" s="27"/>
      <c r="AC37" s="28"/>
      <c r="AD37" s="28">
        <v>64</v>
      </c>
      <c r="AE37" s="28">
        <v>0</v>
      </c>
      <c r="AF37" s="28">
        <v>0</v>
      </c>
      <c r="AG37" s="28">
        <v>0</v>
      </c>
      <c r="AH37" s="28">
        <v>0</v>
      </c>
      <c r="AI37" s="28">
        <v>-32</v>
      </c>
      <c r="AJ37" s="28">
        <v>-32</v>
      </c>
    </row>
    <row r="38" spans="1:36" ht="21" x14ac:dyDescent="0.35">
      <c r="A38" s="32" t="s">
        <v>68</v>
      </c>
      <c r="B38" s="32" t="s">
        <v>69</v>
      </c>
      <c r="C38" s="32" t="s">
        <v>70</v>
      </c>
      <c r="D38" s="33">
        <v>64</v>
      </c>
      <c r="E38" s="48">
        <v>134</v>
      </c>
      <c r="F38" s="15">
        <v>54</v>
      </c>
      <c r="G38" s="33"/>
      <c r="H38" s="33">
        <v>144</v>
      </c>
      <c r="I38" s="33">
        <v>0</v>
      </c>
      <c r="J38" s="33">
        <v>144</v>
      </c>
      <c r="K38" s="33">
        <v>104</v>
      </c>
      <c r="L38" s="34"/>
      <c r="M38" s="8">
        <v>16</v>
      </c>
      <c r="N38" s="8">
        <v>16</v>
      </c>
      <c r="O38" s="8">
        <v>32</v>
      </c>
      <c r="P38" s="8">
        <v>32</v>
      </c>
      <c r="Q38" s="18">
        <v>48</v>
      </c>
      <c r="R38" s="22"/>
      <c r="S38" s="8"/>
      <c r="T38" s="9">
        <v>32</v>
      </c>
      <c r="U38" s="9">
        <v>16</v>
      </c>
      <c r="V38" s="9">
        <v>28</v>
      </c>
      <c r="W38" s="9">
        <v>28</v>
      </c>
      <c r="X38" s="9"/>
      <c r="Y38" s="9"/>
      <c r="Z38" s="9"/>
      <c r="AA38" s="9"/>
      <c r="AB38" s="27"/>
      <c r="AC38" s="28"/>
      <c r="AD38" s="28">
        <v>104</v>
      </c>
      <c r="AE38" s="28">
        <v>16</v>
      </c>
      <c r="AF38" s="28">
        <v>16</v>
      </c>
      <c r="AG38" s="28">
        <v>12</v>
      </c>
      <c r="AH38" s="28">
        <v>8</v>
      </c>
      <c r="AI38" s="28">
        <v>-40</v>
      </c>
      <c r="AJ38" s="28">
        <v>-40</v>
      </c>
    </row>
    <row r="39" spans="1:36" ht="21" x14ac:dyDescent="0.35">
      <c r="A39" s="32" t="s">
        <v>71</v>
      </c>
      <c r="B39" s="32" t="s">
        <v>72</v>
      </c>
      <c r="C39" s="32" t="s">
        <v>73</v>
      </c>
      <c r="D39" s="33">
        <v>32</v>
      </c>
      <c r="E39" s="48">
        <v>37</v>
      </c>
      <c r="F39" s="15">
        <v>46</v>
      </c>
      <c r="G39" s="33"/>
      <c r="H39" s="33">
        <v>23</v>
      </c>
      <c r="I39" s="33">
        <v>7</v>
      </c>
      <c r="J39" s="33">
        <v>16</v>
      </c>
      <c r="K39" s="33">
        <v>16</v>
      </c>
      <c r="L39" s="34"/>
      <c r="M39" s="8">
        <v>16</v>
      </c>
      <c r="N39" s="8"/>
      <c r="O39" s="8"/>
      <c r="P39" s="22"/>
      <c r="Q39" s="18"/>
      <c r="R39" s="23"/>
      <c r="S39" s="8"/>
      <c r="T39" s="9"/>
      <c r="U39" s="9"/>
      <c r="V39" s="9">
        <v>16</v>
      </c>
      <c r="W39" s="9"/>
      <c r="X39" s="9"/>
      <c r="Y39" s="9"/>
      <c r="Z39" s="9"/>
      <c r="AA39" s="9"/>
      <c r="AB39" s="27"/>
      <c r="AC39" s="28"/>
      <c r="AD39" s="28">
        <v>16</v>
      </c>
      <c r="AE39" s="28">
        <v>-16</v>
      </c>
      <c r="AF39" s="28">
        <v>-16</v>
      </c>
      <c r="AG39" s="28">
        <v>0</v>
      </c>
      <c r="AH39" s="28">
        <v>0</v>
      </c>
      <c r="AI39" s="28">
        <v>0</v>
      </c>
      <c r="AJ39" s="28">
        <v>0</v>
      </c>
    </row>
    <row r="40" spans="1:36" ht="21" x14ac:dyDescent="0.4">
      <c r="A40" s="32" t="s">
        <v>74</v>
      </c>
      <c r="B40" s="32" t="s">
        <v>75</v>
      </c>
      <c r="C40" s="32" t="s">
        <v>76</v>
      </c>
      <c r="D40" s="33">
        <v>32</v>
      </c>
      <c r="E40" s="48">
        <v>37</v>
      </c>
      <c r="F40" s="15">
        <v>16</v>
      </c>
      <c r="G40" s="33"/>
      <c r="H40" s="33">
        <v>53</v>
      </c>
      <c r="I40" s="33">
        <v>5</v>
      </c>
      <c r="J40" s="33">
        <v>48</v>
      </c>
      <c r="K40" s="33">
        <v>40</v>
      </c>
      <c r="L40" s="34" t="s">
        <v>115</v>
      </c>
      <c r="M40" s="8">
        <v>16</v>
      </c>
      <c r="N40" s="8">
        <v>16</v>
      </c>
      <c r="O40" s="8"/>
      <c r="P40" s="22">
        <v>16</v>
      </c>
      <c r="Q40" s="18"/>
      <c r="R40" s="23"/>
      <c r="S40" s="22"/>
      <c r="T40" s="9">
        <v>12</v>
      </c>
      <c r="U40" s="9">
        <v>12</v>
      </c>
      <c r="V40" s="9"/>
      <c r="W40" s="9">
        <v>16</v>
      </c>
      <c r="X40" s="9"/>
      <c r="Y40" s="9"/>
      <c r="Z40" s="6"/>
      <c r="AA40" s="27"/>
      <c r="AB40" s="27"/>
      <c r="AC40" s="28"/>
      <c r="AD40" s="28">
        <v>40</v>
      </c>
      <c r="AE40" s="28">
        <v>-4</v>
      </c>
      <c r="AF40" s="28">
        <v>-8</v>
      </c>
      <c r="AG40" s="28">
        <v>-8</v>
      </c>
      <c r="AH40" s="28">
        <v>-8</v>
      </c>
      <c r="AI40" s="28">
        <v>-8</v>
      </c>
      <c r="AJ40" s="28">
        <v>-8</v>
      </c>
    </row>
    <row r="45" spans="1:36" x14ac:dyDescent="0.35">
      <c r="A45">
        <v>27</v>
      </c>
    </row>
    <row r="46" spans="1:36" x14ac:dyDescent="0.35">
      <c r="A46">
        <v>32</v>
      </c>
    </row>
    <row r="47" spans="1:36" x14ac:dyDescent="0.35">
      <c r="A47">
        <v>16</v>
      </c>
    </row>
    <row r="48" spans="1:36" x14ac:dyDescent="0.35">
      <c r="A48">
        <v>12</v>
      </c>
    </row>
    <row r="49" spans="1:1" x14ac:dyDescent="0.35">
      <c r="A49">
        <v>21</v>
      </c>
    </row>
  </sheetData>
  <protectedRanges>
    <protectedRange sqref="R40" name="Range1_1_2_1_2_1_1_1_1_1_1_1_1"/>
    <protectedRange sqref="R39" name="Range1_1_2_1_2_1_1_1_1_2_1_1_1"/>
    <protectedRange sqref="R36:R38" name="Range1_1_2_1_2_1_1_1_1_2_1_2_4_1_2"/>
    <protectedRange sqref="F22:F34" name="Range1_2_1"/>
    <protectedRange sqref="Q39" name="Range1_1_2_1_2_1_1_1_1_2_1_1_1_1_1"/>
    <protectedRange sqref="Q40" name="Range1_1_2_1_2_1_1_1_1_1_1_1_1_1_1_1"/>
    <protectedRange sqref="Q36:Q38" name="Range1_1_2_1_2_1_1_1_1_2_1_2_4_1_2_1"/>
    <protectedRange sqref="P40" name="Range1_1_2_1_2_1_2_1_1_1"/>
    <protectedRange sqref="P39" name="Range1_1_2_1_2_1_1_1_1_2_1_2_4_1_1_1"/>
    <protectedRange sqref="F13" name="Range1_5_1_1_1"/>
    <protectedRange sqref="F12" name="Range1_2_3_1_1_1"/>
    <protectedRange sqref="F7:F11" name="Range1_3_2_1"/>
  </protectedRanges>
  <mergeCells count="15">
    <mergeCell ref="M1:S1"/>
    <mergeCell ref="T1:AD1"/>
    <mergeCell ref="AE1:AJ1"/>
    <mergeCell ref="B2:C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</mergeCells>
  <conditionalFormatting sqref="I7:K40">
    <cfRule type="cellIs" dxfId="49" priority="5" operator="greaterThan">
      <formula>0</formula>
    </cfRule>
  </conditionalFormatting>
  <conditionalFormatting sqref="P39:P40">
    <cfRule type="cellIs" dxfId="48" priority="1" operator="lessThan">
      <formula>0</formula>
    </cfRule>
  </conditionalFormatting>
  <conditionalFormatting sqref="R40">
    <cfRule type="cellIs" dxfId="47" priority="4" operator="lessThan">
      <formula>0</formula>
    </cfRule>
  </conditionalFormatting>
  <conditionalFormatting sqref="R36:S39">
    <cfRule type="cellIs" dxfId="46" priority="3" operator="lessThan">
      <formula>0</formula>
    </cfRule>
  </conditionalFormatting>
  <conditionalFormatting sqref="Z39">
    <cfRule type="cellIs" dxfId="45" priority="2" operator="lessThan">
      <formula>0</formula>
    </cfRule>
  </conditionalFormatting>
  <conditionalFormatting sqref="AA36:AA39">
    <cfRule type="cellIs" dxfId="44" priority="6" operator="lessThan">
      <formula>0</formula>
    </cfRule>
  </conditionalFormatting>
  <conditionalFormatting sqref="AE3:AJ3">
    <cfRule type="cellIs" dxfId="43" priority="7" operator="lessThan">
      <formula>0</formula>
    </cfRule>
  </conditionalFormatting>
  <conditionalFormatting sqref="AE7:AJ34 AE36:AJ40">
    <cfRule type="cellIs" dxfId="42" priority="8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98" orientation="landscape" horizontalDpi="200" verticalDpi="200" r:id="rId1"/>
  <headerFooter>
    <oddFooter>&amp;L_x000D_&amp;1#&amp;"Calibri Light"&amp;8&amp;K000000 Classified as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4F6F-A2C0-4DD4-B716-90953FA0EA3D}">
  <sheetPr>
    <pageSetUpPr fitToPage="1"/>
  </sheetPr>
  <dimension ref="A1:W29"/>
  <sheetViews>
    <sheetView showZeros="0" zoomScale="70" zoomScaleNormal="70" workbookViewId="0">
      <pane xSplit="5" ySplit="6" topLeftCell="F7" activePane="bottomRight" state="frozen"/>
      <selection activeCell="M7" sqref="M7"/>
      <selection pane="topRight" activeCell="M7" sqref="M7"/>
      <selection pane="bottomLeft" activeCell="M7" sqref="M7"/>
      <selection pane="bottomRight" sqref="A1:XFD1048576"/>
    </sheetView>
  </sheetViews>
  <sheetFormatPr defaultRowHeight="16" x14ac:dyDescent="0.4"/>
  <cols>
    <col min="1" max="1" width="18.26953125" style="1" bestFit="1" customWidth="1"/>
    <col min="2" max="2" width="18.54296875" style="1" bestFit="1" customWidth="1"/>
    <col min="3" max="3" width="17" style="1" customWidth="1"/>
    <col min="4" max="4" width="12.54296875" style="1" bestFit="1" customWidth="1"/>
    <col min="5" max="7" width="12" style="1" customWidth="1"/>
    <col min="8" max="8" width="9.08984375" style="1" customWidth="1"/>
    <col min="9" max="9" width="6.453125" style="1" bestFit="1" customWidth="1"/>
    <col min="10" max="15" width="6.36328125" style="1" customWidth="1"/>
    <col min="16" max="16" width="6.453125" style="1" bestFit="1" customWidth="1"/>
    <col min="17" max="23" width="6.36328125" style="1" customWidth="1"/>
    <col min="24" max="16384" width="8.7265625" style="1"/>
  </cols>
  <sheetData>
    <row r="1" spans="1:23" ht="18.5" x14ac:dyDescent="0.45">
      <c r="C1" s="2">
        <v>45906</v>
      </c>
      <c r="D1" s="60"/>
      <c r="H1" s="62" t="s">
        <v>0</v>
      </c>
      <c r="I1" s="62"/>
      <c r="J1" s="62"/>
      <c r="K1" s="62"/>
      <c r="L1" s="62"/>
      <c r="M1" s="62"/>
      <c r="N1" s="3"/>
      <c r="O1" s="63" t="s">
        <v>1</v>
      </c>
      <c r="P1" s="64"/>
      <c r="Q1" s="64"/>
      <c r="R1" s="64"/>
      <c r="S1" s="64"/>
      <c r="T1" s="64"/>
      <c r="U1" s="64"/>
      <c r="V1" s="64"/>
      <c r="W1" s="64"/>
    </row>
    <row r="2" spans="1:23" x14ac:dyDescent="0.4">
      <c r="B2" s="65"/>
      <c r="C2" s="66"/>
      <c r="D2" s="61"/>
      <c r="E2" s="4"/>
      <c r="F2" s="4"/>
      <c r="G2" s="4"/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O2" s="6" t="s">
        <v>2</v>
      </c>
      <c r="P2" s="6" t="s">
        <v>3</v>
      </c>
      <c r="Q2" s="6" t="s">
        <v>4</v>
      </c>
      <c r="R2" s="6" t="s">
        <v>5</v>
      </c>
      <c r="S2" s="6" t="s">
        <v>6</v>
      </c>
      <c r="T2" s="6" t="s">
        <v>7</v>
      </c>
      <c r="U2" s="6" t="s">
        <v>8</v>
      </c>
      <c r="V2" s="6" t="s">
        <v>9</v>
      </c>
      <c r="W2" s="6"/>
    </row>
    <row r="3" spans="1:23" x14ac:dyDescent="0.4">
      <c r="A3" s="59" t="s">
        <v>10</v>
      </c>
      <c r="B3" s="67" t="s">
        <v>11</v>
      </c>
      <c r="C3" s="67" t="s">
        <v>12</v>
      </c>
      <c r="D3" s="59" t="s">
        <v>13</v>
      </c>
      <c r="E3" s="7" t="s">
        <v>14</v>
      </c>
      <c r="F3" s="68" t="s">
        <v>122</v>
      </c>
      <c r="G3" s="68" t="s">
        <v>123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/>
      <c r="W3" s="9"/>
    </row>
    <row r="4" spans="1:23" x14ac:dyDescent="0.4">
      <c r="A4" s="59"/>
      <c r="B4" s="67"/>
      <c r="C4" s="67"/>
      <c r="D4" s="59"/>
      <c r="E4" s="7" t="s">
        <v>15</v>
      </c>
      <c r="F4" s="69"/>
      <c r="G4" s="69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</row>
    <row r="5" spans="1:23" x14ac:dyDescent="0.4">
      <c r="A5" s="59"/>
      <c r="B5" s="67"/>
      <c r="C5" s="67"/>
      <c r="D5" s="59"/>
      <c r="E5" s="7" t="s">
        <v>16</v>
      </c>
      <c r="F5" s="69"/>
      <c r="G5" s="69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</row>
    <row r="6" spans="1:23" ht="16" customHeight="1" x14ac:dyDescent="0.4">
      <c r="A6" s="59"/>
      <c r="B6" s="67"/>
      <c r="C6" s="67"/>
      <c r="D6" s="59"/>
      <c r="E6" s="7" t="s">
        <v>17</v>
      </c>
      <c r="F6" s="70"/>
      <c r="G6" s="70"/>
      <c r="H6" s="10">
        <v>0.27083333333333331</v>
      </c>
      <c r="I6" s="10">
        <v>0.375</v>
      </c>
      <c r="J6" s="10">
        <v>0.5</v>
      </c>
      <c r="K6" s="10">
        <v>0.625</v>
      </c>
      <c r="L6" s="10">
        <v>0.75</v>
      </c>
      <c r="M6" s="10">
        <v>0.875</v>
      </c>
      <c r="N6" s="10"/>
      <c r="O6" s="11">
        <v>0.3888888888888889</v>
      </c>
      <c r="P6" s="11">
        <v>0.3888888888888889</v>
      </c>
      <c r="Q6" s="11">
        <v>0.4236111111111111</v>
      </c>
      <c r="R6" s="11">
        <v>0.5625</v>
      </c>
      <c r="S6" s="11">
        <v>0.70833333333333337</v>
      </c>
      <c r="T6" s="11">
        <v>0.82986111111111116</v>
      </c>
      <c r="U6" s="11">
        <v>0</v>
      </c>
      <c r="V6" s="11"/>
      <c r="W6" s="12"/>
    </row>
    <row r="7" spans="1:23" ht="17.5" customHeight="1" x14ac:dyDescent="0.4">
      <c r="A7" s="13" t="s">
        <v>18</v>
      </c>
      <c r="B7" s="13" t="s">
        <v>19</v>
      </c>
      <c r="C7" s="13" t="s">
        <v>20</v>
      </c>
      <c r="D7" s="14">
        <v>44</v>
      </c>
      <c r="E7" s="15">
        <v>77</v>
      </c>
      <c r="F7" s="15">
        <v>96</v>
      </c>
      <c r="G7" s="15">
        <v>0</v>
      </c>
      <c r="H7" s="8">
        <v>0</v>
      </c>
      <c r="I7" s="8">
        <v>0</v>
      </c>
      <c r="J7" s="8">
        <v>96</v>
      </c>
      <c r="K7" s="8">
        <v>0</v>
      </c>
      <c r="L7" s="8">
        <v>0</v>
      </c>
      <c r="M7" s="8">
        <v>0</v>
      </c>
      <c r="N7" s="8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/>
      <c r="W7" s="9"/>
    </row>
    <row r="8" spans="1:23" ht="17.5" customHeight="1" x14ac:dyDescent="0.4">
      <c r="A8" s="13" t="s">
        <v>21</v>
      </c>
      <c r="B8" s="13" t="s">
        <v>22</v>
      </c>
      <c r="C8" s="13" t="s">
        <v>23</v>
      </c>
      <c r="D8" s="14">
        <v>294</v>
      </c>
      <c r="E8" s="15">
        <v>192</v>
      </c>
      <c r="F8" s="15">
        <v>384</v>
      </c>
      <c r="G8" s="15">
        <v>288</v>
      </c>
      <c r="H8" s="8">
        <v>0</v>
      </c>
      <c r="I8" s="8">
        <v>192</v>
      </c>
      <c r="J8" s="8">
        <v>96</v>
      </c>
      <c r="K8" s="8">
        <v>96</v>
      </c>
      <c r="L8" s="8">
        <v>0</v>
      </c>
      <c r="M8" s="8">
        <v>0</v>
      </c>
      <c r="N8" s="8">
        <v>0</v>
      </c>
      <c r="O8" s="9">
        <v>0</v>
      </c>
      <c r="P8" s="9">
        <v>0</v>
      </c>
      <c r="Q8" s="9">
        <v>192</v>
      </c>
      <c r="R8" s="9">
        <v>96</v>
      </c>
      <c r="S8" s="9">
        <v>0</v>
      </c>
      <c r="T8" s="9">
        <v>0</v>
      </c>
      <c r="U8" s="9">
        <v>0</v>
      </c>
      <c r="V8" s="9"/>
      <c r="W8" s="9"/>
    </row>
    <row r="9" spans="1:23" ht="17.5" customHeight="1" x14ac:dyDescent="0.4">
      <c r="A9" s="13" t="s">
        <v>24</v>
      </c>
      <c r="B9" s="13" t="s">
        <v>25</v>
      </c>
      <c r="C9" s="13" t="s">
        <v>26</v>
      </c>
      <c r="D9" s="14">
        <v>30</v>
      </c>
      <c r="E9" s="15">
        <v>40</v>
      </c>
      <c r="F9" s="15">
        <v>96</v>
      </c>
      <c r="G9" s="15">
        <v>96</v>
      </c>
      <c r="H9" s="8">
        <v>0</v>
      </c>
      <c r="I9" s="8">
        <v>0</v>
      </c>
      <c r="J9" s="8">
        <v>0</v>
      </c>
      <c r="K9" s="8">
        <v>96</v>
      </c>
      <c r="L9" s="8">
        <v>0</v>
      </c>
      <c r="M9" s="8">
        <v>0</v>
      </c>
      <c r="N9" s="8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96</v>
      </c>
      <c r="U9" s="9">
        <v>0</v>
      </c>
      <c r="V9" s="9"/>
      <c r="W9" s="9"/>
    </row>
    <row r="10" spans="1:23" ht="17.5" customHeight="1" x14ac:dyDescent="0.4">
      <c r="A10" s="16" t="s">
        <v>27</v>
      </c>
      <c r="B10" s="13" t="s">
        <v>28</v>
      </c>
      <c r="C10" s="13" t="s">
        <v>29</v>
      </c>
      <c r="D10" s="14">
        <v>12</v>
      </c>
      <c r="E10" s="15">
        <v>240</v>
      </c>
      <c r="F10" s="15">
        <v>0</v>
      </c>
      <c r="G10" s="15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/>
      <c r="W10" s="9"/>
    </row>
    <row r="11" spans="1:23" ht="17.5" customHeight="1" x14ac:dyDescent="0.4">
      <c r="A11" s="13" t="s">
        <v>30</v>
      </c>
      <c r="B11" s="13" t="s">
        <v>31</v>
      </c>
      <c r="C11" s="13" t="s">
        <v>32</v>
      </c>
      <c r="D11" s="14">
        <v>200</v>
      </c>
      <c r="E11" s="15">
        <v>130</v>
      </c>
      <c r="F11" s="15">
        <v>390</v>
      </c>
      <c r="G11" s="15">
        <v>260</v>
      </c>
      <c r="H11" s="8">
        <v>0</v>
      </c>
      <c r="I11" s="8">
        <v>260</v>
      </c>
      <c r="J11" s="8">
        <v>0</v>
      </c>
      <c r="K11" s="8">
        <v>130</v>
      </c>
      <c r="L11" s="8">
        <v>0</v>
      </c>
      <c r="M11" s="8">
        <v>0</v>
      </c>
      <c r="N11" s="8">
        <v>0</v>
      </c>
      <c r="O11" s="9">
        <v>0</v>
      </c>
      <c r="P11" s="9">
        <v>0</v>
      </c>
      <c r="Q11" s="9">
        <v>260</v>
      </c>
      <c r="R11" s="9">
        <v>0</v>
      </c>
      <c r="S11" s="9">
        <v>0</v>
      </c>
      <c r="T11" s="9">
        <v>0</v>
      </c>
      <c r="U11" s="9">
        <v>0</v>
      </c>
      <c r="V11" s="9"/>
      <c r="W11" s="9"/>
    </row>
    <row r="12" spans="1:23" ht="17.5" customHeight="1" x14ac:dyDescent="0.4">
      <c r="A12" s="13" t="s">
        <v>33</v>
      </c>
      <c r="B12" s="13" t="s">
        <v>34</v>
      </c>
      <c r="C12" s="13" t="s">
        <v>35</v>
      </c>
      <c r="D12" s="14">
        <v>40</v>
      </c>
      <c r="E12" s="15">
        <v>200</v>
      </c>
      <c r="F12" s="15">
        <v>0</v>
      </c>
      <c r="G12" s="15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/>
      <c r="W12" s="9"/>
    </row>
    <row r="13" spans="1:23" ht="17.5" customHeight="1" x14ac:dyDescent="0.4">
      <c r="A13" s="13" t="s">
        <v>36</v>
      </c>
      <c r="B13" s="13" t="s">
        <v>37</v>
      </c>
      <c r="C13" s="13">
        <v>630131090</v>
      </c>
      <c r="D13" s="14">
        <v>30</v>
      </c>
      <c r="E13" s="15">
        <v>40</v>
      </c>
      <c r="F13" s="15">
        <v>140</v>
      </c>
      <c r="G13" s="15">
        <v>0</v>
      </c>
      <c r="H13" s="8">
        <v>0</v>
      </c>
      <c r="I13" s="8">
        <v>0</v>
      </c>
      <c r="J13" s="8">
        <v>140</v>
      </c>
      <c r="K13" s="8">
        <v>0</v>
      </c>
      <c r="L13" s="8">
        <v>0</v>
      </c>
      <c r="M13" s="8">
        <v>0</v>
      </c>
      <c r="N13" s="8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/>
      <c r="W13" s="9"/>
    </row>
    <row r="14" spans="1:23" ht="17.5" customHeight="1" x14ac:dyDescent="0.4">
      <c r="A14" s="13" t="s">
        <v>38</v>
      </c>
      <c r="B14" s="13" t="s">
        <v>39</v>
      </c>
      <c r="C14" s="13" t="s">
        <v>40</v>
      </c>
      <c r="D14" s="14">
        <v>18</v>
      </c>
      <c r="E14" s="15">
        <v>45</v>
      </c>
      <c r="F14" s="15">
        <v>42</v>
      </c>
      <c r="G14" s="15">
        <v>28</v>
      </c>
      <c r="H14" s="8">
        <v>0</v>
      </c>
      <c r="I14" s="8">
        <v>14</v>
      </c>
      <c r="J14" s="8">
        <v>0</v>
      </c>
      <c r="K14" s="8">
        <v>0</v>
      </c>
      <c r="L14" s="8">
        <v>14</v>
      </c>
      <c r="M14" s="8">
        <v>14</v>
      </c>
      <c r="N14" s="8">
        <v>0</v>
      </c>
      <c r="O14" s="9">
        <v>0</v>
      </c>
      <c r="P14" s="9">
        <v>0</v>
      </c>
      <c r="Q14" s="9">
        <v>0</v>
      </c>
      <c r="R14" s="9">
        <v>14</v>
      </c>
      <c r="S14" s="9">
        <v>0</v>
      </c>
      <c r="T14" s="9">
        <v>14</v>
      </c>
      <c r="U14" s="9">
        <v>0</v>
      </c>
      <c r="V14" s="9"/>
      <c r="W14" s="9"/>
    </row>
    <row r="15" spans="1:23" ht="17.5" customHeight="1" x14ac:dyDescent="0.4">
      <c r="A15" s="13" t="s">
        <v>41</v>
      </c>
      <c r="B15" s="13" t="s">
        <v>42</v>
      </c>
      <c r="C15" s="13" t="s">
        <v>43</v>
      </c>
      <c r="D15" s="14">
        <v>0</v>
      </c>
      <c r="E15" s="15">
        <v>10</v>
      </c>
      <c r="F15" s="15">
        <v>0</v>
      </c>
      <c r="G15" s="15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/>
      <c r="W15" s="9"/>
    </row>
    <row r="16" spans="1:23" ht="17.5" customHeight="1" x14ac:dyDescent="0.4">
      <c r="A16" s="13" t="s">
        <v>44</v>
      </c>
      <c r="B16" s="13" t="s">
        <v>45</v>
      </c>
      <c r="C16" s="13" t="s">
        <v>46</v>
      </c>
      <c r="D16" s="14">
        <v>299</v>
      </c>
      <c r="E16" s="15">
        <v>20</v>
      </c>
      <c r="F16" s="15">
        <v>378</v>
      </c>
      <c r="G16" s="15">
        <v>266</v>
      </c>
      <c r="H16" s="8">
        <v>84</v>
      </c>
      <c r="I16" s="8">
        <v>56</v>
      </c>
      <c r="J16" s="8">
        <v>56</v>
      </c>
      <c r="K16" s="8">
        <v>56</v>
      </c>
      <c r="L16" s="8">
        <v>56</v>
      </c>
      <c r="M16" s="8">
        <v>70</v>
      </c>
      <c r="N16" s="8">
        <v>0</v>
      </c>
      <c r="O16" s="9">
        <v>56</v>
      </c>
      <c r="P16" s="9">
        <v>56</v>
      </c>
      <c r="Q16" s="9">
        <v>42</v>
      </c>
      <c r="R16" s="9">
        <v>28</v>
      </c>
      <c r="S16" s="9">
        <v>42</v>
      </c>
      <c r="T16" s="9">
        <v>42</v>
      </c>
      <c r="U16" s="9">
        <v>0</v>
      </c>
      <c r="V16" s="9"/>
      <c r="W16" s="9"/>
    </row>
    <row r="17" spans="1:23" ht="17.5" customHeight="1" x14ac:dyDescent="0.4">
      <c r="A17" s="13" t="s">
        <v>47</v>
      </c>
      <c r="B17" s="13" t="s">
        <v>48</v>
      </c>
      <c r="C17" s="13" t="s">
        <v>49</v>
      </c>
      <c r="D17" s="14">
        <v>23</v>
      </c>
      <c r="E17" s="15">
        <v>22</v>
      </c>
      <c r="F17" s="15">
        <v>28</v>
      </c>
      <c r="G17" s="15">
        <v>28</v>
      </c>
      <c r="H17" s="8">
        <v>0</v>
      </c>
      <c r="I17" s="8">
        <v>14</v>
      </c>
      <c r="J17" s="8">
        <v>0</v>
      </c>
      <c r="K17" s="8">
        <v>0</v>
      </c>
      <c r="L17" s="8">
        <v>14</v>
      </c>
      <c r="M17" s="8">
        <v>0</v>
      </c>
      <c r="N17" s="8">
        <v>0</v>
      </c>
      <c r="O17" s="9">
        <v>0</v>
      </c>
      <c r="P17" s="9">
        <v>0</v>
      </c>
      <c r="Q17" s="9">
        <v>0</v>
      </c>
      <c r="R17" s="9">
        <v>14</v>
      </c>
      <c r="S17" s="9">
        <v>14</v>
      </c>
      <c r="T17" s="9">
        <v>0</v>
      </c>
      <c r="U17" s="9">
        <v>0</v>
      </c>
      <c r="V17" s="9"/>
      <c r="W17" s="9"/>
    </row>
    <row r="18" spans="1:23" ht="17.5" customHeight="1" x14ac:dyDescent="0.4">
      <c r="A18" s="13" t="s">
        <v>50</v>
      </c>
      <c r="B18" s="13" t="s">
        <v>51</v>
      </c>
      <c r="C18" s="13" t="s">
        <v>52</v>
      </c>
      <c r="D18" s="14">
        <v>0</v>
      </c>
      <c r="E18" s="15">
        <v>0</v>
      </c>
      <c r="F18" s="15">
        <v>0</v>
      </c>
      <c r="G18" s="15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/>
      <c r="W18" s="9"/>
    </row>
    <row r="19" spans="1:23" ht="17.5" customHeight="1" x14ac:dyDescent="0.4">
      <c r="A19" s="13" t="s">
        <v>53</v>
      </c>
      <c r="B19" s="13" t="s">
        <v>54</v>
      </c>
      <c r="C19" s="13" t="s">
        <v>55</v>
      </c>
      <c r="D19" s="14">
        <v>0</v>
      </c>
      <c r="E19" s="15">
        <v>15</v>
      </c>
      <c r="F19" s="15">
        <v>14</v>
      </c>
      <c r="G19" s="15">
        <v>14</v>
      </c>
      <c r="H19" s="8">
        <v>0</v>
      </c>
      <c r="I19" s="8">
        <v>0</v>
      </c>
      <c r="J19" s="8">
        <v>14</v>
      </c>
      <c r="K19" s="8">
        <v>0</v>
      </c>
      <c r="L19" s="8">
        <v>0</v>
      </c>
      <c r="M19" s="8">
        <v>0</v>
      </c>
      <c r="N19" s="8">
        <v>0</v>
      </c>
      <c r="O19" s="9">
        <v>0</v>
      </c>
      <c r="P19" s="9">
        <v>0</v>
      </c>
      <c r="Q19" s="9">
        <v>0</v>
      </c>
      <c r="R19" s="9">
        <v>14</v>
      </c>
      <c r="S19" s="9">
        <v>0</v>
      </c>
      <c r="T19" s="9">
        <v>0</v>
      </c>
      <c r="U19" s="9">
        <v>0</v>
      </c>
      <c r="V19" s="9"/>
      <c r="W19" s="9"/>
    </row>
    <row r="20" spans="1:23" ht="17.5" customHeight="1" x14ac:dyDescent="0.4">
      <c r="A20" s="13" t="s">
        <v>56</v>
      </c>
      <c r="B20" s="13" t="s">
        <v>57</v>
      </c>
      <c r="C20" s="13" t="s">
        <v>58</v>
      </c>
      <c r="D20" s="14">
        <v>10</v>
      </c>
      <c r="E20" s="15">
        <v>22</v>
      </c>
      <c r="F20" s="15">
        <v>14</v>
      </c>
      <c r="G20" s="15">
        <v>14</v>
      </c>
      <c r="H20" s="8">
        <v>0</v>
      </c>
      <c r="I20" s="8">
        <v>0</v>
      </c>
      <c r="J20" s="8">
        <v>0</v>
      </c>
      <c r="K20" s="8">
        <v>14</v>
      </c>
      <c r="L20" s="8">
        <v>0</v>
      </c>
      <c r="M20" s="8">
        <v>0</v>
      </c>
      <c r="N20" s="8">
        <v>0</v>
      </c>
      <c r="O20" s="9">
        <v>0</v>
      </c>
      <c r="P20" s="9">
        <v>0</v>
      </c>
      <c r="Q20" s="9">
        <v>0</v>
      </c>
      <c r="R20" s="9">
        <v>0</v>
      </c>
      <c r="S20" s="9">
        <v>14</v>
      </c>
      <c r="T20" s="9">
        <v>0</v>
      </c>
      <c r="U20" s="9">
        <v>0</v>
      </c>
      <c r="V20" s="9"/>
      <c r="W20" s="9"/>
    </row>
    <row r="21" spans="1:23" ht="17.5" customHeight="1" x14ac:dyDescent="0.4">
      <c r="A21" s="13" t="s">
        <v>59</v>
      </c>
      <c r="B21" s="13" t="s">
        <v>60</v>
      </c>
      <c r="C21" s="13" t="s">
        <v>61</v>
      </c>
      <c r="D21" s="14">
        <v>9</v>
      </c>
      <c r="E21" s="15">
        <v>22</v>
      </c>
      <c r="F21" s="15">
        <v>14</v>
      </c>
      <c r="G21" s="15">
        <v>28</v>
      </c>
      <c r="H21" s="8">
        <v>0</v>
      </c>
      <c r="I21" s="8">
        <v>0</v>
      </c>
      <c r="J21" s="8">
        <v>0</v>
      </c>
      <c r="K21" s="8">
        <v>14</v>
      </c>
      <c r="L21" s="8">
        <v>0</v>
      </c>
      <c r="M21" s="8">
        <v>0</v>
      </c>
      <c r="N21" s="8">
        <v>0</v>
      </c>
      <c r="O21" s="9">
        <v>0</v>
      </c>
      <c r="P21" s="9">
        <v>0</v>
      </c>
      <c r="Q21" s="9">
        <v>0</v>
      </c>
      <c r="R21" s="9">
        <v>14</v>
      </c>
      <c r="S21" s="9">
        <v>0</v>
      </c>
      <c r="T21" s="9">
        <v>14</v>
      </c>
      <c r="U21" s="9">
        <v>0</v>
      </c>
      <c r="V21" s="9"/>
      <c r="W21" s="9"/>
    </row>
    <row r="22" spans="1:23" ht="32" customHeight="1" x14ac:dyDescent="0.4">
      <c r="A22" s="74" t="s">
        <v>10</v>
      </c>
      <c r="B22" s="74" t="s">
        <v>11</v>
      </c>
      <c r="C22" s="74" t="s">
        <v>12</v>
      </c>
      <c r="D22" s="74" t="s">
        <v>13</v>
      </c>
      <c r="E22" s="74" t="s">
        <v>17</v>
      </c>
      <c r="F22" s="68" t="s">
        <v>122</v>
      </c>
      <c r="G22" s="68" t="s">
        <v>123</v>
      </c>
      <c r="H22" s="71" t="s">
        <v>0</v>
      </c>
      <c r="I22" s="72"/>
      <c r="J22" s="72"/>
      <c r="K22" s="72"/>
      <c r="L22" s="72"/>
      <c r="M22" s="73"/>
      <c r="N22" s="8"/>
      <c r="O22" s="63" t="s">
        <v>1</v>
      </c>
      <c r="P22" s="64"/>
      <c r="Q22" s="64"/>
      <c r="R22" s="64"/>
      <c r="S22" s="64"/>
      <c r="T22" s="64"/>
      <c r="U22" s="64"/>
      <c r="V22" s="64"/>
      <c r="W22" s="64"/>
    </row>
    <row r="23" spans="1:23" ht="17.5" customHeight="1" x14ac:dyDescent="0.4">
      <c r="A23" s="75"/>
      <c r="B23" s="75"/>
      <c r="C23" s="75"/>
      <c r="D23" s="75"/>
      <c r="E23" s="75"/>
      <c r="F23" s="69"/>
      <c r="G23" s="69"/>
      <c r="H23" s="5" t="s">
        <v>2</v>
      </c>
      <c r="I23" s="5" t="s">
        <v>3</v>
      </c>
      <c r="J23" s="5" t="s">
        <v>4</v>
      </c>
      <c r="K23" s="5" t="s">
        <v>5</v>
      </c>
      <c r="L23" s="5" t="s">
        <v>6</v>
      </c>
      <c r="M23" s="5" t="s">
        <v>7</v>
      </c>
      <c r="N23" s="5" t="s">
        <v>8</v>
      </c>
      <c r="O23" s="6" t="s">
        <v>2</v>
      </c>
      <c r="P23" s="6" t="s">
        <v>3</v>
      </c>
      <c r="Q23" s="6" t="s">
        <v>4</v>
      </c>
      <c r="R23" s="6" t="s">
        <v>5</v>
      </c>
      <c r="S23" s="6" t="s">
        <v>6</v>
      </c>
      <c r="T23" s="6" t="s">
        <v>7</v>
      </c>
      <c r="U23" s="6" t="s">
        <v>8</v>
      </c>
      <c r="V23" s="11"/>
      <c r="W23" s="11"/>
    </row>
    <row r="24" spans="1:23" ht="17.5" customHeight="1" x14ac:dyDescent="0.4">
      <c r="A24" s="76"/>
      <c r="B24" s="76"/>
      <c r="C24" s="76"/>
      <c r="D24" s="76"/>
      <c r="E24" s="76"/>
      <c r="F24" s="69"/>
      <c r="G24" s="69"/>
      <c r="H24" s="10">
        <v>0.27083333333333331</v>
      </c>
      <c r="I24" s="10">
        <v>0.33333333333333331</v>
      </c>
      <c r="J24" s="10">
        <v>0.41666666666666669</v>
      </c>
      <c r="K24" s="10">
        <v>0.5</v>
      </c>
      <c r="L24" s="10">
        <v>0.58333333333333337</v>
      </c>
      <c r="M24" s="17"/>
      <c r="N24" s="8"/>
      <c r="O24" s="11"/>
      <c r="P24" s="11"/>
      <c r="Q24" s="45"/>
      <c r="R24" s="45"/>
      <c r="S24" s="45"/>
      <c r="T24" s="45"/>
      <c r="U24" s="45"/>
      <c r="V24" s="45"/>
      <c r="W24" s="11"/>
    </row>
    <row r="25" spans="1:23" ht="18.5" x14ac:dyDescent="0.4">
      <c r="A25" s="13" t="s">
        <v>62</v>
      </c>
      <c r="B25" s="13" t="s">
        <v>63</v>
      </c>
      <c r="C25" s="13" t="s">
        <v>64</v>
      </c>
      <c r="D25" s="14">
        <v>143</v>
      </c>
      <c r="E25" s="15">
        <v>12</v>
      </c>
      <c r="F25" s="15"/>
      <c r="G25" s="15"/>
      <c r="H25" s="8">
        <v>32</v>
      </c>
      <c r="I25" s="8">
        <v>32</v>
      </c>
      <c r="J25" s="8">
        <v>48</v>
      </c>
      <c r="K25" s="8">
        <v>48</v>
      </c>
      <c r="L25" s="8">
        <v>16</v>
      </c>
      <c r="M25" s="8">
        <v>0</v>
      </c>
      <c r="N25" s="8">
        <v>0</v>
      </c>
      <c r="O25" s="9">
        <v>32</v>
      </c>
      <c r="P25" s="9">
        <v>44</v>
      </c>
      <c r="Q25" s="9">
        <v>28</v>
      </c>
      <c r="R25" s="9">
        <v>32</v>
      </c>
      <c r="S25" s="9">
        <v>0</v>
      </c>
      <c r="T25" s="9">
        <v>0</v>
      </c>
      <c r="U25" s="9">
        <v>0</v>
      </c>
      <c r="V25" s="21"/>
      <c r="W25" s="9">
        <v>136</v>
      </c>
    </row>
    <row r="26" spans="1:23" ht="17.5" customHeight="1" x14ac:dyDescent="0.4">
      <c r="A26" s="13" t="s">
        <v>65</v>
      </c>
      <c r="B26" s="13" t="s">
        <v>66</v>
      </c>
      <c r="C26" s="13" t="s">
        <v>67</v>
      </c>
      <c r="D26" s="14">
        <v>80</v>
      </c>
      <c r="E26" s="15">
        <v>46</v>
      </c>
      <c r="F26" s="15">
        <v>96</v>
      </c>
      <c r="G26" s="15">
        <v>64</v>
      </c>
      <c r="H26" s="8">
        <v>16</v>
      </c>
      <c r="I26" s="8">
        <v>16</v>
      </c>
      <c r="J26" s="8">
        <v>16</v>
      </c>
      <c r="K26" s="8">
        <v>16</v>
      </c>
      <c r="L26" s="8">
        <v>32</v>
      </c>
      <c r="M26" s="8">
        <v>0</v>
      </c>
      <c r="N26" s="8"/>
      <c r="O26" s="9">
        <v>16</v>
      </c>
      <c r="P26" s="9">
        <v>16</v>
      </c>
      <c r="Q26" s="9">
        <v>16</v>
      </c>
      <c r="R26" s="9">
        <v>16</v>
      </c>
      <c r="S26" s="9">
        <v>0</v>
      </c>
      <c r="T26" s="9">
        <v>0</v>
      </c>
      <c r="U26" s="9">
        <v>0</v>
      </c>
      <c r="V26" s="6"/>
      <c r="W26" s="9">
        <v>64</v>
      </c>
    </row>
    <row r="27" spans="1:23" ht="18.5" x14ac:dyDescent="0.4">
      <c r="A27" s="13" t="s">
        <v>68</v>
      </c>
      <c r="B27" s="13" t="s">
        <v>69</v>
      </c>
      <c r="C27" s="13" t="s">
        <v>70</v>
      </c>
      <c r="D27" s="14">
        <v>134</v>
      </c>
      <c r="E27" s="15">
        <v>146</v>
      </c>
      <c r="F27" s="15">
        <v>144</v>
      </c>
      <c r="G27" s="15">
        <v>104</v>
      </c>
      <c r="H27" s="8">
        <v>16</v>
      </c>
      <c r="I27" s="8">
        <v>16</v>
      </c>
      <c r="J27" s="8">
        <v>32</v>
      </c>
      <c r="K27" s="8">
        <v>32</v>
      </c>
      <c r="L27" s="8">
        <v>48</v>
      </c>
      <c r="M27" s="8">
        <v>0</v>
      </c>
      <c r="N27" s="8"/>
      <c r="O27" s="9">
        <v>32</v>
      </c>
      <c r="P27" s="9">
        <v>16</v>
      </c>
      <c r="Q27" s="9">
        <v>28</v>
      </c>
      <c r="R27" s="9">
        <v>28</v>
      </c>
      <c r="S27" s="9">
        <v>0</v>
      </c>
      <c r="T27" s="9">
        <v>0</v>
      </c>
      <c r="U27" s="9">
        <v>0</v>
      </c>
      <c r="V27" s="6"/>
      <c r="W27" s="9">
        <v>104</v>
      </c>
    </row>
    <row r="28" spans="1:23" ht="18.5" x14ac:dyDescent="0.4">
      <c r="A28" s="13" t="s">
        <v>71</v>
      </c>
      <c r="B28" s="13" t="s">
        <v>72</v>
      </c>
      <c r="C28" s="13" t="s">
        <v>73</v>
      </c>
      <c r="D28" s="14">
        <v>37</v>
      </c>
      <c r="E28" s="15">
        <v>51</v>
      </c>
      <c r="F28" s="15">
        <v>16</v>
      </c>
      <c r="G28" s="15">
        <v>16</v>
      </c>
      <c r="H28" s="8">
        <v>16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/>
      <c r="O28" s="9">
        <v>0</v>
      </c>
      <c r="P28" s="9">
        <v>0</v>
      </c>
      <c r="Q28" s="9">
        <v>16</v>
      </c>
      <c r="R28" s="9">
        <v>0</v>
      </c>
      <c r="S28" s="9">
        <v>0</v>
      </c>
      <c r="T28" s="9">
        <v>0</v>
      </c>
      <c r="U28" s="9">
        <v>0</v>
      </c>
      <c r="V28" s="6"/>
      <c r="W28" s="9">
        <v>16</v>
      </c>
    </row>
    <row r="29" spans="1:23" ht="18.5" x14ac:dyDescent="0.4">
      <c r="A29" s="13" t="s">
        <v>74</v>
      </c>
      <c r="B29" s="13" t="s">
        <v>75</v>
      </c>
      <c r="C29" s="13" t="s">
        <v>76</v>
      </c>
      <c r="D29" s="14">
        <v>37</v>
      </c>
      <c r="E29" s="15">
        <v>29</v>
      </c>
      <c r="F29" s="15">
        <v>48</v>
      </c>
      <c r="G29" s="15">
        <v>40</v>
      </c>
      <c r="H29" s="8">
        <v>16</v>
      </c>
      <c r="I29" s="8">
        <v>16</v>
      </c>
      <c r="J29" s="8">
        <v>0</v>
      </c>
      <c r="K29" s="8">
        <v>16</v>
      </c>
      <c r="L29" s="8">
        <v>0</v>
      </c>
      <c r="M29" s="8">
        <v>0</v>
      </c>
      <c r="N29" s="8"/>
      <c r="O29" s="9">
        <v>12</v>
      </c>
      <c r="P29" s="9">
        <v>12</v>
      </c>
      <c r="Q29" s="9">
        <v>0</v>
      </c>
      <c r="R29" s="9">
        <v>16</v>
      </c>
      <c r="S29" s="9">
        <v>0</v>
      </c>
      <c r="T29" s="9">
        <v>0</v>
      </c>
      <c r="U29" s="9">
        <v>0</v>
      </c>
      <c r="V29" s="6"/>
      <c r="W29" s="9">
        <v>40</v>
      </c>
    </row>
  </sheetData>
  <protectedRanges>
    <protectedRange sqref="E13" name="Range1_5_1_1_2"/>
    <protectedRange sqref="E12" name="Range1_2_3_1_1_2"/>
    <protectedRange sqref="E7:E11 F26:G29 F7:G21" name="Range1_3_2_2"/>
  </protectedRanges>
  <mergeCells count="19">
    <mergeCell ref="D1:D2"/>
    <mergeCell ref="H1:M1"/>
    <mergeCell ref="O1:W1"/>
    <mergeCell ref="B2:C2"/>
    <mergeCell ref="A3:A6"/>
    <mergeCell ref="B3:B6"/>
    <mergeCell ref="C3:C6"/>
    <mergeCell ref="D3:D6"/>
    <mergeCell ref="F3:F6"/>
    <mergeCell ref="G3:G6"/>
    <mergeCell ref="G22:G24"/>
    <mergeCell ref="H22:M22"/>
    <mergeCell ref="O22:W22"/>
    <mergeCell ref="A22:A24"/>
    <mergeCell ref="B22:B24"/>
    <mergeCell ref="C22:C24"/>
    <mergeCell ref="D22:D24"/>
    <mergeCell ref="E22:E24"/>
    <mergeCell ref="F22:F24"/>
  </mergeCells>
  <pageMargins left="0.70866141732283472" right="0.70866141732283472" top="0.74803149606299213" bottom="0.74803149606299213" header="0.31496062992125984" footer="0.31496062992125984"/>
  <pageSetup scale="72" orientation="landscape" horizontalDpi="200" verticalDpi="200" r:id="rId1"/>
  <headerFooter>
    <oddFooter>&amp;L_x000D_&amp;1#&amp;"Calibri Light"&amp;8&amp;K000000 Classified as 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1B3B-CFF6-4571-946B-FD0DC65E6AD9}">
  <sheetPr>
    <pageSetUpPr fitToPage="1"/>
  </sheetPr>
  <dimension ref="A1:W29"/>
  <sheetViews>
    <sheetView showZeros="0" zoomScale="70" zoomScaleNormal="70" workbookViewId="0">
      <pane xSplit="5" ySplit="6" topLeftCell="F16" activePane="bottomRight" state="frozen"/>
      <selection activeCell="M7" sqref="M7"/>
      <selection pane="topRight" activeCell="M7" sqref="M7"/>
      <selection pane="bottomLeft" activeCell="M7" sqref="M7"/>
      <selection pane="bottomRight" activeCell="H17" sqref="H17"/>
    </sheetView>
  </sheetViews>
  <sheetFormatPr defaultRowHeight="16" x14ac:dyDescent="0.4"/>
  <cols>
    <col min="1" max="1" width="18.26953125" style="1" bestFit="1" customWidth="1"/>
    <col min="2" max="2" width="18.54296875" style="1" bestFit="1" customWidth="1"/>
    <col min="3" max="3" width="17" style="1" customWidth="1"/>
    <col min="4" max="4" width="12.54296875" style="1" bestFit="1" customWidth="1"/>
    <col min="5" max="7" width="12" style="1" customWidth="1"/>
    <col min="8" max="8" width="9.08984375" style="1" customWidth="1"/>
    <col min="9" max="9" width="6.453125" style="1" bestFit="1" customWidth="1"/>
    <col min="10" max="15" width="6.36328125" style="1" customWidth="1"/>
    <col min="16" max="16" width="6.453125" style="1" bestFit="1" customWidth="1"/>
    <col min="17" max="23" width="6.36328125" style="1" customWidth="1"/>
    <col min="24" max="16384" width="8.7265625" style="1"/>
  </cols>
  <sheetData>
    <row r="1" spans="1:23" ht="18.5" x14ac:dyDescent="0.45">
      <c r="C1" s="2">
        <f>'8-Sep'!F1</f>
        <v>45908</v>
      </c>
      <c r="D1" s="60"/>
      <c r="H1" s="62" t="s">
        <v>0</v>
      </c>
      <c r="I1" s="62"/>
      <c r="J1" s="62"/>
      <c r="K1" s="62"/>
      <c r="L1" s="62"/>
      <c r="M1" s="62"/>
      <c r="N1" s="3"/>
      <c r="O1" s="63" t="s">
        <v>1</v>
      </c>
      <c r="P1" s="64"/>
      <c r="Q1" s="64"/>
      <c r="R1" s="64"/>
      <c r="S1" s="64"/>
      <c r="T1" s="64"/>
      <c r="U1" s="64"/>
      <c r="V1" s="64"/>
      <c r="W1" s="64"/>
    </row>
    <row r="2" spans="1:23" x14ac:dyDescent="0.4">
      <c r="B2" s="65"/>
      <c r="C2" s="66"/>
      <c r="D2" s="61"/>
      <c r="E2" s="4"/>
      <c r="F2" s="4"/>
      <c r="G2" s="4"/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O2" s="6" t="s">
        <v>2</v>
      </c>
      <c r="P2" s="6" t="s">
        <v>3</v>
      </c>
      <c r="Q2" s="6" t="s">
        <v>4</v>
      </c>
      <c r="R2" s="6" t="s">
        <v>5</v>
      </c>
      <c r="S2" s="6" t="s">
        <v>6</v>
      </c>
      <c r="T2" s="6" t="s">
        <v>7</v>
      </c>
      <c r="U2" s="6" t="s">
        <v>8</v>
      </c>
      <c r="V2" s="6" t="s">
        <v>9</v>
      </c>
      <c r="W2" s="6"/>
    </row>
    <row r="3" spans="1:23" x14ac:dyDescent="0.4">
      <c r="A3" s="59" t="s">
        <v>10</v>
      </c>
      <c r="B3" s="67" t="s">
        <v>11</v>
      </c>
      <c r="C3" s="67" t="s">
        <v>12</v>
      </c>
      <c r="D3" s="59" t="s">
        <v>13</v>
      </c>
      <c r="E3" s="7" t="s">
        <v>14</v>
      </c>
      <c r="F3" s="68" t="s">
        <v>122</v>
      </c>
      <c r="G3" s="68" t="s">
        <v>123</v>
      </c>
      <c r="H3" s="8">
        <f>'8-Sep'!M4</f>
        <v>0</v>
      </c>
      <c r="I3" s="8">
        <f>'8-Sep'!N4</f>
        <v>0</v>
      </c>
      <c r="J3" s="8">
        <f>'8-Sep'!O4</f>
        <v>0</v>
      </c>
      <c r="K3" s="8">
        <f>'8-Sep'!P4</f>
        <v>0</v>
      </c>
      <c r="L3" s="8">
        <f>'8-Sep'!Q4</f>
        <v>0</v>
      </c>
      <c r="M3" s="8">
        <f>'8-Sep'!R4</f>
        <v>0</v>
      </c>
      <c r="N3" s="8">
        <f>'8-Sep'!S4</f>
        <v>0</v>
      </c>
      <c r="O3" s="9">
        <f>'8-Sep'!T4</f>
        <v>0</v>
      </c>
      <c r="P3" s="9">
        <f>'8-Sep'!U4</f>
        <v>0</v>
      </c>
      <c r="Q3" s="9">
        <f>'8-Sep'!V4</f>
        <v>0</v>
      </c>
      <c r="R3" s="9">
        <f>'8-Sep'!W4</f>
        <v>0</v>
      </c>
      <c r="S3" s="9">
        <f>'8-Sep'!X4</f>
        <v>0</v>
      </c>
      <c r="T3" s="9">
        <f>'8-Sep'!Y4</f>
        <v>0</v>
      </c>
      <c r="U3" s="9">
        <f>'8-Sep'!Z4</f>
        <v>0</v>
      </c>
      <c r="V3" s="9"/>
      <c r="W3" s="9"/>
    </row>
    <row r="4" spans="1:23" x14ac:dyDescent="0.4">
      <c r="A4" s="59"/>
      <c r="B4" s="67"/>
      <c r="C4" s="67"/>
      <c r="D4" s="59"/>
      <c r="E4" s="7" t="s">
        <v>15</v>
      </c>
      <c r="F4" s="69"/>
      <c r="G4" s="69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</row>
    <row r="5" spans="1:23" x14ac:dyDescent="0.4">
      <c r="A5" s="59"/>
      <c r="B5" s="67"/>
      <c r="C5" s="67"/>
      <c r="D5" s="59"/>
      <c r="E5" s="7" t="s">
        <v>16</v>
      </c>
      <c r="F5" s="69"/>
      <c r="G5" s="69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</row>
    <row r="6" spans="1:23" ht="16" customHeight="1" x14ac:dyDescent="0.4">
      <c r="A6" s="59"/>
      <c r="B6" s="67"/>
      <c r="C6" s="67"/>
      <c r="D6" s="59"/>
      <c r="E6" s="7" t="s">
        <v>17</v>
      </c>
      <c r="F6" s="70"/>
      <c r="G6" s="70"/>
      <c r="H6" s="10">
        <f>'8-Sep'!M6</f>
        <v>0.25</v>
      </c>
      <c r="I6" s="10">
        <f>'8-Sep'!N6</f>
        <v>0.25</v>
      </c>
      <c r="J6" s="10">
        <f>'8-Sep'!O6</f>
        <v>0.375</v>
      </c>
      <c r="K6" s="10">
        <f>'8-Sep'!P6</f>
        <v>0.625</v>
      </c>
      <c r="L6" s="10">
        <f>'8-Sep'!Q6</f>
        <v>0.75</v>
      </c>
      <c r="M6" s="10">
        <f>'8-Sep'!R6</f>
        <v>0</v>
      </c>
      <c r="N6" s="10"/>
      <c r="O6" s="11">
        <f>'8-Sep'!T6</f>
        <v>0</v>
      </c>
      <c r="P6" s="11">
        <f>'8-Sep'!U6</f>
        <v>0</v>
      </c>
      <c r="Q6" s="11">
        <f>'8-Sep'!V6</f>
        <v>0</v>
      </c>
      <c r="R6" s="11">
        <f>'8-Sep'!W6</f>
        <v>0</v>
      </c>
      <c r="S6" s="11">
        <f>'8-Sep'!X6</f>
        <v>0</v>
      </c>
      <c r="T6" s="11">
        <f>'8-Sep'!Y6</f>
        <v>0</v>
      </c>
      <c r="U6" s="11">
        <f>'8-Sep'!Z6</f>
        <v>0</v>
      </c>
      <c r="V6" s="11"/>
      <c r="W6" s="12"/>
    </row>
    <row r="7" spans="1:23" ht="17.5" customHeight="1" x14ac:dyDescent="0.4">
      <c r="A7" s="13" t="s">
        <v>18</v>
      </c>
      <c r="B7" s="13" t="s">
        <v>19</v>
      </c>
      <c r="C7" s="13" t="s">
        <v>20</v>
      </c>
      <c r="D7" s="14">
        <f>VLOOKUP($A7,'8-Sep'!$A:$F,5,0)</f>
        <v>26</v>
      </c>
      <c r="E7" s="15">
        <f>VLOOKUP($A7,'8-Sep'!$A:$F,6,0)</f>
        <v>81</v>
      </c>
      <c r="F7" s="15">
        <f t="shared" ref="F7:F21" si="0">SUM(H7:N7)</f>
        <v>96</v>
      </c>
      <c r="G7" s="15">
        <f t="shared" ref="G7:G21" si="1">SUM(O7:U7)</f>
        <v>0</v>
      </c>
      <c r="H7" s="8">
        <f>'8-Sep'!M7</f>
        <v>0</v>
      </c>
      <c r="I7" s="8">
        <f>'8-Sep'!N7</f>
        <v>96</v>
      </c>
      <c r="J7" s="8">
        <f>'8-Sep'!O7</f>
        <v>0</v>
      </c>
      <c r="K7" s="8">
        <f>'8-Sep'!P7</f>
        <v>0</v>
      </c>
      <c r="L7" s="8">
        <f>'8-Sep'!Q7</f>
        <v>0</v>
      </c>
      <c r="M7" s="8">
        <f>'8-Sep'!R7</f>
        <v>0</v>
      </c>
      <c r="N7" s="8">
        <f>'8-Sep'!S7</f>
        <v>0</v>
      </c>
      <c r="O7" s="9">
        <f>VLOOKUP($A7,'8-Sep'!$A$3:$Z$45,20,0)</f>
        <v>0</v>
      </c>
      <c r="P7" s="9">
        <f>VLOOKUP($A7,'8-Sep'!$A$3:$Z$45,21,0)</f>
        <v>0</v>
      </c>
      <c r="Q7" s="9">
        <f>VLOOKUP($A7,'8-Sep'!$A$3:$Z$45,22,0)</f>
        <v>0</v>
      </c>
      <c r="R7" s="9">
        <f>VLOOKUP($A7,'8-Sep'!$A$3:$Z$45,23,0)</f>
        <v>0</v>
      </c>
      <c r="S7" s="9">
        <f>VLOOKUP($A7,'8-Sep'!$A$3:$Z$45,24,0)</f>
        <v>0</v>
      </c>
      <c r="T7" s="9">
        <f>VLOOKUP($A7,'8-Sep'!$A$3:$Z$45,25,0)</f>
        <v>0</v>
      </c>
      <c r="U7" s="9">
        <f>VLOOKUP($A7,'8-Sep'!$A$3:$Z$45,26,0)</f>
        <v>0</v>
      </c>
      <c r="V7" s="9"/>
      <c r="W7" s="9"/>
    </row>
    <row r="8" spans="1:23" ht="17.5" customHeight="1" x14ac:dyDescent="0.4">
      <c r="A8" s="13" t="s">
        <v>21</v>
      </c>
      <c r="B8" s="13" t="s">
        <v>22</v>
      </c>
      <c r="C8" s="13" t="s">
        <v>23</v>
      </c>
      <c r="D8" s="14">
        <f>VLOOKUP($A8,'8-Sep'!$A:$F,5,0)</f>
        <v>374</v>
      </c>
      <c r="E8" s="15">
        <f>VLOOKUP($A8,'8-Sep'!$A:$F,6,0)</f>
        <v>71</v>
      </c>
      <c r="F8" s="15">
        <f t="shared" si="0"/>
        <v>480</v>
      </c>
      <c r="G8" s="15">
        <f t="shared" si="1"/>
        <v>0</v>
      </c>
      <c r="H8" s="8">
        <f>'8-Sep'!M8</f>
        <v>192</v>
      </c>
      <c r="I8" s="8">
        <f>'8-Sep'!N8</f>
        <v>0</v>
      </c>
      <c r="J8" s="8">
        <f>'8-Sep'!O8</f>
        <v>96</v>
      </c>
      <c r="K8" s="8">
        <f>'8-Sep'!P8</f>
        <v>96</v>
      </c>
      <c r="L8" s="8">
        <f>'8-Sep'!Q8</f>
        <v>96</v>
      </c>
      <c r="M8" s="8">
        <f>'8-Sep'!R8</f>
        <v>0</v>
      </c>
      <c r="N8" s="8">
        <f>'8-Sep'!S8</f>
        <v>0</v>
      </c>
      <c r="O8" s="9">
        <f>VLOOKUP($A8,'8-Sep'!$A$3:$Z$45,20,0)</f>
        <v>0</v>
      </c>
      <c r="P8" s="9">
        <f>VLOOKUP($A8,'8-Sep'!$A$3:$Z$45,21,0)</f>
        <v>0</v>
      </c>
      <c r="Q8" s="9">
        <f>VLOOKUP($A8,'8-Sep'!$A$3:$Z$45,22,0)</f>
        <v>0</v>
      </c>
      <c r="R8" s="9">
        <f>VLOOKUP($A8,'8-Sep'!$A$3:$Z$45,23,0)</f>
        <v>0</v>
      </c>
      <c r="S8" s="9">
        <f>VLOOKUP($A8,'8-Sep'!$A$3:$Z$45,24,0)</f>
        <v>0</v>
      </c>
      <c r="T8" s="9">
        <f>VLOOKUP($A8,'8-Sep'!$A$3:$Z$45,25,0)</f>
        <v>0</v>
      </c>
      <c r="U8" s="9">
        <f>VLOOKUP($A8,'8-Sep'!$A$3:$Z$45,26,0)</f>
        <v>0</v>
      </c>
      <c r="V8" s="9"/>
      <c r="W8" s="9"/>
    </row>
    <row r="9" spans="1:23" ht="17.5" customHeight="1" x14ac:dyDescent="0.4">
      <c r="A9" s="13" t="s">
        <v>24</v>
      </c>
      <c r="B9" s="13" t="s">
        <v>25</v>
      </c>
      <c r="C9" s="13" t="s">
        <v>26</v>
      </c>
      <c r="D9" s="14">
        <f>VLOOKUP($A9,'8-Sep'!$A:$F,5,0)</f>
        <v>20</v>
      </c>
      <c r="E9" s="15">
        <f>VLOOKUP($A9,'8-Sep'!$A:$F,6,0)</f>
        <v>178</v>
      </c>
      <c r="F9" s="15">
        <f t="shared" si="0"/>
        <v>0</v>
      </c>
      <c r="G9" s="15">
        <f t="shared" si="1"/>
        <v>0</v>
      </c>
      <c r="H9" s="8">
        <f>'8-Sep'!M9</f>
        <v>0</v>
      </c>
      <c r="I9" s="8">
        <f>'8-Sep'!N9</f>
        <v>0</v>
      </c>
      <c r="J9" s="8">
        <f>'8-Sep'!O9</f>
        <v>0</v>
      </c>
      <c r="K9" s="8">
        <f>'8-Sep'!P9</f>
        <v>0</v>
      </c>
      <c r="L9" s="8">
        <f>'8-Sep'!Q9</f>
        <v>0</v>
      </c>
      <c r="M9" s="8">
        <f>'8-Sep'!R9</f>
        <v>0</v>
      </c>
      <c r="N9" s="8">
        <f>'8-Sep'!S9</f>
        <v>0</v>
      </c>
      <c r="O9" s="9">
        <f>VLOOKUP($A9,'8-Sep'!$A$3:$Z$45,20,0)</f>
        <v>0</v>
      </c>
      <c r="P9" s="9">
        <f>VLOOKUP($A9,'8-Sep'!$A$3:$Z$45,21,0)</f>
        <v>0</v>
      </c>
      <c r="Q9" s="9">
        <f>VLOOKUP($A9,'8-Sep'!$A$3:$Z$45,22,0)</f>
        <v>0</v>
      </c>
      <c r="R9" s="9">
        <f>VLOOKUP($A9,'8-Sep'!$A$3:$Z$45,23,0)</f>
        <v>0</v>
      </c>
      <c r="S9" s="9">
        <f>VLOOKUP($A9,'8-Sep'!$A$3:$Z$45,24,0)</f>
        <v>0</v>
      </c>
      <c r="T9" s="9">
        <f>VLOOKUP($A9,'8-Sep'!$A$3:$Z$45,25,0)</f>
        <v>0</v>
      </c>
      <c r="U9" s="9">
        <f>VLOOKUP($A9,'8-Sep'!$A$3:$Z$45,26,0)</f>
        <v>0</v>
      </c>
      <c r="V9" s="9"/>
      <c r="W9" s="9"/>
    </row>
    <row r="10" spans="1:23" ht="17.5" customHeight="1" x14ac:dyDescent="0.4">
      <c r="A10" s="16" t="s">
        <v>27</v>
      </c>
      <c r="B10" s="13" t="s">
        <v>28</v>
      </c>
      <c r="C10" s="13" t="s">
        <v>29</v>
      </c>
      <c r="D10" s="14">
        <f>VLOOKUP($A10,'8-Sep'!$A:$F,5,0)</f>
        <v>4</v>
      </c>
      <c r="E10" s="15">
        <f>VLOOKUP($A10,'8-Sep'!$A:$F,6,0)</f>
        <v>200</v>
      </c>
      <c r="F10" s="15">
        <f t="shared" si="0"/>
        <v>0</v>
      </c>
      <c r="G10" s="15">
        <f t="shared" si="1"/>
        <v>0</v>
      </c>
      <c r="H10" s="8">
        <f>'8-Sep'!M10</f>
        <v>0</v>
      </c>
      <c r="I10" s="8">
        <f>'8-Sep'!N10</f>
        <v>0</v>
      </c>
      <c r="J10" s="8">
        <f>'8-Sep'!O10</f>
        <v>0</v>
      </c>
      <c r="K10" s="8">
        <f>'8-Sep'!P10</f>
        <v>0</v>
      </c>
      <c r="L10" s="8">
        <f>'8-Sep'!Q10</f>
        <v>0</v>
      </c>
      <c r="M10" s="8">
        <f>'8-Sep'!R10</f>
        <v>0</v>
      </c>
      <c r="N10" s="8">
        <f>'8-Sep'!S10</f>
        <v>0</v>
      </c>
      <c r="O10" s="9">
        <f>VLOOKUP($A10,'8-Sep'!$A$3:$Z$45,20,0)</f>
        <v>0</v>
      </c>
      <c r="P10" s="9">
        <f>VLOOKUP($A10,'8-Sep'!$A$3:$Z$45,21,0)</f>
        <v>0</v>
      </c>
      <c r="Q10" s="9">
        <f>VLOOKUP($A10,'8-Sep'!$A$3:$Z$45,22,0)</f>
        <v>0</v>
      </c>
      <c r="R10" s="9">
        <f>VLOOKUP($A10,'8-Sep'!$A$3:$Z$45,23,0)</f>
        <v>0</v>
      </c>
      <c r="S10" s="9">
        <f>VLOOKUP($A10,'8-Sep'!$A$3:$Z$45,24,0)</f>
        <v>0</v>
      </c>
      <c r="T10" s="9">
        <f>VLOOKUP($A10,'8-Sep'!$A$3:$Z$45,25,0)</f>
        <v>0</v>
      </c>
      <c r="U10" s="9">
        <f>VLOOKUP($A10,'8-Sep'!$A$3:$Z$45,26,0)</f>
        <v>0</v>
      </c>
      <c r="V10" s="9"/>
      <c r="W10" s="9"/>
    </row>
    <row r="11" spans="1:23" ht="17.5" customHeight="1" x14ac:dyDescent="0.4">
      <c r="A11" s="13" t="s">
        <v>30</v>
      </c>
      <c r="B11" s="13" t="s">
        <v>31</v>
      </c>
      <c r="C11" s="13" t="s">
        <v>32</v>
      </c>
      <c r="D11" s="14">
        <f>VLOOKUP($A11,'8-Sep'!$A:$F,5,0)</f>
        <v>271</v>
      </c>
      <c r="E11" s="15">
        <f>VLOOKUP($A11,'8-Sep'!$A:$F,6,0)</f>
        <v>130</v>
      </c>
      <c r="F11" s="15">
        <f t="shared" si="0"/>
        <v>390</v>
      </c>
      <c r="G11" s="15">
        <f t="shared" si="1"/>
        <v>0</v>
      </c>
      <c r="H11" s="8">
        <f>'8-Sep'!M11</f>
        <v>130</v>
      </c>
      <c r="I11" s="8">
        <f>'8-Sep'!N11</f>
        <v>0</v>
      </c>
      <c r="J11" s="8">
        <f>'8-Sep'!O11</f>
        <v>130</v>
      </c>
      <c r="K11" s="8">
        <f>'8-Sep'!P11</f>
        <v>130</v>
      </c>
      <c r="L11" s="8">
        <f>'8-Sep'!Q11</f>
        <v>0</v>
      </c>
      <c r="M11" s="8">
        <f>'8-Sep'!R11</f>
        <v>0</v>
      </c>
      <c r="N11" s="8">
        <f>'8-Sep'!S11</f>
        <v>0</v>
      </c>
      <c r="O11" s="9">
        <f>VLOOKUP($A11,'8-Sep'!$A$3:$Z$45,20,0)</f>
        <v>0</v>
      </c>
      <c r="P11" s="9">
        <f>VLOOKUP($A11,'8-Sep'!$A$3:$Z$45,21,0)</f>
        <v>0</v>
      </c>
      <c r="Q11" s="9">
        <f>VLOOKUP($A11,'8-Sep'!$A$3:$Z$45,22,0)</f>
        <v>0</v>
      </c>
      <c r="R11" s="9">
        <f>VLOOKUP($A11,'8-Sep'!$A$3:$Z$45,23,0)</f>
        <v>0</v>
      </c>
      <c r="S11" s="9">
        <f>VLOOKUP($A11,'8-Sep'!$A$3:$Z$45,24,0)</f>
        <v>0</v>
      </c>
      <c r="T11" s="9">
        <f>VLOOKUP($A11,'8-Sep'!$A$3:$Z$45,25,0)</f>
        <v>0</v>
      </c>
      <c r="U11" s="9">
        <f>VLOOKUP($A11,'8-Sep'!$A$3:$Z$45,26,0)</f>
        <v>0</v>
      </c>
      <c r="V11" s="9"/>
      <c r="W11" s="9"/>
    </row>
    <row r="12" spans="1:23" ht="17.5" customHeight="1" x14ac:dyDescent="0.4">
      <c r="A12" s="13" t="s">
        <v>33</v>
      </c>
      <c r="B12" s="13" t="s">
        <v>34</v>
      </c>
      <c r="C12" s="13" t="s">
        <v>35</v>
      </c>
      <c r="D12" s="14">
        <f>VLOOKUP($A12,'8-Sep'!$A:$F,5,0)</f>
        <v>0</v>
      </c>
      <c r="E12" s="15">
        <f>VLOOKUP($A12,'8-Sep'!$A:$F,6,0)</f>
        <v>200</v>
      </c>
      <c r="F12" s="15">
        <f t="shared" si="0"/>
        <v>0</v>
      </c>
      <c r="G12" s="15">
        <f t="shared" si="1"/>
        <v>0</v>
      </c>
      <c r="H12" s="8">
        <f>'8-Sep'!M12</f>
        <v>0</v>
      </c>
      <c r="I12" s="8">
        <f>'8-Sep'!N12</f>
        <v>0</v>
      </c>
      <c r="J12" s="8">
        <f>'8-Sep'!O12</f>
        <v>0</v>
      </c>
      <c r="K12" s="8">
        <f>'8-Sep'!P12</f>
        <v>0</v>
      </c>
      <c r="L12" s="8">
        <f>'8-Sep'!Q12</f>
        <v>0</v>
      </c>
      <c r="M12" s="8">
        <f>'8-Sep'!R12</f>
        <v>0</v>
      </c>
      <c r="N12" s="8">
        <f>'8-Sep'!S12</f>
        <v>0</v>
      </c>
      <c r="O12" s="9">
        <f>VLOOKUP($A12,'8-Sep'!$A$3:$Z$45,20,0)</f>
        <v>0</v>
      </c>
      <c r="P12" s="9">
        <f>VLOOKUP($A12,'8-Sep'!$A$3:$Z$45,21,0)</f>
        <v>0</v>
      </c>
      <c r="Q12" s="9">
        <f>VLOOKUP($A12,'8-Sep'!$A$3:$Z$45,22,0)</f>
        <v>0</v>
      </c>
      <c r="R12" s="9">
        <f>VLOOKUP($A12,'8-Sep'!$A$3:$Z$45,23,0)</f>
        <v>0</v>
      </c>
      <c r="S12" s="9">
        <f>VLOOKUP($A12,'8-Sep'!$A$3:$Z$45,24,0)</f>
        <v>0</v>
      </c>
      <c r="T12" s="9">
        <f>VLOOKUP($A12,'8-Sep'!$A$3:$Z$45,25,0)</f>
        <v>0</v>
      </c>
      <c r="U12" s="9">
        <f>VLOOKUP($A12,'8-Sep'!$A$3:$Z$45,26,0)</f>
        <v>0</v>
      </c>
      <c r="V12" s="9"/>
      <c r="W12" s="9"/>
    </row>
    <row r="13" spans="1:23" ht="17.5" customHeight="1" x14ac:dyDescent="0.4">
      <c r="A13" s="13" t="s">
        <v>36</v>
      </c>
      <c r="B13" s="13" t="s">
        <v>37</v>
      </c>
      <c r="C13" s="13">
        <v>630131090</v>
      </c>
      <c r="D13" s="14">
        <f>VLOOKUP($A13,'8-Sep'!$A:$F,5,0)</f>
        <v>20</v>
      </c>
      <c r="E13" s="15">
        <f>VLOOKUP($A13,'8-Sep'!$A:$F,6,0)</f>
        <v>140</v>
      </c>
      <c r="F13" s="15">
        <f t="shared" si="0"/>
        <v>0</v>
      </c>
      <c r="G13" s="15">
        <f t="shared" si="1"/>
        <v>0</v>
      </c>
      <c r="H13" s="8">
        <f>'8-Sep'!M13</f>
        <v>0</v>
      </c>
      <c r="I13" s="8">
        <f>'8-Sep'!N13</f>
        <v>0</v>
      </c>
      <c r="J13" s="8">
        <f>'8-Sep'!O13</f>
        <v>0</v>
      </c>
      <c r="K13" s="8">
        <f>'8-Sep'!P13</f>
        <v>0</v>
      </c>
      <c r="L13" s="8">
        <f>'8-Sep'!Q13</f>
        <v>0</v>
      </c>
      <c r="M13" s="8">
        <f>'8-Sep'!R13</f>
        <v>0</v>
      </c>
      <c r="N13" s="8">
        <f>'8-Sep'!S13</f>
        <v>0</v>
      </c>
      <c r="O13" s="9">
        <f>VLOOKUP($A13,'8-Sep'!$A$3:$Z$45,20,0)</f>
        <v>0</v>
      </c>
      <c r="P13" s="9">
        <f>VLOOKUP($A13,'8-Sep'!$A$3:$Z$45,21,0)</f>
        <v>0</v>
      </c>
      <c r="Q13" s="9">
        <f>VLOOKUP($A13,'8-Sep'!$A$3:$Z$45,22,0)</f>
        <v>0</v>
      </c>
      <c r="R13" s="9">
        <f>VLOOKUP($A13,'8-Sep'!$A$3:$Z$45,23,0)</f>
        <v>0</v>
      </c>
      <c r="S13" s="9">
        <f>VLOOKUP($A13,'8-Sep'!$A$3:$Z$45,24,0)</f>
        <v>0</v>
      </c>
      <c r="T13" s="9">
        <f>VLOOKUP($A13,'8-Sep'!$A$3:$Z$45,25,0)</f>
        <v>0</v>
      </c>
      <c r="U13" s="9">
        <f>VLOOKUP($A13,'8-Sep'!$A$3:$Z$45,26,0)</f>
        <v>0</v>
      </c>
      <c r="V13" s="9"/>
      <c r="W13" s="9"/>
    </row>
    <row r="14" spans="1:23" ht="17.5" customHeight="1" x14ac:dyDescent="0.4">
      <c r="A14" s="13" t="s">
        <v>38</v>
      </c>
      <c r="B14" s="13" t="s">
        <v>39</v>
      </c>
      <c r="C14" s="13" t="s">
        <v>40</v>
      </c>
      <c r="D14" s="14">
        <f>VLOOKUP($A14,'8-Sep'!$A:$F,5,0)</f>
        <v>66</v>
      </c>
      <c r="E14" s="15">
        <f>VLOOKUP($A14,'8-Sep'!$A:$F,6,0)</f>
        <v>63</v>
      </c>
      <c r="F14" s="15">
        <f t="shared" si="0"/>
        <v>42</v>
      </c>
      <c r="G14" s="15">
        <f t="shared" si="1"/>
        <v>0</v>
      </c>
      <c r="H14" s="8">
        <f>'8-Sep'!M14</f>
        <v>14</v>
      </c>
      <c r="I14" s="8">
        <f>'8-Sep'!N14</f>
        <v>0</v>
      </c>
      <c r="J14" s="8">
        <f>'8-Sep'!O14</f>
        <v>14</v>
      </c>
      <c r="K14" s="8">
        <f>'8-Sep'!P14</f>
        <v>14</v>
      </c>
      <c r="L14" s="8">
        <f>'8-Sep'!Q14</f>
        <v>0</v>
      </c>
      <c r="M14" s="8">
        <f>'8-Sep'!R14</f>
        <v>0</v>
      </c>
      <c r="N14" s="8">
        <f>'8-Sep'!S14</f>
        <v>0</v>
      </c>
      <c r="O14" s="9">
        <f>VLOOKUP($A14,'8-Sep'!$A$3:$Z$45,20,0)</f>
        <v>0</v>
      </c>
      <c r="P14" s="9">
        <f>VLOOKUP($A14,'8-Sep'!$A$3:$Z$45,21,0)</f>
        <v>0</v>
      </c>
      <c r="Q14" s="9">
        <f>VLOOKUP($A14,'8-Sep'!$A$3:$Z$45,22,0)</f>
        <v>0</v>
      </c>
      <c r="R14" s="9">
        <f>VLOOKUP($A14,'8-Sep'!$A$3:$Z$45,23,0)</f>
        <v>0</v>
      </c>
      <c r="S14" s="9">
        <f>VLOOKUP($A14,'8-Sep'!$A$3:$Z$45,24,0)</f>
        <v>0</v>
      </c>
      <c r="T14" s="9">
        <f>VLOOKUP($A14,'8-Sep'!$A$3:$Z$45,25,0)</f>
        <v>0</v>
      </c>
      <c r="U14" s="9">
        <f>VLOOKUP($A14,'8-Sep'!$A$3:$Z$45,26,0)</f>
        <v>0</v>
      </c>
      <c r="V14" s="9"/>
      <c r="W14" s="9"/>
    </row>
    <row r="15" spans="1:23" ht="17.5" customHeight="1" x14ac:dyDescent="0.4">
      <c r="A15" s="13" t="s">
        <v>41</v>
      </c>
      <c r="B15" s="13" t="s">
        <v>42</v>
      </c>
      <c r="C15" s="13" t="s">
        <v>43</v>
      </c>
      <c r="D15" s="14">
        <f>VLOOKUP($A15,'8-Sep'!$A:$F,5,0)</f>
        <v>6</v>
      </c>
      <c r="E15" s="15">
        <f>VLOOKUP($A15,'8-Sep'!$A:$F,6,0)</f>
        <v>38</v>
      </c>
      <c r="F15" s="15">
        <f t="shared" si="0"/>
        <v>0</v>
      </c>
      <c r="G15" s="15">
        <f t="shared" si="1"/>
        <v>0</v>
      </c>
      <c r="H15" s="8">
        <f>'8-Sep'!M15</f>
        <v>0</v>
      </c>
      <c r="I15" s="8">
        <f>'8-Sep'!N15</f>
        <v>0</v>
      </c>
      <c r="J15" s="8">
        <f>'8-Sep'!O15</f>
        <v>0</v>
      </c>
      <c r="K15" s="8">
        <f>'8-Sep'!P15</f>
        <v>0</v>
      </c>
      <c r="L15" s="8">
        <f>'8-Sep'!Q15</f>
        <v>0</v>
      </c>
      <c r="M15" s="8">
        <f>'8-Sep'!R15</f>
        <v>0</v>
      </c>
      <c r="N15" s="8">
        <f>'8-Sep'!S15</f>
        <v>0</v>
      </c>
      <c r="O15" s="9">
        <f>VLOOKUP($A15,'8-Sep'!$A$3:$Z$45,20,0)</f>
        <v>0</v>
      </c>
      <c r="P15" s="9">
        <f>VLOOKUP($A15,'8-Sep'!$A$3:$Z$45,21,0)</f>
        <v>0</v>
      </c>
      <c r="Q15" s="9">
        <f>VLOOKUP($A15,'8-Sep'!$A$3:$Z$45,22,0)</f>
        <v>0</v>
      </c>
      <c r="R15" s="9">
        <f>VLOOKUP($A15,'8-Sep'!$A$3:$Z$45,23,0)</f>
        <v>0</v>
      </c>
      <c r="S15" s="9">
        <f>VLOOKUP($A15,'8-Sep'!$A$3:$Z$45,24,0)</f>
        <v>0</v>
      </c>
      <c r="T15" s="9">
        <f>VLOOKUP($A15,'8-Sep'!$A$3:$Z$45,25,0)</f>
        <v>0</v>
      </c>
      <c r="U15" s="9">
        <f>VLOOKUP($A15,'8-Sep'!$A$3:$Z$45,26,0)</f>
        <v>0</v>
      </c>
      <c r="V15" s="9"/>
      <c r="W15" s="9"/>
    </row>
    <row r="16" spans="1:23" ht="17.5" customHeight="1" x14ac:dyDescent="0.4">
      <c r="A16" s="13" t="s">
        <v>44</v>
      </c>
      <c r="B16" s="13" t="s">
        <v>45</v>
      </c>
      <c r="C16" s="13" t="s">
        <v>46</v>
      </c>
      <c r="D16" s="14">
        <f>VLOOKUP($A16,'8-Sep'!$A:$F,5,0)</f>
        <v>225</v>
      </c>
      <c r="E16" s="15">
        <f>VLOOKUP($A16,'8-Sep'!$A:$F,6,0)</f>
        <v>45</v>
      </c>
      <c r="F16" s="15">
        <f t="shared" si="0"/>
        <v>254</v>
      </c>
      <c r="G16" s="15">
        <f t="shared" si="1"/>
        <v>0</v>
      </c>
      <c r="H16" s="8">
        <f>'8-Sep'!M16</f>
        <v>44</v>
      </c>
      <c r="I16" s="8">
        <f>'8-Sep'!N16</f>
        <v>70</v>
      </c>
      <c r="J16" s="8">
        <f>'8-Sep'!O16</f>
        <v>42</v>
      </c>
      <c r="K16" s="8">
        <f>'8-Sep'!P16</f>
        <v>42</v>
      </c>
      <c r="L16" s="8">
        <f>'8-Sep'!Q16</f>
        <v>56</v>
      </c>
      <c r="M16" s="8">
        <f>'8-Sep'!R16</f>
        <v>0</v>
      </c>
      <c r="N16" s="8">
        <f>'8-Sep'!S16</f>
        <v>0</v>
      </c>
      <c r="O16" s="9">
        <f>VLOOKUP($A16,'8-Sep'!$A$3:$Z$45,20,0)</f>
        <v>0</v>
      </c>
      <c r="P16" s="9">
        <f>VLOOKUP($A16,'8-Sep'!$A$3:$Z$45,21,0)</f>
        <v>0</v>
      </c>
      <c r="Q16" s="9">
        <f>VLOOKUP($A16,'8-Sep'!$A$3:$Z$45,22,0)</f>
        <v>0</v>
      </c>
      <c r="R16" s="9">
        <f>VLOOKUP($A16,'8-Sep'!$A$3:$Z$45,23,0)</f>
        <v>0</v>
      </c>
      <c r="S16" s="9">
        <f>VLOOKUP($A16,'8-Sep'!$A$3:$Z$45,24,0)</f>
        <v>0</v>
      </c>
      <c r="T16" s="9">
        <f>VLOOKUP($A16,'8-Sep'!$A$3:$Z$45,25,0)</f>
        <v>0</v>
      </c>
      <c r="U16" s="9">
        <f>VLOOKUP($A16,'8-Sep'!$A$3:$Z$45,26,0)</f>
        <v>0</v>
      </c>
      <c r="V16" s="9"/>
      <c r="W16" s="9"/>
    </row>
    <row r="17" spans="1:23" ht="17.5" customHeight="1" x14ac:dyDescent="0.4">
      <c r="A17" s="13" t="s">
        <v>47</v>
      </c>
      <c r="B17" s="13" t="s">
        <v>48</v>
      </c>
      <c r="C17" s="13" t="s">
        <v>49</v>
      </c>
      <c r="D17" s="14">
        <f>VLOOKUP($A17,'8-Sep'!$A:$F,5,0)</f>
        <v>43</v>
      </c>
      <c r="E17" s="15">
        <f>VLOOKUP($A17,'8-Sep'!$A:$F,6,0)</f>
        <v>48</v>
      </c>
      <c r="F17" s="15">
        <f t="shared" si="0"/>
        <v>28</v>
      </c>
      <c r="G17" s="15">
        <f t="shared" si="1"/>
        <v>0</v>
      </c>
      <c r="H17" s="8">
        <f>'8-Sep'!M17</f>
        <v>0</v>
      </c>
      <c r="I17" s="8">
        <f>'8-Sep'!N17</f>
        <v>0</v>
      </c>
      <c r="J17" s="8">
        <f>'8-Sep'!O17</f>
        <v>14</v>
      </c>
      <c r="K17" s="8">
        <f>'8-Sep'!P17</f>
        <v>0</v>
      </c>
      <c r="L17" s="8">
        <f>'8-Sep'!Q17</f>
        <v>14</v>
      </c>
      <c r="M17" s="8">
        <f>'8-Sep'!R17</f>
        <v>0</v>
      </c>
      <c r="N17" s="8">
        <f>'8-Sep'!S17</f>
        <v>0</v>
      </c>
      <c r="O17" s="9">
        <f>VLOOKUP($A17,'8-Sep'!$A$3:$Z$45,20,0)</f>
        <v>0</v>
      </c>
      <c r="P17" s="9">
        <f>VLOOKUP($A17,'8-Sep'!$A$3:$Z$45,21,0)</f>
        <v>0</v>
      </c>
      <c r="Q17" s="9">
        <f>VLOOKUP($A17,'8-Sep'!$A$3:$Z$45,22,0)</f>
        <v>0</v>
      </c>
      <c r="R17" s="9">
        <f>VLOOKUP($A17,'8-Sep'!$A$3:$Z$45,23,0)</f>
        <v>0</v>
      </c>
      <c r="S17" s="9">
        <f>VLOOKUP($A17,'8-Sep'!$A$3:$Z$45,24,0)</f>
        <v>0</v>
      </c>
      <c r="T17" s="9">
        <f>VLOOKUP($A17,'8-Sep'!$A$3:$Z$45,25,0)</f>
        <v>0</v>
      </c>
      <c r="U17" s="9">
        <f>VLOOKUP($A17,'8-Sep'!$A$3:$Z$45,26,0)</f>
        <v>0</v>
      </c>
      <c r="V17" s="9"/>
      <c r="W17" s="9"/>
    </row>
    <row r="18" spans="1:23" ht="17.5" customHeight="1" x14ac:dyDescent="0.4">
      <c r="A18" s="13" t="s">
        <v>50</v>
      </c>
      <c r="B18" s="13" t="s">
        <v>51</v>
      </c>
      <c r="C18" s="13" t="s">
        <v>52</v>
      </c>
      <c r="D18" s="14">
        <f>VLOOKUP($A18,'8-Sep'!$A:$F,5,0)</f>
        <v>0</v>
      </c>
      <c r="E18" s="15">
        <f>VLOOKUP($A18,'8-Sep'!$A:$F,6,0)</f>
        <v>0</v>
      </c>
      <c r="F18" s="15">
        <f t="shared" si="0"/>
        <v>0</v>
      </c>
      <c r="G18" s="15">
        <f t="shared" si="1"/>
        <v>0</v>
      </c>
      <c r="H18" s="8">
        <f>'8-Sep'!M18</f>
        <v>0</v>
      </c>
      <c r="I18" s="8">
        <f>'8-Sep'!N18</f>
        <v>0</v>
      </c>
      <c r="J18" s="8">
        <f>'8-Sep'!O18</f>
        <v>0</v>
      </c>
      <c r="K18" s="8">
        <f>'8-Sep'!P18</f>
        <v>0</v>
      </c>
      <c r="L18" s="8">
        <f>'8-Sep'!Q18</f>
        <v>0</v>
      </c>
      <c r="M18" s="8">
        <f>'8-Sep'!R18</f>
        <v>0</v>
      </c>
      <c r="N18" s="8">
        <f>'8-Sep'!S18</f>
        <v>0</v>
      </c>
      <c r="O18" s="9">
        <f>VLOOKUP($A18,'8-Sep'!$A$3:$Z$45,20,0)</f>
        <v>0</v>
      </c>
      <c r="P18" s="9">
        <f>VLOOKUP($A18,'8-Sep'!$A$3:$Z$45,21,0)</f>
        <v>0</v>
      </c>
      <c r="Q18" s="9">
        <f>VLOOKUP($A18,'8-Sep'!$A$3:$Z$45,22,0)</f>
        <v>0</v>
      </c>
      <c r="R18" s="9">
        <f>VLOOKUP($A18,'8-Sep'!$A$3:$Z$45,23,0)</f>
        <v>0</v>
      </c>
      <c r="S18" s="9">
        <f>VLOOKUP($A18,'8-Sep'!$A$3:$Z$45,24,0)</f>
        <v>0</v>
      </c>
      <c r="T18" s="9">
        <f>VLOOKUP($A18,'8-Sep'!$A$3:$Z$45,25,0)</f>
        <v>0</v>
      </c>
      <c r="U18" s="9">
        <f>VLOOKUP($A18,'8-Sep'!$A$3:$Z$45,26,0)</f>
        <v>0</v>
      </c>
      <c r="V18" s="9"/>
      <c r="W18" s="9"/>
    </row>
    <row r="19" spans="1:23" ht="17.5" customHeight="1" x14ac:dyDescent="0.4">
      <c r="A19" s="13" t="s">
        <v>53</v>
      </c>
      <c r="B19" s="13" t="s">
        <v>54</v>
      </c>
      <c r="C19" s="13" t="s">
        <v>55</v>
      </c>
      <c r="D19" s="14">
        <f>VLOOKUP($A19,'8-Sep'!$A:$F,5,0)</f>
        <v>4</v>
      </c>
      <c r="E19" s="15">
        <f>VLOOKUP($A19,'8-Sep'!$A:$F,6,0)</f>
        <v>25</v>
      </c>
      <c r="F19" s="15">
        <f t="shared" si="0"/>
        <v>0</v>
      </c>
      <c r="G19" s="15">
        <f t="shared" si="1"/>
        <v>0</v>
      </c>
      <c r="H19" s="8">
        <f>'8-Sep'!M19</f>
        <v>0</v>
      </c>
      <c r="I19" s="8">
        <f>'8-Sep'!N19</f>
        <v>0</v>
      </c>
      <c r="J19" s="8">
        <f>'8-Sep'!O19</f>
        <v>0</v>
      </c>
      <c r="K19" s="8">
        <f>'8-Sep'!P19</f>
        <v>0</v>
      </c>
      <c r="L19" s="8">
        <f>'8-Sep'!Q19</f>
        <v>0</v>
      </c>
      <c r="M19" s="8">
        <f>'8-Sep'!R19</f>
        <v>0</v>
      </c>
      <c r="N19" s="8">
        <f>'8-Sep'!S19</f>
        <v>0</v>
      </c>
      <c r="O19" s="9">
        <f>VLOOKUP($A19,'8-Sep'!$A$3:$Z$45,20,0)</f>
        <v>0</v>
      </c>
      <c r="P19" s="9">
        <f>VLOOKUP($A19,'8-Sep'!$A$3:$Z$45,21,0)</f>
        <v>0</v>
      </c>
      <c r="Q19" s="9">
        <f>VLOOKUP($A19,'8-Sep'!$A$3:$Z$45,22,0)</f>
        <v>0</v>
      </c>
      <c r="R19" s="9">
        <f>VLOOKUP($A19,'8-Sep'!$A$3:$Z$45,23,0)</f>
        <v>0</v>
      </c>
      <c r="S19" s="9">
        <f>VLOOKUP($A19,'8-Sep'!$A$3:$Z$45,24,0)</f>
        <v>0</v>
      </c>
      <c r="T19" s="9">
        <f>VLOOKUP($A19,'8-Sep'!$A$3:$Z$45,25,0)</f>
        <v>0</v>
      </c>
      <c r="U19" s="9">
        <f>VLOOKUP($A19,'8-Sep'!$A$3:$Z$45,26,0)</f>
        <v>0</v>
      </c>
      <c r="V19" s="9"/>
      <c r="W19" s="9"/>
    </row>
    <row r="20" spans="1:23" ht="17.5" customHeight="1" x14ac:dyDescent="0.4">
      <c r="A20" s="13" t="s">
        <v>56</v>
      </c>
      <c r="B20" s="13" t="s">
        <v>57</v>
      </c>
      <c r="C20" s="13" t="s">
        <v>58</v>
      </c>
      <c r="D20" s="14">
        <f>VLOOKUP($A20,'8-Sep'!$A:$F,5,0)</f>
        <v>46</v>
      </c>
      <c r="E20" s="15">
        <f>VLOOKUP($A20,'8-Sep'!$A:$F,6,0)</f>
        <v>28</v>
      </c>
      <c r="F20" s="15">
        <f t="shared" si="0"/>
        <v>56</v>
      </c>
      <c r="G20" s="15">
        <f t="shared" si="1"/>
        <v>0</v>
      </c>
      <c r="H20" s="8">
        <f>'8-Sep'!M20</f>
        <v>14</v>
      </c>
      <c r="I20" s="8">
        <f>'8-Sep'!N20</f>
        <v>14</v>
      </c>
      <c r="J20" s="8">
        <f>'8-Sep'!O20</f>
        <v>0</v>
      </c>
      <c r="K20" s="8">
        <f>'8-Sep'!P20</f>
        <v>14</v>
      </c>
      <c r="L20" s="8">
        <f>'8-Sep'!Q20</f>
        <v>14</v>
      </c>
      <c r="M20" s="8">
        <f>'8-Sep'!R20</f>
        <v>0</v>
      </c>
      <c r="N20" s="8">
        <f>'8-Sep'!S20</f>
        <v>0</v>
      </c>
      <c r="O20" s="9">
        <f>VLOOKUP($A20,'8-Sep'!$A$3:$Z$45,20,0)</f>
        <v>0</v>
      </c>
      <c r="P20" s="9">
        <f>VLOOKUP($A20,'8-Sep'!$A$3:$Z$45,21,0)</f>
        <v>0</v>
      </c>
      <c r="Q20" s="9">
        <f>VLOOKUP($A20,'8-Sep'!$A$3:$Z$45,22,0)</f>
        <v>0</v>
      </c>
      <c r="R20" s="9">
        <f>VLOOKUP($A20,'8-Sep'!$A$3:$Z$45,23,0)</f>
        <v>0</v>
      </c>
      <c r="S20" s="9">
        <f>VLOOKUP($A20,'8-Sep'!$A$3:$Z$45,24,0)</f>
        <v>0</v>
      </c>
      <c r="T20" s="9">
        <f>VLOOKUP($A20,'8-Sep'!$A$3:$Z$45,25,0)</f>
        <v>0</v>
      </c>
      <c r="U20" s="9">
        <f>VLOOKUP($A20,'8-Sep'!$A$3:$Z$45,26,0)</f>
        <v>0</v>
      </c>
      <c r="V20" s="9"/>
      <c r="W20" s="9"/>
    </row>
    <row r="21" spans="1:23" ht="17.5" customHeight="1" x14ac:dyDescent="0.4">
      <c r="A21" s="13" t="s">
        <v>59</v>
      </c>
      <c r="B21" s="13" t="s">
        <v>60</v>
      </c>
      <c r="C21" s="13" t="s">
        <v>61</v>
      </c>
      <c r="D21" s="14">
        <f>VLOOKUP($A21,'8-Sep'!$A:$F,5,0)</f>
        <v>20</v>
      </c>
      <c r="E21" s="15">
        <f>VLOOKUP($A21,'8-Sep'!$A:$F,6,0)</f>
        <v>14</v>
      </c>
      <c r="F21" s="15">
        <f t="shared" si="0"/>
        <v>42</v>
      </c>
      <c r="G21" s="15">
        <f t="shared" si="1"/>
        <v>0</v>
      </c>
      <c r="H21" s="8">
        <f>'8-Sep'!M21</f>
        <v>14</v>
      </c>
      <c r="I21" s="8">
        <f>'8-Sep'!N21</f>
        <v>0</v>
      </c>
      <c r="J21" s="8">
        <f>'8-Sep'!O21</f>
        <v>14</v>
      </c>
      <c r="K21" s="8">
        <f>'8-Sep'!P21</f>
        <v>14</v>
      </c>
      <c r="L21" s="8">
        <f>'8-Sep'!Q21</f>
        <v>0</v>
      </c>
      <c r="M21" s="8">
        <f>'8-Sep'!R21</f>
        <v>0</v>
      </c>
      <c r="N21" s="8">
        <f>'8-Sep'!S21</f>
        <v>0</v>
      </c>
      <c r="O21" s="9">
        <f>VLOOKUP($A21,'8-Sep'!$A$3:$Z$45,20,0)</f>
        <v>0</v>
      </c>
      <c r="P21" s="9">
        <f>VLOOKUP($A21,'8-Sep'!$A$3:$Z$45,21,0)</f>
        <v>0</v>
      </c>
      <c r="Q21" s="9">
        <f>VLOOKUP($A21,'8-Sep'!$A$3:$Z$45,22,0)</f>
        <v>0</v>
      </c>
      <c r="R21" s="9">
        <f>VLOOKUP($A21,'8-Sep'!$A$3:$Z$45,23,0)</f>
        <v>0</v>
      </c>
      <c r="S21" s="9">
        <f>VLOOKUP($A21,'8-Sep'!$A$3:$Z$45,24,0)</f>
        <v>0</v>
      </c>
      <c r="T21" s="9">
        <f>VLOOKUP($A21,'8-Sep'!$A$3:$Z$45,25,0)</f>
        <v>0</v>
      </c>
      <c r="U21" s="9">
        <f>VLOOKUP($A21,'8-Sep'!$A$3:$Z$45,26,0)</f>
        <v>0</v>
      </c>
      <c r="V21" s="9"/>
      <c r="W21" s="9"/>
    </row>
    <row r="22" spans="1:23" ht="32" customHeight="1" x14ac:dyDescent="0.4">
      <c r="A22" s="74" t="s">
        <v>10</v>
      </c>
      <c r="B22" s="74" t="s">
        <v>11</v>
      </c>
      <c r="C22" s="74" t="s">
        <v>12</v>
      </c>
      <c r="D22" s="74" t="s">
        <v>13</v>
      </c>
      <c r="E22" s="74" t="s">
        <v>17</v>
      </c>
      <c r="F22" s="68" t="s">
        <v>122</v>
      </c>
      <c r="G22" s="68" t="s">
        <v>123</v>
      </c>
      <c r="H22" s="71" t="s">
        <v>0</v>
      </c>
      <c r="I22" s="72"/>
      <c r="J22" s="72"/>
      <c r="K22" s="72"/>
      <c r="L22" s="72"/>
      <c r="M22" s="73"/>
      <c r="N22" s="8"/>
      <c r="O22" s="63" t="s">
        <v>1</v>
      </c>
      <c r="P22" s="64"/>
      <c r="Q22" s="64"/>
      <c r="R22" s="64"/>
      <c r="S22" s="64"/>
      <c r="T22" s="64"/>
      <c r="U22" s="64"/>
      <c r="V22" s="64"/>
      <c r="W22" s="64"/>
    </row>
    <row r="23" spans="1:23" ht="17.5" customHeight="1" x14ac:dyDescent="0.4">
      <c r="A23" s="75"/>
      <c r="B23" s="75"/>
      <c r="C23" s="75"/>
      <c r="D23" s="75"/>
      <c r="E23" s="75"/>
      <c r="F23" s="69"/>
      <c r="G23" s="69"/>
      <c r="H23" s="5" t="s">
        <v>2</v>
      </c>
      <c r="I23" s="5" t="s">
        <v>3</v>
      </c>
      <c r="J23" s="5" t="s">
        <v>4</v>
      </c>
      <c r="K23" s="5" t="s">
        <v>5</v>
      </c>
      <c r="L23" s="5" t="s">
        <v>6</v>
      </c>
      <c r="M23" s="5" t="s">
        <v>7</v>
      </c>
      <c r="N23" s="5" t="s">
        <v>8</v>
      </c>
      <c r="O23" s="6" t="s">
        <v>2</v>
      </c>
      <c r="P23" s="6" t="s">
        <v>3</v>
      </c>
      <c r="Q23" s="6" t="s">
        <v>4</v>
      </c>
      <c r="R23" s="6" t="s">
        <v>5</v>
      </c>
      <c r="S23" s="6" t="s">
        <v>6</v>
      </c>
      <c r="T23" s="6" t="s">
        <v>7</v>
      </c>
      <c r="U23" s="6" t="s">
        <v>8</v>
      </c>
      <c r="V23" s="11"/>
      <c r="W23" s="11"/>
    </row>
    <row r="24" spans="1:23" ht="17.5" customHeight="1" x14ac:dyDescent="0.4">
      <c r="A24" s="76"/>
      <c r="B24" s="76"/>
      <c r="C24" s="76"/>
      <c r="D24" s="76"/>
      <c r="E24" s="76"/>
      <c r="F24" s="69"/>
      <c r="G24" s="69"/>
      <c r="H24" s="10">
        <f>'8-Sep'!M35</f>
        <v>0.25</v>
      </c>
      <c r="I24" s="10">
        <f>'8-Sep'!N35</f>
        <v>0.375</v>
      </c>
      <c r="J24" s="10">
        <f>'8-Sep'!O35</f>
        <v>0.45833333333333331</v>
      </c>
      <c r="K24" s="10">
        <f>'8-Sep'!P35</f>
        <v>0.54166666666666663</v>
      </c>
      <c r="L24" s="10">
        <f>'8-Sep'!Q35</f>
        <v>0.625</v>
      </c>
      <c r="M24" s="17"/>
      <c r="N24" s="8"/>
      <c r="O24" s="11"/>
      <c r="P24" s="11"/>
      <c r="Q24" s="45"/>
      <c r="R24" s="45"/>
      <c r="S24" s="45"/>
      <c r="T24" s="45"/>
      <c r="U24" s="45"/>
      <c r="V24" s="45"/>
      <c r="W24" s="11"/>
    </row>
    <row r="25" spans="1:23" ht="18.5" x14ac:dyDescent="0.4">
      <c r="A25" s="13" t="s">
        <v>62</v>
      </c>
      <c r="B25" s="13" t="s">
        <v>63</v>
      </c>
      <c r="C25" s="13" t="s">
        <v>64</v>
      </c>
      <c r="D25" s="14">
        <f>VLOOKUP($A25,'8-Sep'!$A:$F,5,0)</f>
        <v>147</v>
      </c>
      <c r="E25" s="15">
        <f>'8-Sep'!F36</f>
        <v>62</v>
      </c>
      <c r="F25" s="15"/>
      <c r="G25" s="15"/>
      <c r="H25" s="8">
        <f>'8-Sep'!M36</f>
        <v>48</v>
      </c>
      <c r="I25" s="8">
        <f>'8-Sep'!N36</f>
        <v>32</v>
      </c>
      <c r="J25" s="8">
        <f>'8-Sep'!O36</f>
        <v>32</v>
      </c>
      <c r="K25" s="8">
        <f>'8-Sep'!P36</f>
        <v>48</v>
      </c>
      <c r="L25" s="8">
        <f>'8-Sep'!Q36</f>
        <v>32</v>
      </c>
      <c r="M25" s="8">
        <f>'8-Sep'!R36</f>
        <v>0</v>
      </c>
      <c r="N25" s="8">
        <f>'8-Sep'!S36</f>
        <v>0</v>
      </c>
      <c r="O25" s="9">
        <f>VLOOKUP($A25,'8-Sep'!$A$3:$Z$45,20,0)</f>
        <v>0</v>
      </c>
      <c r="P25" s="9">
        <f>VLOOKUP($A25,'8-Sep'!$A$3:$Z$45,21,0)</f>
        <v>0</v>
      </c>
      <c r="Q25" s="9">
        <f>VLOOKUP($A25,'8-Sep'!$A$3:$Z$45,22,0)</f>
        <v>0</v>
      </c>
      <c r="R25" s="9">
        <f>VLOOKUP($A25,'8-Sep'!$A$3:$Z$45,23,0)</f>
        <v>0</v>
      </c>
      <c r="S25" s="9">
        <f>VLOOKUP($A25,'8-Sep'!$A$3:$Z$45,24,0)</f>
        <v>0</v>
      </c>
      <c r="T25" s="9">
        <f>VLOOKUP($A25,'8-Sep'!$A$3:$Z$45,25,0)</f>
        <v>0</v>
      </c>
      <c r="U25" s="9">
        <f>VLOOKUP($A25,'8-Sep'!$A$3:$Z$45,26,0)</f>
        <v>0</v>
      </c>
      <c r="V25" s="21"/>
      <c r="W25" s="9">
        <f t="shared" ref="W25:W29" si="2">SUM(O25:V25)</f>
        <v>0</v>
      </c>
    </row>
    <row r="26" spans="1:23" ht="17.5" customHeight="1" x14ac:dyDescent="0.4">
      <c r="A26" s="13" t="s">
        <v>65</v>
      </c>
      <c r="B26" s="13" t="s">
        <v>66</v>
      </c>
      <c r="C26" s="13" t="s">
        <v>67</v>
      </c>
      <c r="D26" s="14">
        <f>VLOOKUP($A26,'8-Sep'!$A:$F,5,0)</f>
        <v>110</v>
      </c>
      <c r="E26" s="15">
        <f>'8-Sep'!F37</f>
        <v>46</v>
      </c>
      <c r="F26" s="15">
        <f>SUM(H26:N26)</f>
        <v>80</v>
      </c>
      <c r="G26" s="15">
        <f t="shared" ref="G26:G29" si="3">SUM(O26:U26)</f>
        <v>0</v>
      </c>
      <c r="H26" s="8">
        <f>'8-Sep'!M37</f>
        <v>48</v>
      </c>
      <c r="I26" s="8">
        <f>'8-Sep'!N37</f>
        <v>16</v>
      </c>
      <c r="J26" s="8">
        <f>'8-Sep'!O37</f>
        <v>0</v>
      </c>
      <c r="K26" s="8">
        <f>'8-Sep'!P37</f>
        <v>0</v>
      </c>
      <c r="L26" s="8">
        <f>'8-Sep'!Q37</f>
        <v>16</v>
      </c>
      <c r="M26" s="8">
        <f>'8-Sep'!R37</f>
        <v>0</v>
      </c>
      <c r="N26" s="8"/>
      <c r="O26" s="9">
        <f>VLOOKUP($A26,'8-Sep'!$A$3:$Z$45,20,0)</f>
        <v>0</v>
      </c>
      <c r="P26" s="9">
        <f>VLOOKUP($A26,'8-Sep'!$A$3:$Z$45,21,0)</f>
        <v>0</v>
      </c>
      <c r="Q26" s="9">
        <f>VLOOKUP($A26,'8-Sep'!$A$3:$Z$45,22,0)</f>
        <v>0</v>
      </c>
      <c r="R26" s="9">
        <f>VLOOKUP($A26,'8-Sep'!$A$3:$Z$45,23,0)</f>
        <v>0</v>
      </c>
      <c r="S26" s="9">
        <f>VLOOKUP($A26,'8-Sep'!$A$3:$Z$45,24,0)</f>
        <v>0</v>
      </c>
      <c r="T26" s="9">
        <f>VLOOKUP($A26,'8-Sep'!$A$3:$Z$45,25,0)</f>
        <v>0</v>
      </c>
      <c r="U26" s="9">
        <f>VLOOKUP($A26,'8-Sep'!$A$3:$Z$45,26,0)</f>
        <v>0</v>
      </c>
      <c r="V26" s="6"/>
      <c r="W26" s="9">
        <f t="shared" si="2"/>
        <v>0</v>
      </c>
    </row>
    <row r="27" spans="1:23" ht="18.5" x14ac:dyDescent="0.4">
      <c r="A27" s="13" t="s">
        <v>68</v>
      </c>
      <c r="B27" s="13" t="s">
        <v>69</v>
      </c>
      <c r="C27" s="13" t="s">
        <v>70</v>
      </c>
      <c r="D27" s="14">
        <f>VLOOKUP($A27,'8-Sep'!$A:$F,5,0)</f>
        <v>47</v>
      </c>
      <c r="E27" s="15">
        <f>'8-Sep'!F38</f>
        <v>32</v>
      </c>
      <c r="F27" s="15">
        <f>SUM(H27:N27)</f>
        <v>128</v>
      </c>
      <c r="G27" s="15">
        <f t="shared" si="3"/>
        <v>0</v>
      </c>
      <c r="H27" s="8">
        <f>'8-Sep'!M38</f>
        <v>0</v>
      </c>
      <c r="I27" s="8">
        <f>'8-Sep'!N38</f>
        <v>16</v>
      </c>
      <c r="J27" s="8">
        <f>'8-Sep'!O38</f>
        <v>32</v>
      </c>
      <c r="K27" s="8">
        <f>'8-Sep'!P38</f>
        <v>48</v>
      </c>
      <c r="L27" s="8">
        <f>'8-Sep'!Q38</f>
        <v>32</v>
      </c>
      <c r="M27" s="8">
        <f>'8-Sep'!R38</f>
        <v>0</v>
      </c>
      <c r="N27" s="8"/>
      <c r="O27" s="9">
        <f>VLOOKUP($A27,'8-Sep'!$A$3:$Z$45,20,0)</f>
        <v>0</v>
      </c>
      <c r="P27" s="9">
        <f>VLOOKUP($A27,'8-Sep'!$A$3:$Z$45,21,0)</f>
        <v>0</v>
      </c>
      <c r="Q27" s="9">
        <f>VLOOKUP($A27,'8-Sep'!$A$3:$Z$45,22,0)</f>
        <v>0</v>
      </c>
      <c r="R27" s="9">
        <f>VLOOKUP($A27,'8-Sep'!$A$3:$Z$45,23,0)</f>
        <v>0</v>
      </c>
      <c r="S27" s="9">
        <f>VLOOKUP($A27,'8-Sep'!$A$3:$Z$45,24,0)</f>
        <v>0</v>
      </c>
      <c r="T27" s="9">
        <f>VLOOKUP($A27,'8-Sep'!$A$3:$Z$45,25,0)</f>
        <v>0</v>
      </c>
      <c r="U27" s="9">
        <f>VLOOKUP($A27,'8-Sep'!$A$3:$Z$45,26,0)</f>
        <v>0</v>
      </c>
      <c r="V27" s="6"/>
      <c r="W27" s="9">
        <f t="shared" si="2"/>
        <v>0</v>
      </c>
    </row>
    <row r="28" spans="1:23" ht="18.5" x14ac:dyDescent="0.4">
      <c r="A28" s="13" t="s">
        <v>71</v>
      </c>
      <c r="B28" s="13" t="s">
        <v>72</v>
      </c>
      <c r="C28" s="13" t="s">
        <v>73</v>
      </c>
      <c r="D28" s="14">
        <f>VLOOKUP($A28,'8-Sep'!$A:$F,5,0)</f>
        <v>37</v>
      </c>
      <c r="E28" s="15">
        <f>'8-Sep'!F39</f>
        <v>28</v>
      </c>
      <c r="F28" s="15">
        <f>SUM(H28:N28)</f>
        <v>32</v>
      </c>
      <c r="G28" s="15">
        <f t="shared" si="3"/>
        <v>0</v>
      </c>
      <c r="H28" s="8">
        <f>'8-Sep'!M39</f>
        <v>0</v>
      </c>
      <c r="I28" s="8">
        <f>'8-Sep'!N39</f>
        <v>16</v>
      </c>
      <c r="J28" s="8">
        <f>'8-Sep'!O39</f>
        <v>0</v>
      </c>
      <c r="K28" s="8">
        <f>'8-Sep'!P39</f>
        <v>0</v>
      </c>
      <c r="L28" s="8">
        <f>'8-Sep'!Q39</f>
        <v>16</v>
      </c>
      <c r="M28" s="8">
        <f>'8-Sep'!R39</f>
        <v>0</v>
      </c>
      <c r="N28" s="8"/>
      <c r="O28" s="9">
        <f>VLOOKUP($A28,'8-Sep'!$A$3:$Z$45,20,0)</f>
        <v>0</v>
      </c>
      <c r="P28" s="9">
        <f>VLOOKUP($A28,'8-Sep'!$A$3:$Z$45,21,0)</f>
        <v>0</v>
      </c>
      <c r="Q28" s="9">
        <f>VLOOKUP($A28,'8-Sep'!$A$3:$Z$45,22,0)</f>
        <v>0</v>
      </c>
      <c r="R28" s="9">
        <f>VLOOKUP($A28,'8-Sep'!$A$3:$Z$45,23,0)</f>
        <v>0</v>
      </c>
      <c r="S28" s="9">
        <f>VLOOKUP($A28,'8-Sep'!$A$3:$Z$45,24,0)</f>
        <v>0</v>
      </c>
      <c r="T28" s="9">
        <f>VLOOKUP($A28,'8-Sep'!$A$3:$Z$45,25,0)</f>
        <v>0</v>
      </c>
      <c r="U28" s="9">
        <f>VLOOKUP($A28,'8-Sep'!$A$3:$Z$45,26,0)</f>
        <v>0</v>
      </c>
      <c r="V28" s="6"/>
      <c r="W28" s="9">
        <f t="shared" si="2"/>
        <v>0</v>
      </c>
    </row>
    <row r="29" spans="1:23" ht="18.5" x14ac:dyDescent="0.4">
      <c r="A29" s="13" t="s">
        <v>74</v>
      </c>
      <c r="B29" s="13" t="s">
        <v>75</v>
      </c>
      <c r="C29" s="13" t="s">
        <v>76</v>
      </c>
      <c r="D29" s="14">
        <f>VLOOKUP($A29,'8-Sep'!$A:$F,5,0)</f>
        <v>23</v>
      </c>
      <c r="E29" s="15">
        <f>'8-Sep'!F40</f>
        <v>39</v>
      </c>
      <c r="F29" s="15">
        <f>SUM(H29:N29)</f>
        <v>32</v>
      </c>
      <c r="G29" s="15">
        <f t="shared" si="3"/>
        <v>0</v>
      </c>
      <c r="H29" s="8">
        <f>'8-Sep'!M40</f>
        <v>0</v>
      </c>
      <c r="I29" s="8">
        <f>'8-Sep'!N40</f>
        <v>0</v>
      </c>
      <c r="J29" s="8">
        <f>'8-Sep'!O40</f>
        <v>32</v>
      </c>
      <c r="K29" s="8">
        <f>'8-Sep'!P40</f>
        <v>0</v>
      </c>
      <c r="L29" s="8">
        <f>'8-Sep'!Q40</f>
        <v>0</v>
      </c>
      <c r="M29" s="8">
        <f>'8-Sep'!R40</f>
        <v>0</v>
      </c>
      <c r="N29" s="8"/>
      <c r="O29" s="9">
        <f>VLOOKUP($A29,'8-Sep'!$A$3:$Z$45,20,0)</f>
        <v>0</v>
      </c>
      <c r="P29" s="9">
        <f>VLOOKUP($A29,'8-Sep'!$A$3:$Z$45,21,0)</f>
        <v>0</v>
      </c>
      <c r="Q29" s="9">
        <f>VLOOKUP($A29,'8-Sep'!$A$3:$Z$45,22,0)</f>
        <v>0</v>
      </c>
      <c r="R29" s="9">
        <f>VLOOKUP($A29,'8-Sep'!$A$3:$Z$45,23,0)</f>
        <v>0</v>
      </c>
      <c r="S29" s="9">
        <f>VLOOKUP($A29,'8-Sep'!$A$3:$Z$45,24,0)</f>
        <v>0</v>
      </c>
      <c r="T29" s="9">
        <f>VLOOKUP($A29,'8-Sep'!$A$3:$Z$45,25,0)</f>
        <v>0</v>
      </c>
      <c r="U29" s="9">
        <f>VLOOKUP($A29,'8-Sep'!$A$3:$Z$45,26,0)</f>
        <v>0</v>
      </c>
      <c r="V29" s="6"/>
      <c r="W29" s="9">
        <f t="shared" si="2"/>
        <v>0</v>
      </c>
    </row>
  </sheetData>
  <protectedRanges>
    <protectedRange sqref="F26:G29 E7:G21" name="Range1_3_2_2"/>
  </protectedRanges>
  <mergeCells count="19">
    <mergeCell ref="G22:G24"/>
    <mergeCell ref="D1:D2"/>
    <mergeCell ref="H1:M1"/>
    <mergeCell ref="O1:W1"/>
    <mergeCell ref="B2:C2"/>
    <mergeCell ref="G3:G6"/>
    <mergeCell ref="O22:W22"/>
    <mergeCell ref="H22:M22"/>
    <mergeCell ref="F22:F24"/>
    <mergeCell ref="A3:A6"/>
    <mergeCell ref="B3:B6"/>
    <mergeCell ref="C3:C6"/>
    <mergeCell ref="D3:D6"/>
    <mergeCell ref="F3:F6"/>
    <mergeCell ref="A22:A24"/>
    <mergeCell ref="B22:B24"/>
    <mergeCell ref="C22:C24"/>
    <mergeCell ref="D22:D24"/>
    <mergeCell ref="E22:E24"/>
  </mergeCells>
  <pageMargins left="0.70866141732283472" right="0.70866141732283472" top="0.74803149606299213" bottom="0.74803149606299213" header="0.31496062992125984" footer="0.31496062992125984"/>
  <pageSetup scale="72" orientation="landscape" horizontalDpi="200" verticalDpi="200" r:id="rId1"/>
  <headerFooter>
    <oddFooter>&amp;L_x000D_&amp;1#&amp;"Calibri Light"&amp;8&amp;K000000 Classified as Public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0C44-BAC2-4194-953C-4BFDE8D847F1}">
  <dimension ref="A1:AJ49"/>
  <sheetViews>
    <sheetView showZeros="0" zoomScale="70" zoomScaleNormal="70" workbookViewId="0">
      <pane xSplit="12" ySplit="6" topLeftCell="M7" activePane="bottomRight" state="frozen"/>
      <selection activeCell="G18" sqref="G18"/>
      <selection pane="topRight" activeCell="G18" sqref="G18"/>
      <selection pane="bottomLeft" activeCell="G18" sqref="G18"/>
      <selection pane="bottomRight" activeCell="U12" sqref="U12"/>
    </sheetView>
  </sheetViews>
  <sheetFormatPr defaultRowHeight="14.5" x14ac:dyDescent="0.35"/>
  <cols>
    <col min="1" max="1" width="15.453125" bestFit="1" customWidth="1"/>
    <col min="2" max="2" width="17.1796875" bestFit="1" customWidth="1"/>
    <col min="3" max="3" width="13.54296875" bestFit="1" customWidth="1"/>
    <col min="4" max="4" width="13.54296875" style="24" customWidth="1"/>
    <col min="5" max="5" width="14" customWidth="1"/>
    <col min="6" max="6" width="12.7265625" bestFit="1" customWidth="1"/>
    <col min="7" max="7" width="6.81640625" customWidth="1"/>
    <col min="8" max="8" width="14.08984375" customWidth="1"/>
    <col min="9" max="11" width="13" customWidth="1"/>
    <col min="12" max="12" width="13.36328125" customWidth="1"/>
    <col min="13" max="18" width="6.453125" bestFit="1" customWidth="1"/>
    <col min="19" max="19" width="5.6328125" customWidth="1"/>
    <col min="20" max="22" width="6.453125" bestFit="1" customWidth="1"/>
    <col min="23" max="25" width="6.453125" customWidth="1"/>
    <col min="26" max="27" width="6.453125" bestFit="1" customWidth="1"/>
    <col min="28" max="29" width="5.7265625" customWidth="1"/>
    <col min="30" max="30" width="10" bestFit="1" customWidth="1"/>
    <col min="31" max="36" width="5.7265625" customWidth="1"/>
  </cols>
  <sheetData>
    <row r="1" spans="1:36" ht="18.5" x14ac:dyDescent="0.45">
      <c r="F1" s="2">
        <v>45908</v>
      </c>
      <c r="M1" s="54" t="s">
        <v>0</v>
      </c>
      <c r="N1" s="54"/>
      <c r="O1" s="54"/>
      <c r="P1" s="54"/>
      <c r="Q1" s="54"/>
      <c r="R1" s="54"/>
      <c r="S1" s="54"/>
      <c r="T1" s="55" t="s">
        <v>1</v>
      </c>
      <c r="U1" s="56"/>
      <c r="V1" s="56"/>
      <c r="W1" s="56"/>
      <c r="X1" s="56"/>
      <c r="Y1" s="56"/>
      <c r="Z1" s="56"/>
      <c r="AA1" s="56"/>
      <c r="AB1" s="56"/>
      <c r="AC1" s="56"/>
      <c r="AD1" s="56"/>
      <c r="AE1" s="55" t="s">
        <v>77</v>
      </c>
      <c r="AF1" s="56"/>
      <c r="AG1" s="56"/>
      <c r="AH1" s="56"/>
      <c r="AI1" s="56"/>
      <c r="AJ1" s="56"/>
    </row>
    <row r="2" spans="1:36" x14ac:dyDescent="0.35">
      <c r="B2" s="57"/>
      <c r="C2" s="58"/>
      <c r="L2" s="25"/>
      <c r="M2" s="26" t="s">
        <v>2</v>
      </c>
      <c r="N2" s="26" t="s">
        <v>3</v>
      </c>
      <c r="O2" s="26" t="s">
        <v>4</v>
      </c>
      <c r="P2" s="26" t="s">
        <v>5</v>
      </c>
      <c r="Q2" s="26" t="s">
        <v>6</v>
      </c>
      <c r="R2" s="26" t="s">
        <v>7</v>
      </c>
      <c r="S2" s="26"/>
      <c r="T2" s="27" t="s">
        <v>2</v>
      </c>
      <c r="U2" s="27" t="s">
        <v>3</v>
      </c>
      <c r="V2" s="27" t="s">
        <v>4</v>
      </c>
      <c r="W2" s="27" t="s">
        <v>5</v>
      </c>
      <c r="X2" s="27" t="s">
        <v>6</v>
      </c>
      <c r="Y2" s="27" t="s">
        <v>7</v>
      </c>
      <c r="Z2" s="27" t="s">
        <v>8</v>
      </c>
      <c r="AA2" s="27" t="s">
        <v>9</v>
      </c>
      <c r="AB2" s="27" t="s">
        <v>78</v>
      </c>
      <c r="AC2" s="27"/>
      <c r="AD2" s="27" t="s">
        <v>79</v>
      </c>
      <c r="AE2" s="27" t="s">
        <v>2</v>
      </c>
      <c r="AF2" s="27" t="s">
        <v>3</v>
      </c>
      <c r="AG2" s="27" t="s">
        <v>4</v>
      </c>
      <c r="AH2" s="27" t="s">
        <v>5</v>
      </c>
      <c r="AI2" s="27" t="s">
        <v>6</v>
      </c>
      <c r="AJ2" s="27" t="s">
        <v>7</v>
      </c>
    </row>
    <row r="3" spans="1:36" x14ac:dyDescent="0.35">
      <c r="A3" s="49" t="s">
        <v>10</v>
      </c>
      <c r="B3" s="50" t="s">
        <v>11</v>
      </c>
      <c r="C3" s="50" t="s">
        <v>12</v>
      </c>
      <c r="D3" s="50" t="s">
        <v>80</v>
      </c>
      <c r="E3" s="59" t="s">
        <v>13</v>
      </c>
      <c r="F3" s="49" t="s">
        <v>81</v>
      </c>
      <c r="G3" s="49" t="s">
        <v>82</v>
      </c>
      <c r="H3" s="49" t="s">
        <v>83</v>
      </c>
      <c r="I3" s="51" t="s">
        <v>84</v>
      </c>
      <c r="J3" s="49" t="s">
        <v>122</v>
      </c>
      <c r="K3" s="49" t="s">
        <v>123</v>
      </c>
      <c r="L3" s="46" t="s">
        <v>85</v>
      </c>
      <c r="M3" s="22">
        <v>6</v>
      </c>
      <c r="N3" s="22">
        <v>6</v>
      </c>
      <c r="O3" s="22">
        <v>6</v>
      </c>
      <c r="P3" s="22">
        <v>6</v>
      </c>
      <c r="Q3" s="22">
        <v>6</v>
      </c>
      <c r="R3" s="22">
        <v>6</v>
      </c>
      <c r="S3" s="22">
        <f>SUM(M3:R3)</f>
        <v>36</v>
      </c>
      <c r="T3" s="28">
        <v>6</v>
      </c>
      <c r="U3" s="28">
        <v>3</v>
      </c>
      <c r="V3" s="28">
        <v>5</v>
      </c>
      <c r="W3" s="28">
        <v>4</v>
      </c>
      <c r="X3" s="28">
        <v>5</v>
      </c>
      <c r="Y3" s="28">
        <v>5</v>
      </c>
      <c r="Z3" s="28"/>
      <c r="AA3" s="28"/>
      <c r="AB3" s="28"/>
      <c r="AC3" s="28">
        <f>SUM(T3:AB3)</f>
        <v>28</v>
      </c>
      <c r="AD3" s="28"/>
      <c r="AE3" s="28">
        <f>T3-M3</f>
        <v>0</v>
      </c>
      <c r="AF3" s="28">
        <f>SUM(T3:U3)-SUM(M3:N3)</f>
        <v>-3</v>
      </c>
      <c r="AG3" s="28">
        <f>SUM(T3:V3)-SUM(M3:O3)</f>
        <v>-4</v>
      </c>
      <c r="AH3" s="28">
        <f>SUM(T3:Z3)-SUM(M3:P3)</f>
        <v>4</v>
      </c>
      <c r="AI3" s="28">
        <f>SUM(T3:AA3)-SUM(M3:Q3)</f>
        <v>-2</v>
      </c>
      <c r="AJ3" s="28">
        <f>SUM(T3:AB3)-SUM(M3:R3)</f>
        <v>-8</v>
      </c>
    </row>
    <row r="4" spans="1:36" x14ac:dyDescent="0.35">
      <c r="A4" s="49"/>
      <c r="B4" s="50"/>
      <c r="C4" s="50"/>
      <c r="D4" s="50"/>
      <c r="E4" s="59"/>
      <c r="F4" s="49"/>
      <c r="G4" s="50"/>
      <c r="H4" s="50"/>
      <c r="I4" s="52"/>
      <c r="J4" s="49"/>
      <c r="K4" s="49"/>
      <c r="L4" s="46" t="s">
        <v>14</v>
      </c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 t="s">
        <v>16</v>
      </c>
      <c r="AE4" s="27"/>
      <c r="AF4" s="27"/>
      <c r="AG4" s="27"/>
      <c r="AH4" s="27"/>
      <c r="AI4" s="27"/>
      <c r="AJ4" s="27"/>
    </row>
    <row r="5" spans="1:36" x14ac:dyDescent="0.35">
      <c r="A5" s="49"/>
      <c r="B5" s="50"/>
      <c r="C5" s="50"/>
      <c r="D5" s="50"/>
      <c r="E5" s="59"/>
      <c r="F5" s="49"/>
      <c r="G5" s="50"/>
      <c r="H5" s="50"/>
      <c r="I5" s="52"/>
      <c r="J5" s="49"/>
      <c r="K5" s="49"/>
      <c r="L5" s="46"/>
      <c r="M5" s="26"/>
      <c r="N5" s="26"/>
      <c r="O5" s="26"/>
      <c r="P5" s="26"/>
      <c r="Q5" s="26"/>
      <c r="R5" s="26"/>
      <c r="S5" s="26"/>
      <c r="T5" s="29"/>
      <c r="U5" s="27"/>
      <c r="V5" s="27"/>
      <c r="W5" s="27"/>
      <c r="X5" s="27"/>
      <c r="Y5" s="27"/>
      <c r="Z5" s="27"/>
      <c r="AA5" s="27"/>
      <c r="AB5" s="27"/>
      <c r="AC5" s="27"/>
      <c r="AD5" s="30" t="s">
        <v>86</v>
      </c>
      <c r="AE5" s="27"/>
      <c r="AF5" s="27"/>
      <c r="AG5" s="27"/>
      <c r="AH5" s="27"/>
      <c r="AI5" s="27"/>
      <c r="AJ5" s="27"/>
    </row>
    <row r="6" spans="1:36" ht="16" x14ac:dyDescent="0.35">
      <c r="A6" s="49"/>
      <c r="B6" s="50"/>
      <c r="C6" s="50"/>
      <c r="D6" s="50"/>
      <c r="E6" s="59"/>
      <c r="F6" s="49"/>
      <c r="G6" s="50"/>
      <c r="H6" s="50"/>
      <c r="I6" s="53"/>
      <c r="J6" s="49"/>
      <c r="K6" s="49"/>
      <c r="L6" s="46" t="s">
        <v>87</v>
      </c>
      <c r="M6" s="10">
        <v>0.25</v>
      </c>
      <c r="N6" s="10">
        <v>0.25</v>
      </c>
      <c r="O6" s="10">
        <v>0.375</v>
      </c>
      <c r="P6" s="10">
        <v>0.625</v>
      </c>
      <c r="Q6" s="10">
        <v>0.75</v>
      </c>
      <c r="R6" s="10"/>
      <c r="S6" s="10"/>
      <c r="T6" s="11"/>
      <c r="U6" s="11"/>
      <c r="V6" s="11"/>
      <c r="W6" s="11"/>
      <c r="X6" s="11"/>
      <c r="Y6" s="11"/>
      <c r="Z6" s="11"/>
      <c r="AA6" s="11"/>
      <c r="AB6" s="11"/>
      <c r="AC6" s="27"/>
      <c r="AD6" s="31" t="s">
        <v>88</v>
      </c>
      <c r="AE6" s="31">
        <v>0.27083333333333331</v>
      </c>
      <c r="AF6" s="31">
        <v>0.29166666666666669</v>
      </c>
      <c r="AG6" s="31">
        <v>0.40625</v>
      </c>
      <c r="AH6" s="31">
        <v>0.46875</v>
      </c>
      <c r="AI6" s="31">
        <v>0.61458333333333337</v>
      </c>
      <c r="AJ6" s="31"/>
    </row>
    <row r="7" spans="1:36" ht="21" x14ac:dyDescent="0.35">
      <c r="A7" s="32" t="s">
        <v>18</v>
      </c>
      <c r="B7" s="32" t="s">
        <v>19</v>
      </c>
      <c r="C7" s="32" t="s">
        <v>20</v>
      </c>
      <c r="D7" s="33">
        <v>184</v>
      </c>
      <c r="E7" s="48">
        <v>26</v>
      </c>
      <c r="F7" s="15">
        <v>81</v>
      </c>
      <c r="G7" s="33"/>
      <c r="H7" s="33">
        <f>MAX(((D7+E7)-F7),0)</f>
        <v>129</v>
      </c>
      <c r="I7" s="33">
        <f>MAX(H7-(SUM(M7:R7)),0)</f>
        <v>33</v>
      </c>
      <c r="J7" s="33">
        <f>SUM(M7:S7)</f>
        <v>96</v>
      </c>
      <c r="K7" s="33">
        <f>SUM(T7:Z7)</f>
        <v>0</v>
      </c>
      <c r="L7" s="34"/>
      <c r="M7" s="8"/>
      <c r="N7" s="8">
        <v>96</v>
      </c>
      <c r="O7" s="8"/>
      <c r="P7" s="8"/>
      <c r="Q7" s="8"/>
      <c r="R7" s="8"/>
      <c r="S7" s="8"/>
      <c r="T7" s="9"/>
      <c r="U7" s="9"/>
      <c r="V7" s="9"/>
      <c r="W7" s="9"/>
      <c r="X7" s="9"/>
      <c r="Y7" s="9"/>
      <c r="Z7" s="9"/>
      <c r="AA7" s="9"/>
      <c r="AB7" s="9"/>
      <c r="AC7" s="28"/>
      <c r="AD7" s="28">
        <f t="shared" ref="AD7:AD34" si="0">SUM(T7:AC7)</f>
        <v>0</v>
      </c>
      <c r="AE7" s="28">
        <f t="shared" ref="AE7:AE34" si="1">T7-M7</f>
        <v>0</v>
      </c>
      <c r="AF7" s="28">
        <f t="shared" ref="AF7:AF34" si="2">SUM(T7:U7)-SUM(M7:N7)</f>
        <v>-96</v>
      </c>
      <c r="AG7" s="28">
        <f t="shared" ref="AG7:AG34" si="3">SUM(T7:V7)-SUM(M7:O7)</f>
        <v>-96</v>
      </c>
      <c r="AH7" s="28">
        <f t="shared" ref="AH7:AH34" si="4">SUM(T7:Z7)-SUM(M7:P7)</f>
        <v>-96</v>
      </c>
      <c r="AI7" s="28">
        <f t="shared" ref="AI7:AI34" si="5">SUM(T7:AA7)-SUM(M7:Q7)</f>
        <v>-96</v>
      </c>
      <c r="AJ7" s="28">
        <f t="shared" ref="AJ7:AJ34" si="6">SUM(T7:AB7)-SUM(M7:R7)</f>
        <v>-96</v>
      </c>
    </row>
    <row r="8" spans="1:36" ht="21" x14ac:dyDescent="0.35">
      <c r="A8" s="32" t="s">
        <v>21</v>
      </c>
      <c r="B8" s="32" t="s">
        <v>22</v>
      </c>
      <c r="C8" s="32" t="s">
        <v>23</v>
      </c>
      <c r="D8" s="33">
        <v>199</v>
      </c>
      <c r="E8" s="48">
        <v>374</v>
      </c>
      <c r="F8" s="15">
        <v>71</v>
      </c>
      <c r="G8" s="33"/>
      <c r="H8" s="33">
        <f t="shared" ref="H8:H40" si="7">MAX(((D8+E8)-F8),0)</f>
        <v>502</v>
      </c>
      <c r="I8" s="33">
        <f t="shared" ref="I8:I40" si="8">MAX(H8-(SUM(M8:R8)),0)</f>
        <v>22</v>
      </c>
      <c r="J8" s="33">
        <f t="shared" ref="J8:J40" si="9">SUM(M8:S8)</f>
        <v>480</v>
      </c>
      <c r="K8" s="33">
        <f t="shared" ref="K8:K40" si="10">SUM(T8:Z8)</f>
        <v>0</v>
      </c>
      <c r="L8" s="34"/>
      <c r="M8" s="8">
        <v>192</v>
      </c>
      <c r="N8" s="8"/>
      <c r="O8" s="8">
        <v>96</v>
      </c>
      <c r="P8" s="8">
        <v>96</v>
      </c>
      <c r="Q8" s="8">
        <v>96</v>
      </c>
      <c r="R8" s="8"/>
      <c r="S8" s="8"/>
      <c r="T8" s="9"/>
      <c r="U8" s="9"/>
      <c r="V8" s="9"/>
      <c r="W8" s="9"/>
      <c r="X8" s="9"/>
      <c r="Y8" s="9"/>
      <c r="Z8" s="9"/>
      <c r="AA8" s="9"/>
      <c r="AB8" s="9"/>
      <c r="AC8" s="28"/>
      <c r="AD8" s="28">
        <f t="shared" si="0"/>
        <v>0</v>
      </c>
      <c r="AE8" s="28">
        <f t="shared" si="1"/>
        <v>-192</v>
      </c>
      <c r="AF8" s="28">
        <f t="shared" si="2"/>
        <v>-192</v>
      </c>
      <c r="AG8" s="28">
        <f t="shared" si="3"/>
        <v>-288</v>
      </c>
      <c r="AH8" s="28">
        <f t="shared" si="4"/>
        <v>-384</v>
      </c>
      <c r="AI8" s="28">
        <f t="shared" si="5"/>
        <v>-480</v>
      </c>
      <c r="AJ8" s="28">
        <f t="shared" si="6"/>
        <v>-480</v>
      </c>
    </row>
    <row r="9" spans="1:36" ht="21" x14ac:dyDescent="0.35">
      <c r="A9" s="32" t="s">
        <v>24</v>
      </c>
      <c r="B9" s="32" t="s">
        <v>25</v>
      </c>
      <c r="C9" s="32" t="s">
        <v>26</v>
      </c>
      <c r="D9" s="33">
        <v>168</v>
      </c>
      <c r="E9" s="48">
        <v>20</v>
      </c>
      <c r="F9" s="15">
        <v>178</v>
      </c>
      <c r="G9" s="33"/>
      <c r="H9" s="33">
        <f t="shared" si="7"/>
        <v>10</v>
      </c>
      <c r="I9" s="33">
        <f t="shared" si="8"/>
        <v>10</v>
      </c>
      <c r="J9" s="33">
        <f t="shared" si="9"/>
        <v>0</v>
      </c>
      <c r="K9" s="33">
        <f t="shared" si="10"/>
        <v>0</v>
      </c>
      <c r="L9" s="34"/>
      <c r="M9" s="8"/>
      <c r="N9" s="8"/>
      <c r="O9" s="8"/>
      <c r="P9" s="8"/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28"/>
      <c r="AD9" s="28">
        <f t="shared" si="0"/>
        <v>0</v>
      </c>
      <c r="AE9" s="28">
        <f t="shared" si="1"/>
        <v>0</v>
      </c>
      <c r="AF9" s="28">
        <f t="shared" si="2"/>
        <v>0</v>
      </c>
      <c r="AG9" s="28">
        <f t="shared" si="3"/>
        <v>0</v>
      </c>
      <c r="AH9" s="28">
        <f t="shared" si="4"/>
        <v>0</v>
      </c>
      <c r="AI9" s="28">
        <f t="shared" si="5"/>
        <v>0</v>
      </c>
      <c r="AJ9" s="28">
        <f t="shared" si="6"/>
        <v>0</v>
      </c>
    </row>
    <row r="10" spans="1:36" ht="21" x14ac:dyDescent="0.35">
      <c r="A10" s="35" t="s">
        <v>27</v>
      </c>
      <c r="B10" s="32" t="s">
        <v>28</v>
      </c>
      <c r="C10" s="32" t="s">
        <v>29</v>
      </c>
      <c r="D10" s="33">
        <v>200</v>
      </c>
      <c r="E10" s="48">
        <v>4</v>
      </c>
      <c r="F10" s="15">
        <v>200</v>
      </c>
      <c r="G10" s="33"/>
      <c r="H10" s="33">
        <f t="shared" si="7"/>
        <v>4</v>
      </c>
      <c r="I10" s="33">
        <f t="shared" si="8"/>
        <v>4</v>
      </c>
      <c r="J10" s="33">
        <f t="shared" si="9"/>
        <v>0</v>
      </c>
      <c r="K10" s="33">
        <f t="shared" si="10"/>
        <v>0</v>
      </c>
      <c r="L10" s="34"/>
      <c r="M10" s="8"/>
      <c r="N10" s="8"/>
      <c r="O10" s="8"/>
      <c r="P10" s="8"/>
      <c r="Q10" s="8"/>
      <c r="R10" s="8"/>
      <c r="S10" s="8"/>
      <c r="T10" s="9"/>
      <c r="U10" s="9"/>
      <c r="V10" s="9"/>
      <c r="W10" s="9"/>
      <c r="X10" s="9"/>
      <c r="Y10" s="9"/>
      <c r="Z10" s="9"/>
      <c r="AA10" s="9"/>
      <c r="AB10" s="9"/>
      <c r="AC10" s="28"/>
      <c r="AD10" s="28">
        <f t="shared" si="0"/>
        <v>0</v>
      </c>
      <c r="AE10" s="28">
        <f t="shared" si="1"/>
        <v>0</v>
      </c>
      <c r="AF10" s="28">
        <f t="shared" si="2"/>
        <v>0</v>
      </c>
      <c r="AG10" s="28">
        <f t="shared" si="3"/>
        <v>0</v>
      </c>
      <c r="AH10" s="28">
        <f t="shared" si="4"/>
        <v>0</v>
      </c>
      <c r="AI10" s="28">
        <f t="shared" si="5"/>
        <v>0</v>
      </c>
      <c r="AJ10" s="28">
        <f t="shared" si="6"/>
        <v>0</v>
      </c>
    </row>
    <row r="11" spans="1:36" ht="21" x14ac:dyDescent="0.35">
      <c r="A11" s="32" t="s">
        <v>30</v>
      </c>
      <c r="B11" s="32" t="s">
        <v>31</v>
      </c>
      <c r="C11" s="32" t="s">
        <v>32</v>
      </c>
      <c r="D11" s="33">
        <v>260</v>
      </c>
      <c r="E11" s="48">
        <v>271</v>
      </c>
      <c r="F11" s="15">
        <v>130</v>
      </c>
      <c r="G11" s="33"/>
      <c r="H11" s="33">
        <f t="shared" si="7"/>
        <v>401</v>
      </c>
      <c r="I11" s="33">
        <f t="shared" si="8"/>
        <v>11</v>
      </c>
      <c r="J11" s="33">
        <f t="shared" si="9"/>
        <v>390</v>
      </c>
      <c r="K11" s="33">
        <f t="shared" si="10"/>
        <v>0</v>
      </c>
      <c r="L11" s="34"/>
      <c r="M11" s="8">
        <v>130</v>
      </c>
      <c r="N11" s="8"/>
      <c r="O11" s="8">
        <v>130</v>
      </c>
      <c r="P11" s="8">
        <v>130</v>
      </c>
      <c r="Q11" s="8"/>
      <c r="R11" s="8"/>
      <c r="S11" s="8"/>
      <c r="T11" s="9"/>
      <c r="U11" s="9"/>
      <c r="V11" s="9"/>
      <c r="W11" s="9"/>
      <c r="X11" s="9"/>
      <c r="Y11" s="9"/>
      <c r="Z11" s="9"/>
      <c r="AA11" s="9"/>
      <c r="AB11" s="9"/>
      <c r="AC11" s="28"/>
      <c r="AD11" s="28">
        <f t="shared" si="0"/>
        <v>0</v>
      </c>
      <c r="AE11" s="28">
        <f t="shared" si="1"/>
        <v>-130</v>
      </c>
      <c r="AF11" s="28">
        <f t="shared" si="2"/>
        <v>-130</v>
      </c>
      <c r="AG11" s="28">
        <f t="shared" si="3"/>
        <v>-260</v>
      </c>
      <c r="AH11" s="28">
        <f t="shared" si="4"/>
        <v>-390</v>
      </c>
      <c r="AI11" s="28">
        <f t="shared" si="5"/>
        <v>-390</v>
      </c>
      <c r="AJ11" s="28">
        <f t="shared" si="6"/>
        <v>-390</v>
      </c>
    </row>
    <row r="12" spans="1:36" ht="21" x14ac:dyDescent="0.35">
      <c r="A12" s="32" t="s">
        <v>33</v>
      </c>
      <c r="B12" s="32" t="s">
        <v>34</v>
      </c>
      <c r="C12" s="32" t="s">
        <v>35</v>
      </c>
      <c r="D12" s="33">
        <v>140</v>
      </c>
      <c r="E12" s="48">
        <v>0</v>
      </c>
      <c r="F12" s="15">
        <v>200</v>
      </c>
      <c r="G12" s="33"/>
      <c r="H12" s="33">
        <f t="shared" si="7"/>
        <v>0</v>
      </c>
      <c r="I12" s="33">
        <f t="shared" si="8"/>
        <v>0</v>
      </c>
      <c r="J12" s="33">
        <f t="shared" si="9"/>
        <v>0</v>
      </c>
      <c r="K12" s="33">
        <f t="shared" si="10"/>
        <v>0</v>
      </c>
      <c r="L12" s="34"/>
      <c r="M12" s="8"/>
      <c r="N12" s="8"/>
      <c r="O12" s="8"/>
      <c r="P12" s="8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28"/>
      <c r="AD12" s="28">
        <f t="shared" si="0"/>
        <v>0</v>
      </c>
      <c r="AE12" s="28">
        <f t="shared" si="1"/>
        <v>0</v>
      </c>
      <c r="AF12" s="28">
        <f t="shared" si="2"/>
        <v>0</v>
      </c>
      <c r="AG12" s="28">
        <f t="shared" si="3"/>
        <v>0</v>
      </c>
      <c r="AH12" s="28">
        <f t="shared" si="4"/>
        <v>0</v>
      </c>
      <c r="AI12" s="28">
        <f t="shared" si="5"/>
        <v>0</v>
      </c>
      <c r="AJ12" s="28">
        <f t="shared" si="6"/>
        <v>0</v>
      </c>
    </row>
    <row r="13" spans="1:36" ht="21" x14ac:dyDescent="0.35">
      <c r="A13" s="32" t="s">
        <v>36</v>
      </c>
      <c r="B13" s="32" t="s">
        <v>37</v>
      </c>
      <c r="C13" s="32">
        <v>630131090</v>
      </c>
      <c r="D13" s="33">
        <v>140</v>
      </c>
      <c r="E13" s="48">
        <v>20</v>
      </c>
      <c r="F13" s="15">
        <v>140</v>
      </c>
      <c r="G13" s="33"/>
      <c r="H13" s="33">
        <f t="shared" si="7"/>
        <v>20</v>
      </c>
      <c r="I13" s="33">
        <f t="shared" si="8"/>
        <v>20</v>
      </c>
      <c r="J13" s="33">
        <f t="shared" si="9"/>
        <v>0</v>
      </c>
      <c r="K13" s="33">
        <f t="shared" si="10"/>
        <v>0</v>
      </c>
      <c r="L13" s="34"/>
      <c r="M13" s="8"/>
      <c r="N13" s="8"/>
      <c r="O13" s="8"/>
      <c r="P13" s="8"/>
      <c r="Q13" s="8"/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28"/>
      <c r="AD13" s="28">
        <f t="shared" si="0"/>
        <v>0</v>
      </c>
      <c r="AE13" s="28">
        <f t="shared" si="1"/>
        <v>0</v>
      </c>
      <c r="AF13" s="28">
        <f t="shared" si="2"/>
        <v>0</v>
      </c>
      <c r="AG13" s="28">
        <f t="shared" si="3"/>
        <v>0</v>
      </c>
      <c r="AH13" s="28">
        <f t="shared" si="4"/>
        <v>0</v>
      </c>
      <c r="AI13" s="28">
        <f t="shared" si="5"/>
        <v>0</v>
      </c>
      <c r="AJ13" s="28">
        <f t="shared" si="6"/>
        <v>0</v>
      </c>
    </row>
    <row r="14" spans="1:36" ht="21" x14ac:dyDescent="0.35">
      <c r="A14" s="32" t="s">
        <v>38</v>
      </c>
      <c r="B14" s="32" t="s">
        <v>39</v>
      </c>
      <c r="C14" s="32" t="s">
        <v>40</v>
      </c>
      <c r="D14" s="33">
        <v>42</v>
      </c>
      <c r="E14" s="48">
        <v>66</v>
      </c>
      <c r="F14" s="15">
        <v>63</v>
      </c>
      <c r="G14" s="33"/>
      <c r="H14" s="33">
        <f t="shared" si="7"/>
        <v>45</v>
      </c>
      <c r="I14" s="33">
        <f t="shared" si="8"/>
        <v>3</v>
      </c>
      <c r="J14" s="33">
        <f t="shared" si="9"/>
        <v>42</v>
      </c>
      <c r="K14" s="33">
        <f t="shared" si="10"/>
        <v>0</v>
      </c>
      <c r="L14" s="34"/>
      <c r="M14" s="8">
        <v>14</v>
      </c>
      <c r="N14" s="8"/>
      <c r="O14" s="8">
        <v>14</v>
      </c>
      <c r="P14" s="8">
        <v>14</v>
      </c>
      <c r="Q14" s="8"/>
      <c r="R14" s="8"/>
      <c r="S14" s="8"/>
      <c r="T14" s="9"/>
      <c r="U14" s="9"/>
      <c r="V14" s="9"/>
      <c r="W14" s="9"/>
      <c r="X14" s="9"/>
      <c r="Y14" s="9"/>
      <c r="Z14" s="9"/>
      <c r="AA14" s="9"/>
      <c r="AB14" s="9"/>
      <c r="AC14" s="28"/>
      <c r="AD14" s="28">
        <f t="shared" si="0"/>
        <v>0</v>
      </c>
      <c r="AE14" s="28">
        <f t="shared" si="1"/>
        <v>-14</v>
      </c>
      <c r="AF14" s="28">
        <f t="shared" si="2"/>
        <v>-14</v>
      </c>
      <c r="AG14" s="28">
        <f t="shared" si="3"/>
        <v>-28</v>
      </c>
      <c r="AH14" s="28">
        <f t="shared" si="4"/>
        <v>-42</v>
      </c>
      <c r="AI14" s="28">
        <f t="shared" si="5"/>
        <v>-42</v>
      </c>
      <c r="AJ14" s="28">
        <f t="shared" si="6"/>
        <v>-42</v>
      </c>
    </row>
    <row r="15" spans="1:36" ht="21" x14ac:dyDescent="0.35">
      <c r="A15" s="32" t="s">
        <v>41</v>
      </c>
      <c r="B15" s="32" t="s">
        <v>42</v>
      </c>
      <c r="C15" s="32" t="s">
        <v>43</v>
      </c>
      <c r="D15" s="33">
        <v>28</v>
      </c>
      <c r="E15" s="48">
        <v>6</v>
      </c>
      <c r="F15" s="15">
        <v>38</v>
      </c>
      <c r="G15" s="33"/>
      <c r="H15" s="33">
        <f t="shared" si="7"/>
        <v>0</v>
      </c>
      <c r="I15" s="33">
        <f t="shared" si="8"/>
        <v>0</v>
      </c>
      <c r="J15" s="33">
        <f t="shared" si="9"/>
        <v>0</v>
      </c>
      <c r="K15" s="33">
        <f t="shared" si="10"/>
        <v>0</v>
      </c>
      <c r="L15" s="34"/>
      <c r="M15" s="8"/>
      <c r="N15" s="8"/>
      <c r="O15" s="8"/>
      <c r="P15" s="8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28"/>
      <c r="AD15" s="28">
        <f t="shared" si="0"/>
        <v>0</v>
      </c>
      <c r="AE15" s="28">
        <f t="shared" si="1"/>
        <v>0</v>
      </c>
      <c r="AF15" s="28">
        <f t="shared" si="2"/>
        <v>0</v>
      </c>
      <c r="AG15" s="28">
        <f t="shared" si="3"/>
        <v>0</v>
      </c>
      <c r="AH15" s="28">
        <f t="shared" si="4"/>
        <v>0</v>
      </c>
      <c r="AI15" s="28">
        <f t="shared" si="5"/>
        <v>0</v>
      </c>
      <c r="AJ15" s="28">
        <f t="shared" si="6"/>
        <v>0</v>
      </c>
    </row>
    <row r="16" spans="1:36" ht="21" x14ac:dyDescent="0.35">
      <c r="A16" s="32" t="s">
        <v>44</v>
      </c>
      <c r="B16" s="32" t="s">
        <v>45</v>
      </c>
      <c r="C16" s="32" t="s">
        <v>46</v>
      </c>
      <c r="D16" s="33">
        <v>84</v>
      </c>
      <c r="E16" s="48">
        <v>225</v>
      </c>
      <c r="F16" s="15">
        <v>45</v>
      </c>
      <c r="G16" s="33"/>
      <c r="H16" s="33">
        <f t="shared" si="7"/>
        <v>264</v>
      </c>
      <c r="I16" s="33">
        <f t="shared" si="8"/>
        <v>10</v>
      </c>
      <c r="J16" s="33">
        <f t="shared" si="9"/>
        <v>254</v>
      </c>
      <c r="K16" s="33">
        <f t="shared" si="10"/>
        <v>0</v>
      </c>
      <c r="L16" s="34"/>
      <c r="M16" s="8">
        <v>44</v>
      </c>
      <c r="N16" s="8">
        <v>70</v>
      </c>
      <c r="O16" s="8">
        <v>42</v>
      </c>
      <c r="P16" s="8">
        <v>42</v>
      </c>
      <c r="Q16" s="8">
        <v>56</v>
      </c>
      <c r="R16" s="8"/>
      <c r="S16" s="8"/>
      <c r="T16" s="9"/>
      <c r="U16" s="9"/>
      <c r="V16" s="9"/>
      <c r="W16" s="9"/>
      <c r="X16" s="9"/>
      <c r="Y16" s="9"/>
      <c r="Z16" s="9"/>
      <c r="AA16" s="9"/>
      <c r="AB16" s="9"/>
      <c r="AC16" s="28"/>
      <c r="AD16" s="28">
        <f t="shared" si="0"/>
        <v>0</v>
      </c>
      <c r="AE16" s="28">
        <f t="shared" si="1"/>
        <v>-44</v>
      </c>
      <c r="AF16" s="28">
        <f t="shared" si="2"/>
        <v>-114</v>
      </c>
      <c r="AG16" s="28">
        <f t="shared" si="3"/>
        <v>-156</v>
      </c>
      <c r="AH16" s="28">
        <f t="shared" si="4"/>
        <v>-198</v>
      </c>
      <c r="AI16" s="28">
        <f t="shared" si="5"/>
        <v>-254</v>
      </c>
      <c r="AJ16" s="28">
        <f t="shared" si="6"/>
        <v>-254</v>
      </c>
    </row>
    <row r="17" spans="1:36" ht="21" x14ac:dyDescent="0.35">
      <c r="A17" s="32" t="s">
        <v>47</v>
      </c>
      <c r="B17" s="32" t="s">
        <v>48</v>
      </c>
      <c r="C17" s="32" t="s">
        <v>49</v>
      </c>
      <c r="D17" s="33">
        <v>28</v>
      </c>
      <c r="E17" s="48">
        <v>43</v>
      </c>
      <c r="F17" s="15">
        <v>48</v>
      </c>
      <c r="G17" s="33"/>
      <c r="H17" s="33">
        <f t="shared" si="7"/>
        <v>23</v>
      </c>
      <c r="I17" s="33">
        <f t="shared" si="8"/>
        <v>0</v>
      </c>
      <c r="J17" s="33">
        <f t="shared" si="9"/>
        <v>28</v>
      </c>
      <c r="K17" s="33">
        <f t="shared" si="10"/>
        <v>0</v>
      </c>
      <c r="L17" s="34"/>
      <c r="M17" s="8"/>
      <c r="N17" s="8"/>
      <c r="O17" s="8">
        <v>14</v>
      </c>
      <c r="P17" s="8"/>
      <c r="Q17" s="8">
        <v>14</v>
      </c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28"/>
      <c r="AD17" s="28">
        <f t="shared" si="0"/>
        <v>0</v>
      </c>
      <c r="AE17" s="28">
        <f t="shared" si="1"/>
        <v>0</v>
      </c>
      <c r="AF17" s="28">
        <f t="shared" si="2"/>
        <v>0</v>
      </c>
      <c r="AG17" s="28">
        <f t="shared" si="3"/>
        <v>-14</v>
      </c>
      <c r="AH17" s="28">
        <f t="shared" si="4"/>
        <v>-14</v>
      </c>
      <c r="AI17" s="28">
        <f t="shared" si="5"/>
        <v>-28</v>
      </c>
      <c r="AJ17" s="28">
        <f t="shared" si="6"/>
        <v>-28</v>
      </c>
    </row>
    <row r="18" spans="1:36" ht="21" x14ac:dyDescent="0.35">
      <c r="A18" s="32" t="s">
        <v>50</v>
      </c>
      <c r="B18" s="32" t="s">
        <v>51</v>
      </c>
      <c r="C18" s="32" t="s">
        <v>52</v>
      </c>
      <c r="D18" s="33">
        <v>0</v>
      </c>
      <c r="E18" s="48">
        <v>0</v>
      </c>
      <c r="F18" s="15">
        <v>0</v>
      </c>
      <c r="G18" s="33"/>
      <c r="H18" s="33">
        <f t="shared" si="7"/>
        <v>0</v>
      </c>
      <c r="I18" s="33">
        <f t="shared" si="8"/>
        <v>0</v>
      </c>
      <c r="J18" s="33">
        <f t="shared" si="9"/>
        <v>0</v>
      </c>
      <c r="K18" s="33">
        <f t="shared" si="10"/>
        <v>0</v>
      </c>
      <c r="L18" s="34"/>
      <c r="M18" s="8"/>
      <c r="N18" s="8"/>
      <c r="O18" s="8"/>
      <c r="P18" s="8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28"/>
      <c r="AD18" s="28">
        <f t="shared" si="0"/>
        <v>0</v>
      </c>
      <c r="AE18" s="28">
        <f t="shared" si="1"/>
        <v>0</v>
      </c>
      <c r="AF18" s="28">
        <f t="shared" si="2"/>
        <v>0</v>
      </c>
      <c r="AG18" s="28">
        <f t="shared" si="3"/>
        <v>0</v>
      </c>
      <c r="AH18" s="28">
        <f t="shared" si="4"/>
        <v>0</v>
      </c>
      <c r="AI18" s="28">
        <f t="shared" si="5"/>
        <v>0</v>
      </c>
      <c r="AJ18" s="28">
        <f t="shared" si="6"/>
        <v>0</v>
      </c>
    </row>
    <row r="19" spans="1:36" ht="21" x14ac:dyDescent="0.35">
      <c r="A19" s="32" t="s">
        <v>53</v>
      </c>
      <c r="B19" s="32" t="s">
        <v>54</v>
      </c>
      <c r="C19" s="32" t="s">
        <v>55</v>
      </c>
      <c r="D19" s="33">
        <v>28</v>
      </c>
      <c r="E19" s="48">
        <v>4</v>
      </c>
      <c r="F19" s="15">
        <v>25</v>
      </c>
      <c r="G19" s="33"/>
      <c r="H19" s="33">
        <f t="shared" si="7"/>
        <v>7</v>
      </c>
      <c r="I19" s="33">
        <f t="shared" si="8"/>
        <v>7</v>
      </c>
      <c r="J19" s="33">
        <f t="shared" si="9"/>
        <v>0</v>
      </c>
      <c r="K19" s="33">
        <f t="shared" si="10"/>
        <v>0</v>
      </c>
      <c r="L19" s="34"/>
      <c r="M19" s="8"/>
      <c r="N19" s="8"/>
      <c r="O19" s="8"/>
      <c r="P19" s="8"/>
      <c r="Q19" s="8"/>
      <c r="R19" s="8"/>
      <c r="S19" s="8"/>
      <c r="T19" s="9"/>
      <c r="U19" s="9"/>
      <c r="V19" s="9"/>
      <c r="W19" s="9"/>
      <c r="X19" s="9"/>
      <c r="Y19" s="9"/>
      <c r="Z19" s="9"/>
      <c r="AA19" s="9"/>
      <c r="AB19" s="9"/>
      <c r="AC19" s="28"/>
      <c r="AD19" s="28">
        <f t="shared" si="0"/>
        <v>0</v>
      </c>
      <c r="AE19" s="28">
        <f t="shared" si="1"/>
        <v>0</v>
      </c>
      <c r="AF19" s="28">
        <f t="shared" si="2"/>
        <v>0</v>
      </c>
      <c r="AG19" s="28">
        <f t="shared" si="3"/>
        <v>0</v>
      </c>
      <c r="AH19" s="28">
        <f t="shared" si="4"/>
        <v>0</v>
      </c>
      <c r="AI19" s="28">
        <f t="shared" si="5"/>
        <v>0</v>
      </c>
      <c r="AJ19" s="28">
        <f t="shared" si="6"/>
        <v>0</v>
      </c>
    </row>
    <row r="20" spans="1:36" ht="21" x14ac:dyDescent="0.35">
      <c r="A20" s="32" t="s">
        <v>56</v>
      </c>
      <c r="B20" s="32" t="s">
        <v>57</v>
      </c>
      <c r="C20" s="32" t="s">
        <v>58</v>
      </c>
      <c r="D20" s="33">
        <v>28</v>
      </c>
      <c r="E20" s="48">
        <v>46</v>
      </c>
      <c r="F20" s="15">
        <v>28</v>
      </c>
      <c r="G20" s="33"/>
      <c r="H20" s="33">
        <f t="shared" si="7"/>
        <v>46</v>
      </c>
      <c r="I20" s="33">
        <f t="shared" si="8"/>
        <v>0</v>
      </c>
      <c r="J20" s="33">
        <f t="shared" si="9"/>
        <v>56</v>
      </c>
      <c r="K20" s="33">
        <f t="shared" si="10"/>
        <v>0</v>
      </c>
      <c r="L20" s="34"/>
      <c r="M20" s="8">
        <v>14</v>
      </c>
      <c r="N20" s="8">
        <v>14</v>
      </c>
      <c r="O20" s="8"/>
      <c r="P20" s="8">
        <v>14</v>
      </c>
      <c r="Q20" s="8">
        <v>14</v>
      </c>
      <c r="R20" s="8"/>
      <c r="S20" s="8"/>
      <c r="T20" s="9"/>
      <c r="U20" s="9"/>
      <c r="V20" s="9"/>
      <c r="W20" s="9"/>
      <c r="X20" s="9"/>
      <c r="Y20" s="9"/>
      <c r="Z20" s="9"/>
      <c r="AA20" s="9"/>
      <c r="AB20" s="9"/>
      <c r="AC20" s="28"/>
      <c r="AD20" s="28">
        <f t="shared" si="0"/>
        <v>0</v>
      </c>
      <c r="AE20" s="28">
        <f t="shared" si="1"/>
        <v>-14</v>
      </c>
      <c r="AF20" s="28">
        <f t="shared" si="2"/>
        <v>-28</v>
      </c>
      <c r="AG20" s="28">
        <f t="shared" si="3"/>
        <v>-28</v>
      </c>
      <c r="AH20" s="28">
        <f t="shared" si="4"/>
        <v>-42</v>
      </c>
      <c r="AI20" s="28">
        <f t="shared" si="5"/>
        <v>-56</v>
      </c>
      <c r="AJ20" s="28">
        <f t="shared" si="6"/>
        <v>-56</v>
      </c>
    </row>
    <row r="21" spans="1:36" ht="21" x14ac:dyDescent="0.35">
      <c r="A21" s="32" t="s">
        <v>59</v>
      </c>
      <c r="B21" s="32" t="s">
        <v>60</v>
      </c>
      <c r="C21" s="32" t="s">
        <v>61</v>
      </c>
      <c r="D21" s="33">
        <v>28</v>
      </c>
      <c r="E21" s="48">
        <v>20</v>
      </c>
      <c r="F21" s="15">
        <v>14</v>
      </c>
      <c r="G21" s="33"/>
      <c r="H21" s="33">
        <f t="shared" si="7"/>
        <v>34</v>
      </c>
      <c r="I21" s="33">
        <f t="shared" si="8"/>
        <v>0</v>
      </c>
      <c r="J21" s="33">
        <f t="shared" si="9"/>
        <v>42</v>
      </c>
      <c r="K21" s="33">
        <f t="shared" si="10"/>
        <v>0</v>
      </c>
      <c r="L21" s="34"/>
      <c r="M21" s="8">
        <v>14</v>
      </c>
      <c r="N21" s="8"/>
      <c r="O21" s="8">
        <v>14</v>
      </c>
      <c r="P21" s="8">
        <v>14</v>
      </c>
      <c r="Q21" s="8"/>
      <c r="R21" s="8"/>
      <c r="S21" s="8"/>
      <c r="T21" s="9"/>
      <c r="U21" s="9"/>
      <c r="V21" s="9"/>
      <c r="W21" s="9"/>
      <c r="X21" s="9"/>
      <c r="Y21" s="9"/>
      <c r="Z21" s="9"/>
      <c r="AA21" s="9"/>
      <c r="AB21" s="9"/>
      <c r="AC21" s="28"/>
      <c r="AD21" s="28">
        <f t="shared" si="0"/>
        <v>0</v>
      </c>
      <c r="AE21" s="28">
        <f t="shared" si="1"/>
        <v>-14</v>
      </c>
      <c r="AF21" s="28">
        <f t="shared" si="2"/>
        <v>-14</v>
      </c>
      <c r="AG21" s="28">
        <f t="shared" si="3"/>
        <v>-28</v>
      </c>
      <c r="AH21" s="28">
        <f t="shared" si="4"/>
        <v>-42</v>
      </c>
      <c r="AI21" s="28">
        <f t="shared" si="5"/>
        <v>-42</v>
      </c>
      <c r="AJ21" s="28">
        <f t="shared" si="6"/>
        <v>-42</v>
      </c>
    </row>
    <row r="22" spans="1:36" ht="16" x14ac:dyDescent="0.35">
      <c r="A22" s="35">
        <v>542474700122</v>
      </c>
      <c r="B22" s="32" t="s">
        <v>89</v>
      </c>
      <c r="C22" s="32" t="s">
        <v>90</v>
      </c>
      <c r="D22" s="33">
        <v>50</v>
      </c>
      <c r="E22" s="36">
        <v>0</v>
      </c>
      <c r="F22" s="33">
        <v>55</v>
      </c>
      <c r="G22" s="33"/>
      <c r="H22" s="33">
        <f t="shared" si="7"/>
        <v>0</v>
      </c>
      <c r="I22" s="33">
        <f t="shared" si="8"/>
        <v>0</v>
      </c>
      <c r="J22" s="33">
        <f t="shared" si="9"/>
        <v>0</v>
      </c>
      <c r="K22" s="33">
        <f t="shared" si="10"/>
        <v>0</v>
      </c>
      <c r="L22" s="34"/>
      <c r="M22" s="37"/>
      <c r="N22" s="37"/>
      <c r="O22" s="37"/>
      <c r="P22" s="22"/>
      <c r="Q22" s="22"/>
      <c r="R22" s="22"/>
      <c r="S22" s="22"/>
      <c r="T22" s="38"/>
      <c r="U22" s="38"/>
      <c r="V22" s="38"/>
      <c r="W22" s="38"/>
      <c r="X22" s="38"/>
      <c r="Y22" s="38"/>
      <c r="Z22" s="28"/>
      <c r="AA22" s="28"/>
      <c r="AB22" s="28"/>
      <c r="AC22" s="28"/>
      <c r="AD22" s="28">
        <f t="shared" si="0"/>
        <v>0</v>
      </c>
      <c r="AE22" s="28">
        <f t="shared" si="1"/>
        <v>0</v>
      </c>
      <c r="AF22" s="28">
        <f t="shared" si="2"/>
        <v>0</v>
      </c>
      <c r="AG22" s="28">
        <f t="shared" si="3"/>
        <v>0</v>
      </c>
      <c r="AH22" s="28">
        <f t="shared" si="4"/>
        <v>0</v>
      </c>
      <c r="AI22" s="28">
        <f t="shared" si="5"/>
        <v>0</v>
      </c>
      <c r="AJ22" s="28">
        <f t="shared" si="6"/>
        <v>0</v>
      </c>
    </row>
    <row r="23" spans="1:36" ht="16" x14ac:dyDescent="0.35">
      <c r="A23" s="35">
        <v>542463700115</v>
      </c>
      <c r="B23" s="32" t="s">
        <v>91</v>
      </c>
      <c r="C23" s="32" t="s">
        <v>92</v>
      </c>
      <c r="D23" s="33">
        <v>50</v>
      </c>
      <c r="E23" s="36">
        <v>0</v>
      </c>
      <c r="F23" s="33">
        <v>60</v>
      </c>
      <c r="G23" s="33"/>
      <c r="H23" s="33">
        <f t="shared" si="7"/>
        <v>0</v>
      </c>
      <c r="I23" s="33">
        <f t="shared" si="8"/>
        <v>0</v>
      </c>
      <c r="J23" s="33">
        <f t="shared" si="9"/>
        <v>0</v>
      </c>
      <c r="K23" s="33">
        <f t="shared" si="10"/>
        <v>0</v>
      </c>
      <c r="L23" s="34"/>
      <c r="M23" s="37"/>
      <c r="N23" s="37"/>
      <c r="O23" s="37"/>
      <c r="P23" s="22"/>
      <c r="Q23" s="22"/>
      <c r="R23" s="22"/>
      <c r="S23" s="22"/>
      <c r="T23" s="38"/>
      <c r="U23" s="38"/>
      <c r="V23" s="38"/>
      <c r="W23" s="38"/>
      <c r="X23" s="38"/>
      <c r="Y23" s="38"/>
      <c r="Z23" s="28"/>
      <c r="AA23" s="28"/>
      <c r="AB23" s="28"/>
      <c r="AC23" s="28"/>
      <c r="AD23" s="28">
        <f t="shared" si="0"/>
        <v>0</v>
      </c>
      <c r="AE23" s="28">
        <f t="shared" si="1"/>
        <v>0</v>
      </c>
      <c r="AF23" s="28">
        <f t="shared" si="2"/>
        <v>0</v>
      </c>
      <c r="AG23" s="28">
        <f t="shared" si="3"/>
        <v>0</v>
      </c>
      <c r="AH23" s="28">
        <f t="shared" si="4"/>
        <v>0</v>
      </c>
      <c r="AI23" s="28">
        <f t="shared" si="5"/>
        <v>0</v>
      </c>
      <c r="AJ23" s="28">
        <f t="shared" si="6"/>
        <v>0</v>
      </c>
    </row>
    <row r="24" spans="1:36" ht="16" x14ac:dyDescent="0.35">
      <c r="A24" s="35">
        <v>542463700114</v>
      </c>
      <c r="B24" s="32" t="s">
        <v>93</v>
      </c>
      <c r="C24" s="32" t="s">
        <v>94</v>
      </c>
      <c r="D24" s="33">
        <v>50</v>
      </c>
      <c r="E24" s="36">
        <v>0</v>
      </c>
      <c r="F24" s="33">
        <v>42</v>
      </c>
      <c r="G24" s="33"/>
      <c r="H24" s="33">
        <f t="shared" si="7"/>
        <v>8</v>
      </c>
      <c r="I24" s="33">
        <f t="shared" si="8"/>
        <v>8</v>
      </c>
      <c r="J24" s="33">
        <f t="shared" si="9"/>
        <v>0</v>
      </c>
      <c r="K24" s="33">
        <f t="shared" si="10"/>
        <v>0</v>
      </c>
      <c r="L24" s="34"/>
      <c r="M24" s="37"/>
      <c r="N24" s="37"/>
      <c r="O24" s="37"/>
      <c r="P24" s="22"/>
      <c r="Q24" s="22"/>
      <c r="R24" s="22"/>
      <c r="S24" s="22"/>
      <c r="T24" s="38"/>
      <c r="U24" s="38"/>
      <c r="V24" s="38"/>
      <c r="W24" s="38"/>
      <c r="X24" s="38"/>
      <c r="Y24" s="38"/>
      <c r="Z24" s="28"/>
      <c r="AA24" s="28"/>
      <c r="AB24" s="28"/>
      <c r="AC24" s="28"/>
      <c r="AD24" s="28">
        <f t="shared" si="0"/>
        <v>0</v>
      </c>
      <c r="AE24" s="28">
        <f t="shared" si="1"/>
        <v>0</v>
      </c>
      <c r="AF24" s="28">
        <f t="shared" si="2"/>
        <v>0</v>
      </c>
      <c r="AG24" s="28">
        <f t="shared" si="3"/>
        <v>0</v>
      </c>
      <c r="AH24" s="28">
        <f t="shared" si="4"/>
        <v>0</v>
      </c>
      <c r="AI24" s="28">
        <f t="shared" si="5"/>
        <v>0</v>
      </c>
      <c r="AJ24" s="28">
        <f t="shared" si="6"/>
        <v>0</v>
      </c>
    </row>
    <row r="25" spans="1:36" ht="16" x14ac:dyDescent="0.35">
      <c r="A25" s="35">
        <v>542472700140</v>
      </c>
      <c r="B25" s="32" t="s">
        <v>95</v>
      </c>
      <c r="C25" s="32" t="s">
        <v>96</v>
      </c>
      <c r="D25" s="33">
        <v>50</v>
      </c>
      <c r="E25" s="36">
        <v>0</v>
      </c>
      <c r="F25" s="33">
        <v>60</v>
      </c>
      <c r="G25" s="33"/>
      <c r="H25" s="33">
        <f t="shared" si="7"/>
        <v>0</v>
      </c>
      <c r="I25" s="33">
        <f t="shared" si="8"/>
        <v>0</v>
      </c>
      <c r="J25" s="33">
        <f t="shared" si="9"/>
        <v>0</v>
      </c>
      <c r="K25" s="33">
        <f t="shared" si="10"/>
        <v>0</v>
      </c>
      <c r="L25" s="34"/>
      <c r="M25" s="37"/>
      <c r="N25" s="37"/>
      <c r="O25" s="37"/>
      <c r="P25" s="22"/>
      <c r="Q25" s="22"/>
      <c r="R25" s="22"/>
      <c r="S25" s="22"/>
      <c r="T25" s="38"/>
      <c r="U25" s="38"/>
      <c r="V25" s="38"/>
      <c r="W25" s="38"/>
      <c r="X25" s="38"/>
      <c r="Y25" s="38"/>
      <c r="Z25" s="28"/>
      <c r="AA25" s="28"/>
      <c r="AB25" s="28"/>
      <c r="AC25" s="28"/>
      <c r="AD25" s="28">
        <f t="shared" si="0"/>
        <v>0</v>
      </c>
      <c r="AE25" s="28">
        <f t="shared" si="1"/>
        <v>0</v>
      </c>
      <c r="AF25" s="28">
        <f t="shared" si="2"/>
        <v>0</v>
      </c>
      <c r="AG25" s="28">
        <f t="shared" si="3"/>
        <v>0</v>
      </c>
      <c r="AH25" s="28">
        <f t="shared" si="4"/>
        <v>0</v>
      </c>
      <c r="AI25" s="28">
        <f t="shared" si="5"/>
        <v>0</v>
      </c>
      <c r="AJ25" s="28">
        <f t="shared" si="6"/>
        <v>0</v>
      </c>
    </row>
    <row r="26" spans="1:36" ht="16" x14ac:dyDescent="0.35">
      <c r="A26" s="35">
        <v>542472700139</v>
      </c>
      <c r="B26" s="32" t="s">
        <v>97</v>
      </c>
      <c r="C26" s="32" t="s">
        <v>98</v>
      </c>
      <c r="D26" s="33">
        <v>50</v>
      </c>
      <c r="E26" s="36">
        <v>0</v>
      </c>
      <c r="F26" s="33">
        <v>40</v>
      </c>
      <c r="G26" s="33"/>
      <c r="H26" s="33">
        <f t="shared" si="7"/>
        <v>10</v>
      </c>
      <c r="I26" s="33">
        <f t="shared" si="8"/>
        <v>10</v>
      </c>
      <c r="J26" s="33">
        <f t="shared" si="9"/>
        <v>0</v>
      </c>
      <c r="K26" s="33">
        <f t="shared" si="10"/>
        <v>0</v>
      </c>
      <c r="L26" s="34"/>
      <c r="M26" s="37"/>
      <c r="N26" s="37"/>
      <c r="O26" s="37"/>
      <c r="P26" s="22"/>
      <c r="Q26" s="22"/>
      <c r="R26" s="22"/>
      <c r="S26" s="22"/>
      <c r="T26" s="38"/>
      <c r="U26" s="38"/>
      <c r="V26" s="38"/>
      <c r="W26" s="38"/>
      <c r="X26" s="38"/>
      <c r="Y26" s="38"/>
      <c r="Z26" s="28"/>
      <c r="AA26" s="28"/>
      <c r="AB26" s="28"/>
      <c r="AC26" s="28"/>
      <c r="AD26" s="28">
        <f t="shared" si="0"/>
        <v>0</v>
      </c>
      <c r="AE26" s="28">
        <f t="shared" si="1"/>
        <v>0</v>
      </c>
      <c r="AF26" s="28">
        <f t="shared" si="2"/>
        <v>0</v>
      </c>
      <c r="AG26" s="28">
        <f t="shared" si="3"/>
        <v>0</v>
      </c>
      <c r="AH26" s="28">
        <f t="shared" si="4"/>
        <v>0</v>
      </c>
      <c r="AI26" s="28">
        <f t="shared" si="5"/>
        <v>0</v>
      </c>
      <c r="AJ26" s="28">
        <f t="shared" si="6"/>
        <v>0</v>
      </c>
    </row>
    <row r="27" spans="1:36" ht="16" x14ac:dyDescent="0.35">
      <c r="A27" s="35">
        <v>542473700124</v>
      </c>
      <c r="B27" s="32" t="s">
        <v>99</v>
      </c>
      <c r="C27" s="32" t="s">
        <v>100</v>
      </c>
      <c r="D27" s="33">
        <v>50</v>
      </c>
      <c r="E27" s="36">
        <v>0</v>
      </c>
      <c r="F27" s="33">
        <v>35</v>
      </c>
      <c r="G27" s="33"/>
      <c r="H27" s="33">
        <f t="shared" si="7"/>
        <v>15</v>
      </c>
      <c r="I27" s="33">
        <f t="shared" si="8"/>
        <v>15</v>
      </c>
      <c r="J27" s="33">
        <f t="shared" si="9"/>
        <v>0</v>
      </c>
      <c r="K27" s="33">
        <f t="shared" si="10"/>
        <v>0</v>
      </c>
      <c r="L27" s="34"/>
      <c r="M27" s="37"/>
      <c r="N27" s="37"/>
      <c r="O27" s="37"/>
      <c r="P27" s="22"/>
      <c r="Q27" s="22"/>
      <c r="R27" s="22"/>
      <c r="S27" s="22"/>
      <c r="T27" s="38"/>
      <c r="U27" s="38"/>
      <c r="V27" s="38"/>
      <c r="W27" s="38"/>
      <c r="X27" s="38"/>
      <c r="Y27" s="38"/>
      <c r="Z27" s="28"/>
      <c r="AA27" s="28"/>
      <c r="AB27" s="28"/>
      <c r="AC27" s="28"/>
      <c r="AD27" s="28">
        <f t="shared" si="0"/>
        <v>0</v>
      </c>
      <c r="AE27" s="28">
        <f t="shared" si="1"/>
        <v>0</v>
      </c>
      <c r="AF27" s="28">
        <f t="shared" si="2"/>
        <v>0</v>
      </c>
      <c r="AG27" s="28">
        <f t="shared" si="3"/>
        <v>0</v>
      </c>
      <c r="AH27" s="28">
        <f t="shared" si="4"/>
        <v>0</v>
      </c>
      <c r="AI27" s="28">
        <f t="shared" si="5"/>
        <v>0</v>
      </c>
      <c r="AJ27" s="28">
        <f t="shared" si="6"/>
        <v>0</v>
      </c>
    </row>
    <row r="28" spans="1:36" ht="16" x14ac:dyDescent="0.35">
      <c r="A28" s="35">
        <v>542473700123</v>
      </c>
      <c r="B28" s="32" t="s">
        <v>101</v>
      </c>
      <c r="C28" s="32" t="s">
        <v>102</v>
      </c>
      <c r="D28" s="33">
        <v>50</v>
      </c>
      <c r="E28" s="36">
        <v>0</v>
      </c>
      <c r="F28" s="33">
        <v>36</v>
      </c>
      <c r="G28" s="33"/>
      <c r="H28" s="33">
        <f t="shared" si="7"/>
        <v>14</v>
      </c>
      <c r="I28" s="33">
        <f t="shared" si="8"/>
        <v>14</v>
      </c>
      <c r="J28" s="33">
        <f t="shared" si="9"/>
        <v>0</v>
      </c>
      <c r="K28" s="33">
        <f t="shared" si="10"/>
        <v>0</v>
      </c>
      <c r="L28" s="34"/>
      <c r="M28" s="37"/>
      <c r="N28" s="37"/>
      <c r="O28" s="37"/>
      <c r="P28" s="22"/>
      <c r="Q28" s="22"/>
      <c r="R28" s="22"/>
      <c r="S28" s="22"/>
      <c r="T28" s="38"/>
      <c r="U28" s="38"/>
      <c r="V28" s="38"/>
      <c r="W28" s="38"/>
      <c r="X28" s="38"/>
      <c r="Y28" s="38"/>
      <c r="Z28" s="28"/>
      <c r="AA28" s="28"/>
      <c r="AB28" s="28"/>
      <c r="AC28" s="28"/>
      <c r="AD28" s="28">
        <f t="shared" si="0"/>
        <v>0</v>
      </c>
      <c r="AE28" s="28">
        <f t="shared" si="1"/>
        <v>0</v>
      </c>
      <c r="AF28" s="28">
        <f t="shared" si="2"/>
        <v>0</v>
      </c>
      <c r="AG28" s="28">
        <f t="shared" si="3"/>
        <v>0</v>
      </c>
      <c r="AH28" s="28">
        <f t="shared" si="4"/>
        <v>0</v>
      </c>
      <c r="AI28" s="28">
        <f t="shared" si="5"/>
        <v>0</v>
      </c>
      <c r="AJ28" s="28">
        <f t="shared" si="6"/>
        <v>0</v>
      </c>
    </row>
    <row r="29" spans="1:36" ht="16" x14ac:dyDescent="0.35">
      <c r="A29" s="39">
        <v>542488100121</v>
      </c>
      <c r="B29" s="40" t="s">
        <v>103</v>
      </c>
      <c r="C29" s="40" t="s">
        <v>104</v>
      </c>
      <c r="D29" s="33">
        <v>50</v>
      </c>
      <c r="E29" s="36">
        <v>0</v>
      </c>
      <c r="F29" s="8">
        <v>250</v>
      </c>
      <c r="G29" s="33"/>
      <c r="H29" s="33">
        <f t="shared" si="7"/>
        <v>0</v>
      </c>
      <c r="I29" s="33">
        <f t="shared" si="8"/>
        <v>0</v>
      </c>
      <c r="J29" s="33">
        <f t="shared" si="9"/>
        <v>0</v>
      </c>
      <c r="K29" s="33">
        <f t="shared" si="10"/>
        <v>0</v>
      </c>
      <c r="L29" s="34"/>
      <c r="M29" s="37"/>
      <c r="N29" s="37"/>
      <c r="O29" s="37"/>
      <c r="P29" s="22"/>
      <c r="Q29" s="22"/>
      <c r="R29" s="22"/>
      <c r="S29" s="22"/>
      <c r="T29" s="38"/>
      <c r="U29" s="38"/>
      <c r="V29" s="38"/>
      <c r="W29" s="38"/>
      <c r="X29" s="38"/>
      <c r="Y29" s="38"/>
      <c r="Z29" s="28"/>
      <c r="AA29" s="28"/>
      <c r="AB29" s="28"/>
      <c r="AC29" s="28"/>
      <c r="AD29" s="28">
        <f t="shared" si="0"/>
        <v>0</v>
      </c>
      <c r="AE29" s="28">
        <f t="shared" si="1"/>
        <v>0</v>
      </c>
      <c r="AF29" s="28">
        <f t="shared" si="2"/>
        <v>0</v>
      </c>
      <c r="AG29" s="28">
        <f t="shared" si="3"/>
        <v>0</v>
      </c>
      <c r="AH29" s="28">
        <f t="shared" si="4"/>
        <v>0</v>
      </c>
      <c r="AI29" s="28">
        <f t="shared" si="5"/>
        <v>0</v>
      </c>
      <c r="AJ29" s="28">
        <f t="shared" si="6"/>
        <v>0</v>
      </c>
    </row>
    <row r="30" spans="1:36" ht="16" x14ac:dyDescent="0.35">
      <c r="A30" s="39">
        <v>542488100120</v>
      </c>
      <c r="B30" s="40" t="s">
        <v>105</v>
      </c>
      <c r="C30" s="40" t="s">
        <v>106</v>
      </c>
      <c r="D30" s="33">
        <v>50</v>
      </c>
      <c r="E30" s="36">
        <v>0</v>
      </c>
      <c r="F30" s="8">
        <v>50</v>
      </c>
      <c r="G30" s="33"/>
      <c r="H30" s="33">
        <f t="shared" si="7"/>
        <v>0</v>
      </c>
      <c r="I30" s="33">
        <f t="shared" si="8"/>
        <v>0</v>
      </c>
      <c r="J30" s="33">
        <f t="shared" si="9"/>
        <v>0</v>
      </c>
      <c r="K30" s="33">
        <f t="shared" si="10"/>
        <v>0</v>
      </c>
      <c r="L30" s="34"/>
      <c r="M30" s="37"/>
      <c r="N30" s="37"/>
      <c r="O30" s="37"/>
      <c r="P30" s="22"/>
      <c r="Q30" s="22"/>
      <c r="R30" s="22"/>
      <c r="S30" s="22"/>
      <c r="T30" s="38"/>
      <c r="U30" s="38"/>
      <c r="V30" s="38"/>
      <c r="W30" s="38"/>
      <c r="X30" s="38"/>
      <c r="Y30" s="38"/>
      <c r="Z30" s="28"/>
      <c r="AA30" s="28"/>
      <c r="AB30" s="28"/>
      <c r="AC30" s="28"/>
      <c r="AD30" s="28">
        <f t="shared" si="0"/>
        <v>0</v>
      </c>
      <c r="AE30" s="28">
        <f t="shared" si="1"/>
        <v>0</v>
      </c>
      <c r="AF30" s="28">
        <f t="shared" si="2"/>
        <v>0</v>
      </c>
      <c r="AG30" s="28">
        <f t="shared" si="3"/>
        <v>0</v>
      </c>
      <c r="AH30" s="28">
        <f t="shared" si="4"/>
        <v>0</v>
      </c>
      <c r="AI30" s="28">
        <f t="shared" si="5"/>
        <v>0</v>
      </c>
      <c r="AJ30" s="28">
        <f t="shared" si="6"/>
        <v>0</v>
      </c>
    </row>
    <row r="31" spans="1:36" ht="16" x14ac:dyDescent="0.35">
      <c r="A31" s="39">
        <v>542488100123</v>
      </c>
      <c r="B31" s="40" t="s">
        <v>107</v>
      </c>
      <c r="C31" s="40" t="s">
        <v>108</v>
      </c>
      <c r="D31" s="33">
        <v>50</v>
      </c>
      <c r="E31" s="36">
        <v>0</v>
      </c>
      <c r="F31" s="8">
        <v>70</v>
      </c>
      <c r="G31" s="33"/>
      <c r="H31" s="33">
        <f t="shared" si="7"/>
        <v>0</v>
      </c>
      <c r="I31" s="33">
        <f t="shared" si="8"/>
        <v>0</v>
      </c>
      <c r="J31" s="33">
        <f t="shared" si="9"/>
        <v>0</v>
      </c>
      <c r="K31" s="33">
        <f t="shared" si="10"/>
        <v>0</v>
      </c>
      <c r="L31" s="34"/>
      <c r="M31" s="37"/>
      <c r="N31" s="37"/>
      <c r="O31" s="37"/>
      <c r="P31" s="22"/>
      <c r="Q31" s="22"/>
      <c r="R31" s="22"/>
      <c r="S31" s="22"/>
      <c r="T31" s="38"/>
      <c r="U31" s="38"/>
      <c r="V31" s="38"/>
      <c r="W31" s="38"/>
      <c r="X31" s="38"/>
      <c r="Y31" s="38"/>
      <c r="Z31" s="28"/>
      <c r="AA31" s="28"/>
      <c r="AB31" s="28"/>
      <c r="AC31" s="28"/>
      <c r="AD31" s="28">
        <f t="shared" si="0"/>
        <v>0</v>
      </c>
      <c r="AE31" s="28">
        <f t="shared" si="1"/>
        <v>0</v>
      </c>
      <c r="AF31" s="28">
        <f t="shared" si="2"/>
        <v>0</v>
      </c>
      <c r="AG31" s="28">
        <f t="shared" si="3"/>
        <v>0</v>
      </c>
      <c r="AH31" s="28">
        <f t="shared" si="4"/>
        <v>0</v>
      </c>
      <c r="AI31" s="28">
        <f t="shared" si="5"/>
        <v>0</v>
      </c>
      <c r="AJ31" s="28">
        <f t="shared" si="6"/>
        <v>0</v>
      </c>
    </row>
    <row r="32" spans="1:36" ht="16" x14ac:dyDescent="0.35">
      <c r="A32" s="39">
        <v>542488100122</v>
      </c>
      <c r="B32" s="40" t="s">
        <v>109</v>
      </c>
      <c r="C32" s="40" t="s">
        <v>110</v>
      </c>
      <c r="D32" s="33">
        <v>50</v>
      </c>
      <c r="E32" s="36">
        <v>0</v>
      </c>
      <c r="F32" s="8">
        <v>30</v>
      </c>
      <c r="G32" s="33"/>
      <c r="H32" s="33">
        <f t="shared" si="7"/>
        <v>20</v>
      </c>
      <c r="I32" s="33">
        <f t="shared" si="8"/>
        <v>20</v>
      </c>
      <c r="J32" s="33">
        <f t="shared" si="9"/>
        <v>0</v>
      </c>
      <c r="K32" s="33">
        <f t="shared" si="10"/>
        <v>0</v>
      </c>
      <c r="L32" s="34"/>
      <c r="M32" s="37"/>
      <c r="N32" s="37"/>
      <c r="O32" s="37"/>
      <c r="P32" s="22"/>
      <c r="Q32" s="22"/>
      <c r="R32" s="22"/>
      <c r="S32" s="22"/>
      <c r="T32" s="38"/>
      <c r="U32" s="38"/>
      <c r="V32" s="38"/>
      <c r="W32" s="38"/>
      <c r="X32" s="38"/>
      <c r="Y32" s="38"/>
      <c r="Z32" s="28"/>
      <c r="AA32" s="28"/>
      <c r="AB32" s="28"/>
      <c r="AC32" s="28"/>
      <c r="AD32" s="28">
        <f t="shared" si="0"/>
        <v>0</v>
      </c>
      <c r="AE32" s="28">
        <f t="shared" si="1"/>
        <v>0</v>
      </c>
      <c r="AF32" s="28">
        <f t="shared" si="2"/>
        <v>0</v>
      </c>
      <c r="AG32" s="28">
        <f t="shared" si="3"/>
        <v>0</v>
      </c>
      <c r="AH32" s="28">
        <f t="shared" si="4"/>
        <v>0</v>
      </c>
      <c r="AI32" s="28">
        <f t="shared" si="5"/>
        <v>0</v>
      </c>
      <c r="AJ32" s="28">
        <f t="shared" si="6"/>
        <v>0</v>
      </c>
    </row>
    <row r="33" spans="1:36" ht="16" x14ac:dyDescent="0.35">
      <c r="A33" s="35">
        <v>542490600102</v>
      </c>
      <c r="B33" s="32" t="s">
        <v>111</v>
      </c>
      <c r="C33" s="32" t="s">
        <v>112</v>
      </c>
      <c r="D33" s="33">
        <v>50</v>
      </c>
      <c r="E33" s="36">
        <v>0</v>
      </c>
      <c r="F33" s="33">
        <v>40</v>
      </c>
      <c r="G33" s="33"/>
      <c r="H33" s="33">
        <f t="shared" si="7"/>
        <v>10</v>
      </c>
      <c r="I33" s="33">
        <f t="shared" si="8"/>
        <v>10</v>
      </c>
      <c r="J33" s="33">
        <f t="shared" si="9"/>
        <v>0</v>
      </c>
      <c r="K33" s="33">
        <f t="shared" si="10"/>
        <v>0</v>
      </c>
      <c r="L33" s="34"/>
      <c r="M33" s="37"/>
      <c r="N33" s="37"/>
      <c r="O33" s="37"/>
      <c r="P33" s="22"/>
      <c r="Q33" s="22"/>
      <c r="R33" s="22"/>
      <c r="S33" s="22"/>
      <c r="T33" s="38"/>
      <c r="U33" s="38"/>
      <c r="V33" s="38"/>
      <c r="W33" s="38"/>
      <c r="X33" s="38"/>
      <c r="Y33" s="38"/>
      <c r="Z33" s="28"/>
      <c r="AA33" s="28"/>
      <c r="AB33" s="28"/>
      <c r="AC33" s="28"/>
      <c r="AD33" s="28">
        <f t="shared" si="0"/>
        <v>0</v>
      </c>
      <c r="AE33" s="28">
        <f t="shared" si="1"/>
        <v>0</v>
      </c>
      <c r="AF33" s="28">
        <f t="shared" si="2"/>
        <v>0</v>
      </c>
      <c r="AG33" s="28">
        <f t="shared" si="3"/>
        <v>0</v>
      </c>
      <c r="AH33" s="28">
        <f t="shared" si="4"/>
        <v>0</v>
      </c>
      <c r="AI33" s="28">
        <f t="shared" si="5"/>
        <v>0</v>
      </c>
      <c r="AJ33" s="28">
        <f t="shared" si="6"/>
        <v>0</v>
      </c>
    </row>
    <row r="34" spans="1:36" ht="16" x14ac:dyDescent="0.35">
      <c r="A34" s="35">
        <v>542490600101</v>
      </c>
      <c r="B34" s="32" t="s">
        <v>113</v>
      </c>
      <c r="C34" s="32" t="s">
        <v>114</v>
      </c>
      <c r="D34" s="33">
        <v>50</v>
      </c>
      <c r="E34" s="36">
        <v>0</v>
      </c>
      <c r="F34" s="33">
        <v>40</v>
      </c>
      <c r="G34" s="33"/>
      <c r="H34" s="33">
        <f t="shared" si="7"/>
        <v>10</v>
      </c>
      <c r="I34" s="33">
        <f t="shared" si="8"/>
        <v>10</v>
      </c>
      <c r="J34" s="33">
        <f t="shared" si="9"/>
        <v>0</v>
      </c>
      <c r="K34" s="33">
        <f t="shared" si="10"/>
        <v>0</v>
      </c>
      <c r="L34" s="34"/>
      <c r="M34" s="37"/>
      <c r="N34" s="37"/>
      <c r="O34" s="37"/>
      <c r="P34" s="22"/>
      <c r="Q34" s="22"/>
      <c r="R34" s="22"/>
      <c r="S34" s="22"/>
      <c r="T34" s="38"/>
      <c r="U34" s="38"/>
      <c r="V34" s="38"/>
      <c r="W34" s="38"/>
      <c r="X34" s="38"/>
      <c r="Y34" s="38"/>
      <c r="Z34" s="28"/>
      <c r="AA34" s="28"/>
      <c r="AB34" s="28"/>
      <c r="AC34" s="28"/>
      <c r="AD34" s="28">
        <f t="shared" si="0"/>
        <v>0</v>
      </c>
      <c r="AE34" s="28">
        <f t="shared" si="1"/>
        <v>0</v>
      </c>
      <c r="AF34" s="28">
        <f t="shared" si="2"/>
        <v>0</v>
      </c>
      <c r="AG34" s="28">
        <f t="shared" si="3"/>
        <v>0</v>
      </c>
      <c r="AH34" s="28">
        <f t="shared" si="4"/>
        <v>0</v>
      </c>
      <c r="AI34" s="28">
        <f t="shared" si="5"/>
        <v>0</v>
      </c>
      <c r="AJ34" s="28">
        <f t="shared" si="6"/>
        <v>0</v>
      </c>
    </row>
    <row r="35" spans="1:36" ht="16" x14ac:dyDescent="0.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  <c r="M35" s="10">
        <v>0.25</v>
      </c>
      <c r="N35" s="10">
        <v>0.375</v>
      </c>
      <c r="O35" s="10">
        <v>0.45833333333333331</v>
      </c>
      <c r="P35" s="10">
        <v>0.54166666666666663</v>
      </c>
      <c r="Q35" s="10">
        <v>0.625</v>
      </c>
      <c r="R35" s="17"/>
      <c r="S35" s="8"/>
      <c r="T35" s="11"/>
      <c r="U35" s="11"/>
      <c r="V35" s="11"/>
      <c r="W35" s="11"/>
      <c r="X35" s="11"/>
      <c r="Y35" s="11"/>
      <c r="Z35" s="11"/>
      <c r="AA35" s="11"/>
      <c r="AB35" s="31"/>
      <c r="AC35" s="41"/>
      <c r="AD35" s="31" t="s">
        <v>88</v>
      </c>
      <c r="AE35" s="31">
        <v>0.27083333333333331</v>
      </c>
      <c r="AF35" s="31"/>
      <c r="AG35" s="31"/>
      <c r="AH35" s="31"/>
      <c r="AI35" s="31"/>
      <c r="AJ35" s="31"/>
    </row>
    <row r="36" spans="1:36" ht="21" x14ac:dyDescent="0.35">
      <c r="A36" s="32" t="s">
        <v>62</v>
      </c>
      <c r="B36" s="32" t="s">
        <v>63</v>
      </c>
      <c r="C36" s="32" t="s">
        <v>64</v>
      </c>
      <c r="D36" s="33">
        <v>80</v>
      </c>
      <c r="E36" s="48">
        <v>147</v>
      </c>
      <c r="F36" s="15">
        <v>62</v>
      </c>
      <c r="G36" s="33"/>
      <c r="H36" s="33">
        <f t="shared" si="7"/>
        <v>165</v>
      </c>
      <c r="I36" s="33">
        <f t="shared" si="8"/>
        <v>0</v>
      </c>
      <c r="J36" s="33">
        <f t="shared" si="9"/>
        <v>192</v>
      </c>
      <c r="K36" s="33">
        <f t="shared" si="10"/>
        <v>0</v>
      </c>
      <c r="L36" s="34"/>
      <c r="M36" s="18">
        <v>48</v>
      </c>
      <c r="N36" s="18">
        <v>32</v>
      </c>
      <c r="O36" s="18">
        <v>32</v>
      </c>
      <c r="P36" s="18">
        <v>48</v>
      </c>
      <c r="Q36" s="18">
        <v>32</v>
      </c>
      <c r="R36" s="19"/>
      <c r="S36" s="8"/>
      <c r="T36" s="9"/>
      <c r="U36" s="9"/>
      <c r="V36" s="20"/>
      <c r="W36" s="20"/>
      <c r="X36" s="20"/>
      <c r="Y36" s="20"/>
      <c r="Z36" s="20"/>
      <c r="AA36" s="20"/>
      <c r="AB36" s="42"/>
      <c r="AC36" s="28"/>
      <c r="AD36" s="28">
        <f>SUM(T36:AC36)</f>
        <v>0</v>
      </c>
      <c r="AE36" s="28">
        <f>T36-M36</f>
        <v>-48</v>
      </c>
      <c r="AF36" s="28">
        <f>SUM(T36:U36)-SUM(M36:N36)</f>
        <v>-80</v>
      </c>
      <c r="AG36" s="28">
        <f>SUM(T36:V36)-SUM(M36:O36)</f>
        <v>-112</v>
      </c>
      <c r="AH36" s="28">
        <f>SUM(T36:Z36)-SUM(M36:P36)</f>
        <v>-160</v>
      </c>
      <c r="AI36" s="28">
        <f>SUM(T36:AA36)-SUM(M36:Q36)</f>
        <v>-192</v>
      </c>
      <c r="AJ36" s="28">
        <f>SUM(T36:AB36)-SUM(M36:R36)</f>
        <v>-192</v>
      </c>
    </row>
    <row r="37" spans="1:36" ht="21" x14ac:dyDescent="0.35">
      <c r="A37" s="32" t="s">
        <v>65</v>
      </c>
      <c r="B37" s="32" t="s">
        <v>66</v>
      </c>
      <c r="C37" s="32" t="s">
        <v>67</v>
      </c>
      <c r="D37" s="33">
        <v>32</v>
      </c>
      <c r="E37" s="48">
        <v>110</v>
      </c>
      <c r="F37" s="15">
        <v>46</v>
      </c>
      <c r="G37" s="33"/>
      <c r="H37" s="33">
        <f t="shared" si="7"/>
        <v>96</v>
      </c>
      <c r="I37" s="33">
        <f t="shared" si="8"/>
        <v>16</v>
      </c>
      <c r="J37" s="33">
        <f t="shared" si="9"/>
        <v>80</v>
      </c>
      <c r="K37" s="33">
        <f t="shared" si="10"/>
        <v>0</v>
      </c>
      <c r="L37" s="34"/>
      <c r="M37" s="8">
        <v>48</v>
      </c>
      <c r="N37" s="8">
        <v>16</v>
      </c>
      <c r="O37" s="8"/>
      <c r="P37" s="8"/>
      <c r="Q37" s="18">
        <v>16</v>
      </c>
      <c r="R37" s="22"/>
      <c r="S37" s="8"/>
      <c r="T37" s="9"/>
      <c r="U37" s="9"/>
      <c r="V37" s="9"/>
      <c r="W37" s="9"/>
      <c r="X37" s="9"/>
      <c r="Y37" s="9"/>
      <c r="Z37" s="9"/>
      <c r="AA37" s="9"/>
      <c r="AB37" s="27"/>
      <c r="AC37" s="28"/>
      <c r="AD37" s="28">
        <f>SUM(T37:AC37)</f>
        <v>0</v>
      </c>
      <c r="AE37" s="28">
        <f>T37-M37</f>
        <v>-48</v>
      </c>
      <c r="AF37" s="28">
        <f>SUM(T37:U37)-SUM(M37:N37)</f>
        <v>-64</v>
      </c>
      <c r="AG37" s="28">
        <f>SUM(T37:V37)-SUM(M37:O37)</f>
        <v>-64</v>
      </c>
      <c r="AH37" s="28">
        <f>SUM(T37:Z37)-SUM(M37:P37)</f>
        <v>-64</v>
      </c>
      <c r="AI37" s="28">
        <f>SUM(T37:AA37)-SUM(M37:Q37)</f>
        <v>-80</v>
      </c>
      <c r="AJ37" s="28">
        <f>SUM(T37:AB37)-SUM(M37:R37)</f>
        <v>-80</v>
      </c>
    </row>
    <row r="38" spans="1:36" ht="21" x14ac:dyDescent="0.35">
      <c r="A38" s="32" t="s">
        <v>68</v>
      </c>
      <c r="B38" s="32" t="s">
        <v>69</v>
      </c>
      <c r="C38" s="32" t="s">
        <v>70</v>
      </c>
      <c r="D38" s="33">
        <v>64</v>
      </c>
      <c r="E38" s="48">
        <v>47</v>
      </c>
      <c r="F38" s="15">
        <v>32</v>
      </c>
      <c r="G38" s="33"/>
      <c r="H38" s="33">
        <f t="shared" si="7"/>
        <v>79</v>
      </c>
      <c r="I38" s="33">
        <f t="shared" si="8"/>
        <v>0</v>
      </c>
      <c r="J38" s="33">
        <f t="shared" si="9"/>
        <v>128</v>
      </c>
      <c r="K38" s="33">
        <f t="shared" si="10"/>
        <v>0</v>
      </c>
      <c r="L38" s="34"/>
      <c r="M38" s="8"/>
      <c r="N38" s="8">
        <v>16</v>
      </c>
      <c r="O38" s="8">
        <v>32</v>
      </c>
      <c r="P38" s="8">
        <v>48</v>
      </c>
      <c r="Q38" s="18">
        <v>32</v>
      </c>
      <c r="R38" s="22"/>
      <c r="S38" s="8"/>
      <c r="T38" s="9"/>
      <c r="U38" s="9"/>
      <c r="V38" s="9"/>
      <c r="W38" s="9"/>
      <c r="X38" s="9"/>
      <c r="Y38" s="9"/>
      <c r="Z38" s="9"/>
      <c r="AA38" s="9"/>
      <c r="AB38" s="27"/>
      <c r="AC38" s="28"/>
      <c r="AD38" s="28">
        <f>SUM(T38:AC38)</f>
        <v>0</v>
      </c>
      <c r="AE38" s="28">
        <f>T38-M38</f>
        <v>0</v>
      </c>
      <c r="AF38" s="28">
        <f>SUM(T38:U38)-SUM(M38:N38)</f>
        <v>-16</v>
      </c>
      <c r="AG38" s="28">
        <f>SUM(T38:V38)-SUM(M38:O38)</f>
        <v>-48</v>
      </c>
      <c r="AH38" s="28">
        <f>SUM(T38:Z38)-SUM(M38:P38)</f>
        <v>-96</v>
      </c>
      <c r="AI38" s="28">
        <f>SUM(T38:AA38)-SUM(M38:Q38)</f>
        <v>-128</v>
      </c>
      <c r="AJ38" s="28">
        <f>SUM(T38:AB38)-SUM(M38:R38)</f>
        <v>-128</v>
      </c>
    </row>
    <row r="39" spans="1:36" ht="21" x14ac:dyDescent="0.35">
      <c r="A39" s="32" t="s">
        <v>71</v>
      </c>
      <c r="B39" s="32" t="s">
        <v>72</v>
      </c>
      <c r="C39" s="32" t="s">
        <v>73</v>
      </c>
      <c r="D39" s="33">
        <v>32</v>
      </c>
      <c r="E39" s="48">
        <v>37</v>
      </c>
      <c r="F39" s="15">
        <v>28</v>
      </c>
      <c r="G39" s="33"/>
      <c r="H39" s="33">
        <f t="shared" si="7"/>
        <v>41</v>
      </c>
      <c r="I39" s="33">
        <f t="shared" si="8"/>
        <v>9</v>
      </c>
      <c r="J39" s="33">
        <f t="shared" si="9"/>
        <v>32</v>
      </c>
      <c r="K39" s="33">
        <f t="shared" si="10"/>
        <v>0</v>
      </c>
      <c r="L39" s="34"/>
      <c r="M39" s="8"/>
      <c r="N39" s="8">
        <v>16</v>
      </c>
      <c r="O39" s="8"/>
      <c r="P39" s="22"/>
      <c r="Q39" s="18">
        <v>16</v>
      </c>
      <c r="R39" s="23"/>
      <c r="S39" s="8"/>
      <c r="T39" s="9"/>
      <c r="U39" s="9"/>
      <c r="V39" s="9"/>
      <c r="W39" s="9"/>
      <c r="X39" s="9"/>
      <c r="Y39" s="9"/>
      <c r="Z39" s="9"/>
      <c r="AA39" s="9"/>
      <c r="AB39" s="27"/>
      <c r="AC39" s="28"/>
      <c r="AD39" s="28">
        <f>SUM(T39:AC39)</f>
        <v>0</v>
      </c>
      <c r="AE39" s="28">
        <f>T39-M39</f>
        <v>0</v>
      </c>
      <c r="AF39" s="28">
        <f>SUM(T39:U39)-SUM(M39:N39)</f>
        <v>-16</v>
      </c>
      <c r="AG39" s="28">
        <f>SUM(T39:V39)-SUM(M39:O39)</f>
        <v>-16</v>
      </c>
      <c r="AH39" s="28">
        <f>SUM(T39:Z39)-SUM(M39:P39)</f>
        <v>-16</v>
      </c>
      <c r="AI39" s="28">
        <f>SUM(T39:AA39)-SUM(M39:Q39)</f>
        <v>-32</v>
      </c>
      <c r="AJ39" s="28">
        <f>SUM(T39:AB39)-SUM(M39:R39)</f>
        <v>-32</v>
      </c>
    </row>
    <row r="40" spans="1:36" ht="21" x14ac:dyDescent="0.4">
      <c r="A40" s="32" t="s">
        <v>74</v>
      </c>
      <c r="B40" s="32" t="s">
        <v>75</v>
      </c>
      <c r="C40" s="32" t="s">
        <v>76</v>
      </c>
      <c r="D40" s="33">
        <v>32</v>
      </c>
      <c r="E40" s="48">
        <v>23</v>
      </c>
      <c r="F40" s="15">
        <v>39</v>
      </c>
      <c r="G40" s="33"/>
      <c r="H40" s="33">
        <f t="shared" si="7"/>
        <v>16</v>
      </c>
      <c r="I40" s="33">
        <f t="shared" si="8"/>
        <v>0</v>
      </c>
      <c r="J40" s="33">
        <f t="shared" si="9"/>
        <v>32</v>
      </c>
      <c r="K40" s="33">
        <f t="shared" si="10"/>
        <v>0</v>
      </c>
      <c r="L40" s="34" t="s">
        <v>115</v>
      </c>
      <c r="M40" s="8"/>
      <c r="N40" s="8"/>
      <c r="O40" s="8">
        <v>32</v>
      </c>
      <c r="P40" s="22"/>
      <c r="Q40" s="18"/>
      <c r="R40" s="23"/>
      <c r="S40" s="22"/>
      <c r="T40" s="9"/>
      <c r="U40" s="9"/>
      <c r="V40" s="9"/>
      <c r="W40" s="9"/>
      <c r="X40" s="9"/>
      <c r="Y40" s="9"/>
      <c r="Z40" s="6"/>
      <c r="AA40" s="27"/>
      <c r="AB40" s="27"/>
      <c r="AC40" s="28"/>
      <c r="AD40" s="28">
        <f>SUM(T40:AC40)</f>
        <v>0</v>
      </c>
      <c r="AE40" s="28">
        <f>T40-M40</f>
        <v>0</v>
      </c>
      <c r="AF40" s="28">
        <f>SUM(T40:U40)-SUM(M40:N40)</f>
        <v>0</v>
      </c>
      <c r="AG40" s="28">
        <f>SUM(T40:V40)-SUM(M40:O40)</f>
        <v>-32</v>
      </c>
      <c r="AH40" s="28">
        <f>SUM(T40:Z40)-SUM(M40:P40)</f>
        <v>-32</v>
      </c>
      <c r="AI40" s="28">
        <f>SUM(T40:AA40)-SUM(M40:Q40)</f>
        <v>-32</v>
      </c>
      <c r="AJ40" s="28">
        <f>SUM(T40:AB40)-SUM(M40:R40)</f>
        <v>-32</v>
      </c>
    </row>
    <row r="45" spans="1:36" x14ac:dyDescent="0.35">
      <c r="A45">
        <v>27</v>
      </c>
    </row>
    <row r="46" spans="1:36" x14ac:dyDescent="0.35">
      <c r="A46">
        <v>32</v>
      </c>
    </row>
    <row r="47" spans="1:36" x14ac:dyDescent="0.35">
      <c r="A47">
        <v>16</v>
      </c>
    </row>
    <row r="48" spans="1:36" x14ac:dyDescent="0.35">
      <c r="A48">
        <v>12</v>
      </c>
    </row>
    <row r="49" spans="1:1" x14ac:dyDescent="0.35">
      <c r="A49">
        <v>21</v>
      </c>
    </row>
  </sheetData>
  <protectedRanges>
    <protectedRange sqref="R40" name="Range1_1_2_1_2_1_1_1_1_1_1_1_1"/>
    <protectedRange sqref="R39" name="Range1_1_2_1_2_1_1_1_1_2_1_1_1"/>
    <protectedRange sqref="R36:R38" name="Range1_1_2_1_2_1_1_1_1_2_1_2_4_1_2"/>
    <protectedRange sqref="F22:F34" name="Range1_2_1"/>
    <protectedRange sqref="Q39" name="Range1_1_2_1_2_1_1_1_1_2_1_1_1_1_1"/>
    <protectedRange sqref="Q40" name="Range1_1_2_1_2_1_1_1_1_1_1_1_1_1_1_1"/>
    <protectedRange sqref="Q36:Q38" name="Range1_1_2_1_2_1_1_1_1_2_1_2_4_1_2_1"/>
    <protectedRange sqref="P40" name="Range1_1_2_1_2_1_2_1_1_1"/>
    <protectedRange sqref="P39" name="Range1_1_2_1_2_1_1_1_1_2_1_2_4_1_1_1"/>
    <protectedRange sqref="F13" name="Range1_5_1_1"/>
    <protectedRange sqref="F12" name="Range1_2_3_1_1"/>
    <protectedRange sqref="F7:F11" name="Range1_3_2"/>
  </protectedRanges>
  <mergeCells count="15">
    <mergeCell ref="AE1:AJ1"/>
    <mergeCell ref="B2:C2"/>
    <mergeCell ref="A3:A6"/>
    <mergeCell ref="B3:B6"/>
    <mergeCell ref="C3:C6"/>
    <mergeCell ref="D3:D6"/>
    <mergeCell ref="E3:E6"/>
    <mergeCell ref="F3:F6"/>
    <mergeCell ref="J3:J6"/>
    <mergeCell ref="K3:K6"/>
    <mergeCell ref="G3:G6"/>
    <mergeCell ref="H3:H6"/>
    <mergeCell ref="I3:I6"/>
    <mergeCell ref="M1:S1"/>
    <mergeCell ref="T1:AD1"/>
  </mergeCells>
  <conditionalFormatting sqref="I7:K40">
    <cfRule type="cellIs" dxfId="41" priority="5" operator="greaterThan">
      <formula>0</formula>
    </cfRule>
  </conditionalFormatting>
  <conditionalFormatting sqref="P39:P40">
    <cfRule type="cellIs" dxfId="40" priority="1" operator="lessThan">
      <formula>0</formula>
    </cfRule>
  </conditionalFormatting>
  <conditionalFormatting sqref="R40">
    <cfRule type="cellIs" dxfId="39" priority="4" operator="lessThan">
      <formula>0</formula>
    </cfRule>
  </conditionalFormatting>
  <conditionalFormatting sqref="R36:S39">
    <cfRule type="cellIs" dxfId="38" priority="3" operator="lessThan">
      <formula>0</formula>
    </cfRule>
  </conditionalFormatting>
  <conditionalFormatting sqref="Z39">
    <cfRule type="cellIs" dxfId="37" priority="2" operator="lessThan">
      <formula>0</formula>
    </cfRule>
  </conditionalFormatting>
  <conditionalFormatting sqref="AA36:AA39">
    <cfRule type="cellIs" dxfId="36" priority="6" operator="lessThan">
      <formula>0</formula>
    </cfRule>
  </conditionalFormatting>
  <conditionalFormatting sqref="AE3:AJ3">
    <cfRule type="cellIs" dxfId="35" priority="7" operator="lessThan">
      <formula>0</formula>
    </cfRule>
  </conditionalFormatting>
  <conditionalFormatting sqref="AE7:AJ34 AE36:AJ40">
    <cfRule type="cellIs" dxfId="34" priority="8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98" orientation="landscape" horizontalDpi="200" verticalDpi="200" r:id="rId1"/>
  <headerFooter>
    <oddFooter>&amp;L_x000D_&amp;1#&amp;"Calibri Light"&amp;8&amp;K000000 Classified as Public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A10B-6F79-4953-845F-9F87C576B89D}">
  <sheetPr>
    <pageSetUpPr fitToPage="1"/>
  </sheetPr>
  <dimension ref="A1:W30"/>
  <sheetViews>
    <sheetView showZeros="0" zoomScale="70" zoomScaleNormal="70" workbookViewId="0">
      <pane xSplit="5" ySplit="6" topLeftCell="F7" activePane="bottomRight" state="frozen"/>
      <selection activeCell="M7" sqref="M7"/>
      <selection pane="topRight" activeCell="M7" sqref="M7"/>
      <selection pane="bottomLeft" activeCell="M7" sqref="M7"/>
      <selection pane="bottomRight" activeCell="F17" sqref="F17"/>
    </sheetView>
  </sheetViews>
  <sheetFormatPr defaultRowHeight="16" x14ac:dyDescent="0.4"/>
  <cols>
    <col min="1" max="1" width="18.26953125" style="1" bestFit="1" customWidth="1"/>
    <col min="2" max="2" width="18.54296875" style="1" bestFit="1" customWidth="1"/>
    <col min="3" max="3" width="17" style="1" customWidth="1"/>
    <col min="4" max="4" width="12.54296875" style="1" bestFit="1" customWidth="1"/>
    <col min="5" max="7" width="12" style="1" customWidth="1"/>
    <col min="8" max="8" width="9.08984375" style="1" customWidth="1"/>
    <col min="9" max="9" width="6.453125" style="1" bestFit="1" customWidth="1"/>
    <col min="10" max="15" width="6.36328125" style="1" customWidth="1"/>
    <col min="16" max="16" width="6.453125" style="1" bestFit="1" customWidth="1"/>
    <col min="17" max="23" width="6.36328125" style="1" customWidth="1"/>
    <col min="24" max="16384" width="8.7265625" style="1"/>
  </cols>
  <sheetData>
    <row r="1" spans="1:23" ht="18.5" x14ac:dyDescent="0.45">
      <c r="C1" s="2">
        <f>'18092025'!F1</f>
        <v>45918</v>
      </c>
      <c r="D1" s="60"/>
      <c r="H1" s="62" t="s">
        <v>0</v>
      </c>
      <c r="I1" s="62"/>
      <c r="J1" s="62"/>
      <c r="K1" s="62"/>
      <c r="L1" s="62"/>
      <c r="M1" s="62"/>
      <c r="N1" s="3"/>
      <c r="O1" s="63" t="s">
        <v>1</v>
      </c>
      <c r="P1" s="64"/>
      <c r="Q1" s="64"/>
      <c r="R1" s="64"/>
      <c r="S1" s="64"/>
      <c r="T1" s="64"/>
      <c r="U1" s="64"/>
      <c r="V1" s="64"/>
      <c r="W1" s="64"/>
    </row>
    <row r="2" spans="1:23" x14ac:dyDescent="0.4">
      <c r="B2" s="65"/>
      <c r="C2" s="66"/>
      <c r="D2" s="61"/>
      <c r="E2" s="4"/>
      <c r="F2" s="4"/>
      <c r="G2" s="4"/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O2" s="6" t="s">
        <v>2</v>
      </c>
      <c r="P2" s="6" t="s">
        <v>3</v>
      </c>
      <c r="Q2" s="6" t="s">
        <v>4</v>
      </c>
      <c r="R2" s="6" t="s">
        <v>5</v>
      </c>
      <c r="S2" s="6" t="s">
        <v>6</v>
      </c>
      <c r="T2" s="6" t="s">
        <v>7</v>
      </c>
      <c r="U2" s="6" t="s">
        <v>8</v>
      </c>
      <c r="V2" s="6" t="s">
        <v>9</v>
      </c>
      <c r="W2" s="6"/>
    </row>
    <row r="3" spans="1:23" x14ac:dyDescent="0.4">
      <c r="A3" s="59" t="s">
        <v>10</v>
      </c>
      <c r="B3" s="67" t="s">
        <v>11</v>
      </c>
      <c r="C3" s="67" t="s">
        <v>12</v>
      </c>
      <c r="D3" s="59" t="s">
        <v>13</v>
      </c>
      <c r="E3" s="7" t="s">
        <v>14</v>
      </c>
      <c r="F3" s="68" t="s">
        <v>122</v>
      </c>
      <c r="G3" s="68" t="s">
        <v>123</v>
      </c>
      <c r="H3" s="8">
        <f>'8-Sep'!M4</f>
        <v>0</v>
      </c>
      <c r="I3" s="8">
        <f>'8-Sep'!N4</f>
        <v>0</v>
      </c>
      <c r="J3" s="8">
        <f>'8-Sep'!O4</f>
        <v>0</v>
      </c>
      <c r="K3" s="8">
        <f>'8-Sep'!P4</f>
        <v>0</v>
      </c>
      <c r="L3" s="8">
        <f>'8-Sep'!Q4</f>
        <v>0</v>
      </c>
      <c r="M3" s="8">
        <f>'8-Sep'!R4</f>
        <v>0</v>
      </c>
      <c r="N3" s="8">
        <f>'8-Sep'!S4</f>
        <v>0</v>
      </c>
      <c r="O3" s="9">
        <f>'8-Sep'!T4</f>
        <v>0</v>
      </c>
      <c r="P3" s="9">
        <f>'8-Sep'!U4</f>
        <v>0</v>
      </c>
      <c r="Q3" s="9">
        <f>'8-Sep'!V4</f>
        <v>0</v>
      </c>
      <c r="R3" s="9">
        <f>'8-Sep'!W4</f>
        <v>0</v>
      </c>
      <c r="S3" s="9">
        <f>'8-Sep'!X4</f>
        <v>0</v>
      </c>
      <c r="T3" s="9">
        <f>'8-Sep'!Y4</f>
        <v>0</v>
      </c>
      <c r="U3" s="9">
        <f>'8-Sep'!Z4</f>
        <v>0</v>
      </c>
      <c r="V3" s="9"/>
      <c r="W3" s="9"/>
    </row>
    <row r="4" spans="1:23" x14ac:dyDescent="0.4">
      <c r="A4" s="59"/>
      <c r="B4" s="67"/>
      <c r="C4" s="67"/>
      <c r="D4" s="59"/>
      <c r="E4" s="7" t="s">
        <v>15</v>
      </c>
      <c r="F4" s="69"/>
      <c r="G4" s="69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</row>
    <row r="5" spans="1:23" x14ac:dyDescent="0.4">
      <c r="A5" s="59"/>
      <c r="B5" s="67"/>
      <c r="C5" s="67"/>
      <c r="D5" s="59"/>
      <c r="E5" s="7" t="s">
        <v>16</v>
      </c>
      <c r="F5" s="69"/>
      <c r="G5" s="69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</row>
    <row r="6" spans="1:23" ht="16" customHeight="1" x14ac:dyDescent="0.4">
      <c r="A6" s="59"/>
      <c r="B6" s="67"/>
      <c r="C6" s="67"/>
      <c r="D6" s="59"/>
      <c r="E6" s="7" t="s">
        <v>17</v>
      </c>
      <c r="F6" s="70"/>
      <c r="G6" s="70"/>
      <c r="H6" s="10">
        <v>0.27083333333333331</v>
      </c>
      <c r="I6" s="10">
        <v>0.45833333333333331</v>
      </c>
      <c r="J6" s="10">
        <v>0.54166666666666663</v>
      </c>
      <c r="K6" s="10">
        <v>0.66666666666666663</v>
      </c>
      <c r="L6" s="10">
        <v>0.79166666666666663</v>
      </c>
      <c r="M6" s="10"/>
      <c r="N6" s="10"/>
      <c r="O6" s="11">
        <f>'8-Sep'!T6</f>
        <v>0</v>
      </c>
      <c r="P6" s="11">
        <f>'8-Sep'!U6</f>
        <v>0</v>
      </c>
      <c r="Q6" s="11">
        <f>'8-Sep'!V6</f>
        <v>0</v>
      </c>
      <c r="R6" s="11">
        <f>'8-Sep'!W6</f>
        <v>0</v>
      </c>
      <c r="S6" s="11">
        <f>'8-Sep'!X6</f>
        <v>0</v>
      </c>
      <c r="T6" s="11">
        <f>'8-Sep'!Y6</f>
        <v>0</v>
      </c>
      <c r="U6" s="11">
        <f>'8-Sep'!Z6</f>
        <v>0</v>
      </c>
      <c r="V6" s="11"/>
      <c r="W6" s="12"/>
    </row>
    <row r="7" spans="1:23" ht="17.5" customHeight="1" x14ac:dyDescent="0.4">
      <c r="A7" s="13" t="s">
        <v>18</v>
      </c>
      <c r="B7" s="13" t="s">
        <v>19</v>
      </c>
      <c r="C7" s="13" t="s">
        <v>20</v>
      </c>
      <c r="D7" s="48">
        <v>11</v>
      </c>
      <c r="E7" s="15">
        <v>100</v>
      </c>
      <c r="F7" s="15">
        <f t="shared" ref="F7:F21" si="0">SUM(H7:N7)</f>
        <v>96</v>
      </c>
      <c r="G7" s="15">
        <f t="shared" ref="G7:G21" si="1">SUM(O7:U7)</f>
        <v>0</v>
      </c>
      <c r="H7" s="8"/>
      <c r="I7" s="8">
        <v>96</v>
      </c>
      <c r="J7" s="8"/>
      <c r="K7" s="8"/>
      <c r="L7" s="8"/>
      <c r="M7" s="8"/>
      <c r="N7" s="8">
        <f>'8-Sep'!S7</f>
        <v>0</v>
      </c>
      <c r="O7" s="9">
        <f>VLOOKUP($A7,'8-Sep'!$A$3:$Z$45,20,0)</f>
        <v>0</v>
      </c>
      <c r="P7" s="9">
        <f>VLOOKUP($A7,'8-Sep'!$A$3:$Z$45,21,0)</f>
        <v>0</v>
      </c>
      <c r="Q7" s="9">
        <f>VLOOKUP($A7,'8-Sep'!$A$3:$Z$45,22,0)</f>
        <v>0</v>
      </c>
      <c r="R7" s="9">
        <f>VLOOKUP($A7,'8-Sep'!$A$3:$Z$45,23,0)</f>
        <v>0</v>
      </c>
      <c r="S7" s="9">
        <f>VLOOKUP($A7,'8-Sep'!$A$3:$Z$45,24,0)</f>
        <v>0</v>
      </c>
      <c r="T7" s="9">
        <f>VLOOKUP($A7,'8-Sep'!$A$3:$Z$45,25,0)</f>
        <v>0</v>
      </c>
      <c r="U7" s="9">
        <f>VLOOKUP($A7,'8-Sep'!$A$3:$Z$45,26,0)</f>
        <v>0</v>
      </c>
      <c r="V7" s="9"/>
      <c r="W7" s="9"/>
    </row>
    <row r="8" spans="1:23" ht="17.5" customHeight="1" x14ac:dyDescent="0.4">
      <c r="A8" s="13" t="s">
        <v>21</v>
      </c>
      <c r="B8" s="13" t="s">
        <v>22</v>
      </c>
      <c r="C8" s="13" t="s">
        <v>23</v>
      </c>
      <c r="D8" s="48">
        <v>352</v>
      </c>
      <c r="E8" s="15">
        <v>284</v>
      </c>
      <c r="F8" s="15">
        <f t="shared" si="0"/>
        <v>384</v>
      </c>
      <c r="G8" s="15">
        <f t="shared" si="1"/>
        <v>0</v>
      </c>
      <c r="H8" s="8"/>
      <c r="I8" s="8">
        <v>96</v>
      </c>
      <c r="J8" s="8">
        <v>96</v>
      </c>
      <c r="K8" s="8">
        <v>96</v>
      </c>
      <c r="L8" s="8">
        <v>96</v>
      </c>
      <c r="M8" s="8"/>
      <c r="N8" s="8">
        <f>'8-Sep'!S8</f>
        <v>0</v>
      </c>
      <c r="O8" s="9">
        <f>VLOOKUP($A8,'8-Sep'!$A$3:$Z$45,20,0)</f>
        <v>0</v>
      </c>
      <c r="P8" s="9">
        <f>VLOOKUP($A8,'8-Sep'!$A$3:$Z$45,21,0)</f>
        <v>0</v>
      </c>
      <c r="Q8" s="9">
        <f>VLOOKUP($A8,'8-Sep'!$A$3:$Z$45,22,0)</f>
        <v>0</v>
      </c>
      <c r="R8" s="9">
        <f>VLOOKUP($A8,'8-Sep'!$A$3:$Z$45,23,0)</f>
        <v>0</v>
      </c>
      <c r="S8" s="9">
        <f>VLOOKUP($A8,'8-Sep'!$A$3:$Z$45,24,0)</f>
        <v>0</v>
      </c>
      <c r="T8" s="9">
        <f>VLOOKUP($A8,'8-Sep'!$A$3:$Z$45,25,0)</f>
        <v>0</v>
      </c>
      <c r="U8" s="9">
        <f>VLOOKUP($A8,'8-Sep'!$A$3:$Z$45,26,0)</f>
        <v>0</v>
      </c>
      <c r="V8" s="9"/>
      <c r="W8" s="9"/>
    </row>
    <row r="9" spans="1:23" ht="17.5" customHeight="1" x14ac:dyDescent="0.4">
      <c r="A9" s="13" t="s">
        <v>24</v>
      </c>
      <c r="B9" s="13" t="s">
        <v>25</v>
      </c>
      <c r="C9" s="13" t="s">
        <v>26</v>
      </c>
      <c r="D9" s="48">
        <v>37</v>
      </c>
      <c r="E9" s="15">
        <v>147</v>
      </c>
      <c r="F9" s="15">
        <f t="shared" si="0"/>
        <v>0</v>
      </c>
      <c r="G9" s="15">
        <f t="shared" si="1"/>
        <v>0</v>
      </c>
      <c r="H9" s="8"/>
      <c r="I9" s="8"/>
      <c r="J9" s="8"/>
      <c r="K9" s="8"/>
      <c r="L9" s="8"/>
      <c r="M9" s="8"/>
      <c r="N9" s="8">
        <f>'8-Sep'!S9</f>
        <v>0</v>
      </c>
      <c r="O9" s="9">
        <f>VLOOKUP($A9,'8-Sep'!$A$3:$Z$45,20,0)</f>
        <v>0</v>
      </c>
      <c r="P9" s="9">
        <f>VLOOKUP($A9,'8-Sep'!$A$3:$Z$45,21,0)</f>
        <v>0</v>
      </c>
      <c r="Q9" s="9">
        <f>VLOOKUP($A9,'8-Sep'!$A$3:$Z$45,22,0)</f>
        <v>0</v>
      </c>
      <c r="R9" s="9">
        <f>VLOOKUP($A9,'8-Sep'!$A$3:$Z$45,23,0)</f>
        <v>0</v>
      </c>
      <c r="S9" s="9">
        <f>VLOOKUP($A9,'8-Sep'!$A$3:$Z$45,24,0)</f>
        <v>0</v>
      </c>
      <c r="T9" s="9">
        <f>VLOOKUP($A9,'8-Sep'!$A$3:$Z$45,25,0)</f>
        <v>0</v>
      </c>
      <c r="U9" s="9">
        <f>VLOOKUP($A9,'8-Sep'!$A$3:$Z$45,26,0)</f>
        <v>0</v>
      </c>
      <c r="V9" s="9"/>
      <c r="W9" s="9"/>
    </row>
    <row r="10" spans="1:23" ht="17.5" customHeight="1" x14ac:dyDescent="0.4">
      <c r="A10" s="16" t="s">
        <v>27</v>
      </c>
      <c r="B10" s="13" t="s">
        <v>28</v>
      </c>
      <c r="C10" s="13" t="s">
        <v>29</v>
      </c>
      <c r="D10" s="48">
        <v>26</v>
      </c>
      <c r="E10" s="15">
        <v>140</v>
      </c>
      <c r="F10" s="15">
        <f t="shared" si="0"/>
        <v>0</v>
      </c>
      <c r="G10" s="15">
        <f t="shared" si="1"/>
        <v>0</v>
      </c>
      <c r="H10" s="8"/>
      <c r="I10" s="8"/>
      <c r="J10" s="8"/>
      <c r="K10" s="8"/>
      <c r="L10" s="8"/>
      <c r="M10" s="8"/>
      <c r="N10" s="8">
        <f>'8-Sep'!S10</f>
        <v>0</v>
      </c>
      <c r="O10" s="9">
        <f>VLOOKUP($A10,'8-Sep'!$A$3:$Z$45,20,0)</f>
        <v>0</v>
      </c>
      <c r="P10" s="9">
        <f>VLOOKUP($A10,'8-Sep'!$A$3:$Z$45,21,0)</f>
        <v>0</v>
      </c>
      <c r="Q10" s="9">
        <f>VLOOKUP($A10,'8-Sep'!$A$3:$Z$45,22,0)</f>
        <v>0</v>
      </c>
      <c r="R10" s="9">
        <f>VLOOKUP($A10,'8-Sep'!$A$3:$Z$45,23,0)</f>
        <v>0</v>
      </c>
      <c r="S10" s="9">
        <f>VLOOKUP($A10,'8-Sep'!$A$3:$Z$45,24,0)</f>
        <v>0</v>
      </c>
      <c r="T10" s="9">
        <f>VLOOKUP($A10,'8-Sep'!$A$3:$Z$45,25,0)</f>
        <v>0</v>
      </c>
      <c r="U10" s="9">
        <f>VLOOKUP($A10,'8-Sep'!$A$3:$Z$45,26,0)</f>
        <v>0</v>
      </c>
      <c r="V10" s="9"/>
      <c r="W10" s="9"/>
    </row>
    <row r="11" spans="1:23" ht="17.5" customHeight="1" x14ac:dyDescent="0.4">
      <c r="A11" s="13" t="s">
        <v>30</v>
      </c>
      <c r="B11" s="13" t="s">
        <v>31</v>
      </c>
      <c r="C11" s="13" t="s">
        <v>32</v>
      </c>
      <c r="D11" s="48">
        <v>217</v>
      </c>
      <c r="E11" s="15">
        <v>559</v>
      </c>
      <c r="F11" s="15">
        <f t="shared" si="0"/>
        <v>0</v>
      </c>
      <c r="G11" s="15">
        <f t="shared" si="1"/>
        <v>0</v>
      </c>
      <c r="H11" s="8"/>
      <c r="I11" s="8"/>
      <c r="J11" s="8"/>
      <c r="K11" s="8"/>
      <c r="L11" s="8"/>
      <c r="M11" s="8"/>
      <c r="N11" s="8">
        <f>'8-Sep'!S11</f>
        <v>0</v>
      </c>
      <c r="O11" s="9">
        <f>VLOOKUP($A11,'8-Sep'!$A$3:$Z$45,20,0)</f>
        <v>0</v>
      </c>
      <c r="P11" s="9">
        <f>VLOOKUP($A11,'8-Sep'!$A$3:$Z$45,21,0)</f>
        <v>0</v>
      </c>
      <c r="Q11" s="9">
        <f>VLOOKUP($A11,'8-Sep'!$A$3:$Z$45,22,0)</f>
        <v>0</v>
      </c>
      <c r="R11" s="9">
        <f>VLOOKUP($A11,'8-Sep'!$A$3:$Z$45,23,0)</f>
        <v>0</v>
      </c>
      <c r="S11" s="9">
        <f>VLOOKUP($A11,'8-Sep'!$A$3:$Z$45,24,0)</f>
        <v>0</v>
      </c>
      <c r="T11" s="9">
        <f>VLOOKUP($A11,'8-Sep'!$A$3:$Z$45,25,0)</f>
        <v>0</v>
      </c>
      <c r="U11" s="9">
        <f>VLOOKUP($A11,'8-Sep'!$A$3:$Z$45,26,0)</f>
        <v>0</v>
      </c>
      <c r="V11" s="9"/>
      <c r="W11" s="9"/>
    </row>
    <row r="12" spans="1:23" ht="17.5" customHeight="1" x14ac:dyDescent="0.4">
      <c r="A12" s="13" t="s">
        <v>33</v>
      </c>
      <c r="B12" s="13" t="s">
        <v>34</v>
      </c>
      <c r="C12" s="13" t="s">
        <v>35</v>
      </c>
      <c r="D12" s="48">
        <v>0</v>
      </c>
      <c r="E12" s="15">
        <v>300</v>
      </c>
      <c r="F12" s="15">
        <f t="shared" si="0"/>
        <v>0</v>
      </c>
      <c r="G12" s="15">
        <f t="shared" si="1"/>
        <v>0</v>
      </c>
      <c r="H12" s="8"/>
      <c r="I12" s="8"/>
      <c r="J12" s="8"/>
      <c r="K12" s="8"/>
      <c r="L12" s="8"/>
      <c r="M12" s="8"/>
      <c r="N12" s="8">
        <f>'8-Sep'!S12</f>
        <v>0</v>
      </c>
      <c r="O12" s="9">
        <f>VLOOKUP($A12,'8-Sep'!$A$3:$Z$45,20,0)</f>
        <v>0</v>
      </c>
      <c r="P12" s="9">
        <f>VLOOKUP($A12,'8-Sep'!$A$3:$Z$45,21,0)</f>
        <v>0</v>
      </c>
      <c r="Q12" s="9">
        <f>VLOOKUP($A12,'8-Sep'!$A$3:$Z$45,22,0)</f>
        <v>0</v>
      </c>
      <c r="R12" s="9">
        <f>VLOOKUP($A12,'8-Sep'!$A$3:$Z$45,23,0)</f>
        <v>0</v>
      </c>
      <c r="S12" s="9">
        <f>VLOOKUP($A12,'8-Sep'!$A$3:$Z$45,24,0)</f>
        <v>0</v>
      </c>
      <c r="T12" s="9">
        <f>VLOOKUP($A12,'8-Sep'!$A$3:$Z$45,25,0)</f>
        <v>0</v>
      </c>
      <c r="U12" s="9">
        <f>VLOOKUP($A12,'8-Sep'!$A$3:$Z$45,26,0)</f>
        <v>0</v>
      </c>
      <c r="V12" s="9"/>
      <c r="W12" s="9"/>
    </row>
    <row r="13" spans="1:23" ht="17.5" customHeight="1" x14ac:dyDescent="0.4">
      <c r="A13" s="13" t="s">
        <v>36</v>
      </c>
      <c r="B13" s="13" t="s">
        <v>37</v>
      </c>
      <c r="C13" s="13">
        <v>630131090</v>
      </c>
      <c r="D13" s="48">
        <v>37</v>
      </c>
      <c r="E13" s="15">
        <v>140</v>
      </c>
      <c r="F13" s="15">
        <f t="shared" si="0"/>
        <v>140</v>
      </c>
      <c r="G13" s="15">
        <f t="shared" si="1"/>
        <v>0</v>
      </c>
      <c r="H13" s="8"/>
      <c r="I13" s="8"/>
      <c r="J13" s="8"/>
      <c r="K13" s="8"/>
      <c r="L13" s="8">
        <v>140</v>
      </c>
      <c r="M13" s="8"/>
      <c r="N13" s="8">
        <f>'8-Sep'!S13</f>
        <v>0</v>
      </c>
      <c r="O13" s="9">
        <f>VLOOKUP($A13,'8-Sep'!$A$3:$Z$45,20,0)</f>
        <v>0</v>
      </c>
      <c r="P13" s="9">
        <f>VLOOKUP($A13,'8-Sep'!$A$3:$Z$45,21,0)</f>
        <v>0</v>
      </c>
      <c r="Q13" s="9">
        <f>VLOOKUP($A13,'8-Sep'!$A$3:$Z$45,22,0)</f>
        <v>0</v>
      </c>
      <c r="R13" s="9">
        <f>VLOOKUP($A13,'8-Sep'!$A$3:$Z$45,23,0)</f>
        <v>0</v>
      </c>
      <c r="S13" s="9">
        <f>VLOOKUP($A13,'8-Sep'!$A$3:$Z$45,24,0)</f>
        <v>0</v>
      </c>
      <c r="T13" s="9">
        <f>VLOOKUP($A13,'8-Sep'!$A$3:$Z$45,25,0)</f>
        <v>0</v>
      </c>
      <c r="U13" s="9">
        <f>VLOOKUP($A13,'8-Sep'!$A$3:$Z$45,26,0)</f>
        <v>0</v>
      </c>
      <c r="V13" s="9"/>
      <c r="W13" s="9"/>
    </row>
    <row r="14" spans="1:23" ht="17.5" customHeight="1" x14ac:dyDescent="0.4">
      <c r="A14" s="13" t="s">
        <v>38</v>
      </c>
      <c r="B14" s="13" t="s">
        <v>39</v>
      </c>
      <c r="C14" s="13" t="s">
        <v>40</v>
      </c>
      <c r="D14" s="48">
        <v>38</v>
      </c>
      <c r="E14" s="15">
        <v>24</v>
      </c>
      <c r="F14" s="15">
        <f t="shared" si="0"/>
        <v>42</v>
      </c>
      <c r="G14" s="15">
        <f t="shared" si="1"/>
        <v>0</v>
      </c>
      <c r="H14" s="8">
        <v>14</v>
      </c>
      <c r="I14" s="8">
        <v>14</v>
      </c>
      <c r="J14" s="8"/>
      <c r="K14" s="8">
        <v>14</v>
      </c>
      <c r="L14" s="8"/>
      <c r="M14" s="8"/>
      <c r="N14" s="8">
        <f>'8-Sep'!S14</f>
        <v>0</v>
      </c>
      <c r="O14" s="9">
        <f>VLOOKUP($A14,'8-Sep'!$A$3:$Z$45,20,0)</f>
        <v>0</v>
      </c>
      <c r="P14" s="9">
        <f>VLOOKUP($A14,'8-Sep'!$A$3:$Z$45,21,0)</f>
        <v>0</v>
      </c>
      <c r="Q14" s="9">
        <f>VLOOKUP($A14,'8-Sep'!$A$3:$Z$45,22,0)</f>
        <v>0</v>
      </c>
      <c r="R14" s="9">
        <f>VLOOKUP($A14,'8-Sep'!$A$3:$Z$45,23,0)</f>
        <v>0</v>
      </c>
      <c r="S14" s="9">
        <f>VLOOKUP($A14,'8-Sep'!$A$3:$Z$45,24,0)</f>
        <v>0</v>
      </c>
      <c r="T14" s="9">
        <f>VLOOKUP($A14,'8-Sep'!$A$3:$Z$45,25,0)</f>
        <v>0</v>
      </c>
      <c r="U14" s="9">
        <f>VLOOKUP($A14,'8-Sep'!$A$3:$Z$45,26,0)</f>
        <v>0</v>
      </c>
      <c r="V14" s="9"/>
      <c r="W14" s="9"/>
    </row>
    <row r="15" spans="1:23" ht="17.5" customHeight="1" x14ac:dyDescent="0.4">
      <c r="A15" s="13" t="s">
        <v>41</v>
      </c>
      <c r="B15" s="13" t="s">
        <v>42</v>
      </c>
      <c r="C15" s="13" t="s">
        <v>43</v>
      </c>
      <c r="D15" s="48">
        <v>0</v>
      </c>
      <c r="E15" s="15">
        <v>22</v>
      </c>
      <c r="F15" s="15">
        <f t="shared" si="0"/>
        <v>0</v>
      </c>
      <c r="G15" s="15">
        <f t="shared" si="1"/>
        <v>0</v>
      </c>
      <c r="H15" s="8"/>
      <c r="I15" s="8"/>
      <c r="J15" s="8"/>
      <c r="K15" s="8"/>
      <c r="L15" s="8"/>
      <c r="M15" s="8"/>
      <c r="N15" s="8">
        <f>'8-Sep'!S15</f>
        <v>0</v>
      </c>
      <c r="O15" s="9">
        <f>VLOOKUP($A15,'8-Sep'!$A$3:$Z$45,20,0)</f>
        <v>0</v>
      </c>
      <c r="P15" s="9">
        <f>VLOOKUP($A15,'8-Sep'!$A$3:$Z$45,21,0)</f>
        <v>0</v>
      </c>
      <c r="Q15" s="9">
        <f>VLOOKUP($A15,'8-Sep'!$A$3:$Z$45,22,0)</f>
        <v>0</v>
      </c>
      <c r="R15" s="9">
        <f>VLOOKUP($A15,'8-Sep'!$A$3:$Z$45,23,0)</f>
        <v>0</v>
      </c>
      <c r="S15" s="9">
        <f>VLOOKUP($A15,'8-Sep'!$A$3:$Z$45,24,0)</f>
        <v>0</v>
      </c>
      <c r="T15" s="9">
        <f>VLOOKUP($A15,'8-Sep'!$A$3:$Z$45,25,0)</f>
        <v>0</v>
      </c>
      <c r="U15" s="9">
        <f>VLOOKUP($A15,'8-Sep'!$A$3:$Z$45,26,0)</f>
        <v>0</v>
      </c>
      <c r="V15" s="9"/>
      <c r="W15" s="9"/>
    </row>
    <row r="16" spans="1:23" ht="17.5" customHeight="1" x14ac:dyDescent="0.4">
      <c r="A16" s="13" t="s">
        <v>44</v>
      </c>
      <c r="B16" s="13" t="s">
        <v>45</v>
      </c>
      <c r="C16" s="13" t="s">
        <v>46</v>
      </c>
      <c r="D16" s="48">
        <v>218</v>
      </c>
      <c r="E16" s="15">
        <v>69</v>
      </c>
      <c r="F16" s="15">
        <f t="shared" si="0"/>
        <v>224</v>
      </c>
      <c r="G16" s="15">
        <f t="shared" si="1"/>
        <v>0</v>
      </c>
      <c r="H16" s="8">
        <v>28</v>
      </c>
      <c r="I16" s="8">
        <v>56</v>
      </c>
      <c r="J16" s="8">
        <v>56</v>
      </c>
      <c r="K16" s="8">
        <v>28</v>
      </c>
      <c r="L16" s="8">
        <v>56</v>
      </c>
      <c r="M16" s="8"/>
      <c r="N16" s="8">
        <f>'8-Sep'!S16</f>
        <v>0</v>
      </c>
      <c r="O16" s="9">
        <f>VLOOKUP($A16,'8-Sep'!$A$3:$Z$45,20,0)</f>
        <v>0</v>
      </c>
      <c r="P16" s="9">
        <f>VLOOKUP($A16,'8-Sep'!$A$3:$Z$45,21,0)</f>
        <v>0</v>
      </c>
      <c r="Q16" s="9">
        <f>VLOOKUP($A16,'8-Sep'!$A$3:$Z$45,22,0)</f>
        <v>0</v>
      </c>
      <c r="R16" s="9">
        <f>VLOOKUP($A16,'8-Sep'!$A$3:$Z$45,23,0)</f>
        <v>0</v>
      </c>
      <c r="S16" s="9">
        <f>VLOOKUP($A16,'8-Sep'!$A$3:$Z$45,24,0)</f>
        <v>0</v>
      </c>
      <c r="T16" s="9">
        <f>VLOOKUP($A16,'8-Sep'!$A$3:$Z$45,25,0)</f>
        <v>0</v>
      </c>
      <c r="U16" s="9">
        <f>VLOOKUP($A16,'8-Sep'!$A$3:$Z$45,26,0)</f>
        <v>0</v>
      </c>
      <c r="V16" s="9"/>
      <c r="W16" s="9"/>
    </row>
    <row r="17" spans="1:23" ht="17.5" customHeight="1" x14ac:dyDescent="0.4">
      <c r="A17" s="13" t="s">
        <v>47</v>
      </c>
      <c r="B17" s="13" t="s">
        <v>48</v>
      </c>
      <c r="C17" s="13" t="s">
        <v>49</v>
      </c>
      <c r="D17" s="48">
        <v>37</v>
      </c>
      <c r="E17" s="15">
        <v>20</v>
      </c>
      <c r="F17" s="15">
        <f t="shared" si="0"/>
        <v>56</v>
      </c>
      <c r="G17" s="15">
        <f t="shared" si="1"/>
        <v>0</v>
      </c>
      <c r="H17" s="8">
        <v>14</v>
      </c>
      <c r="I17" s="8">
        <v>14</v>
      </c>
      <c r="J17" s="8"/>
      <c r="K17" s="8">
        <v>14</v>
      </c>
      <c r="L17" s="8">
        <v>14</v>
      </c>
      <c r="M17" s="8"/>
      <c r="N17" s="8">
        <f>'8-Sep'!S17</f>
        <v>0</v>
      </c>
      <c r="O17" s="9">
        <f>VLOOKUP($A17,'8-Sep'!$A$3:$Z$45,20,0)</f>
        <v>0</v>
      </c>
      <c r="P17" s="9">
        <f>VLOOKUP($A17,'8-Sep'!$A$3:$Z$45,21,0)</f>
        <v>0</v>
      </c>
      <c r="Q17" s="9">
        <f>VLOOKUP($A17,'8-Sep'!$A$3:$Z$45,22,0)</f>
        <v>0</v>
      </c>
      <c r="R17" s="9">
        <f>VLOOKUP($A17,'8-Sep'!$A$3:$Z$45,23,0)</f>
        <v>0</v>
      </c>
      <c r="S17" s="9">
        <f>VLOOKUP($A17,'8-Sep'!$A$3:$Z$45,24,0)</f>
        <v>0</v>
      </c>
      <c r="T17" s="9">
        <f>VLOOKUP($A17,'8-Sep'!$A$3:$Z$45,25,0)</f>
        <v>0</v>
      </c>
      <c r="U17" s="9">
        <f>VLOOKUP($A17,'8-Sep'!$A$3:$Z$45,26,0)</f>
        <v>0</v>
      </c>
      <c r="V17" s="9"/>
      <c r="W17" s="9"/>
    </row>
    <row r="18" spans="1:23" ht="17.5" customHeight="1" x14ac:dyDescent="0.4">
      <c r="A18" s="13" t="s">
        <v>50</v>
      </c>
      <c r="B18" s="13" t="s">
        <v>51</v>
      </c>
      <c r="C18" s="13" t="s">
        <v>52</v>
      </c>
      <c r="D18" s="48">
        <v>0</v>
      </c>
      <c r="E18" s="15">
        <v>0</v>
      </c>
      <c r="F18" s="15">
        <f t="shared" si="0"/>
        <v>0</v>
      </c>
      <c r="G18" s="15">
        <f t="shared" si="1"/>
        <v>0</v>
      </c>
      <c r="H18" s="8"/>
      <c r="I18" s="8"/>
      <c r="J18" s="8"/>
      <c r="K18" s="8"/>
      <c r="L18" s="8"/>
      <c r="M18" s="8"/>
      <c r="N18" s="8">
        <f>'8-Sep'!S18</f>
        <v>0</v>
      </c>
      <c r="O18" s="9">
        <f>VLOOKUP($A18,'8-Sep'!$A$3:$Z$45,20,0)</f>
        <v>0</v>
      </c>
      <c r="P18" s="9">
        <f>VLOOKUP($A18,'8-Sep'!$A$3:$Z$45,21,0)</f>
        <v>0</v>
      </c>
      <c r="Q18" s="9">
        <f>VLOOKUP($A18,'8-Sep'!$A$3:$Z$45,22,0)</f>
        <v>0</v>
      </c>
      <c r="R18" s="9">
        <f>VLOOKUP($A18,'8-Sep'!$A$3:$Z$45,23,0)</f>
        <v>0</v>
      </c>
      <c r="S18" s="9">
        <f>VLOOKUP($A18,'8-Sep'!$A$3:$Z$45,24,0)</f>
        <v>0</v>
      </c>
      <c r="T18" s="9">
        <f>VLOOKUP($A18,'8-Sep'!$A$3:$Z$45,25,0)</f>
        <v>0</v>
      </c>
      <c r="U18" s="9">
        <f>VLOOKUP($A18,'8-Sep'!$A$3:$Z$45,26,0)</f>
        <v>0</v>
      </c>
      <c r="V18" s="9"/>
      <c r="W18" s="9"/>
    </row>
    <row r="19" spans="1:23" ht="17.5" customHeight="1" x14ac:dyDescent="0.4">
      <c r="A19" s="13" t="s">
        <v>53</v>
      </c>
      <c r="B19" s="13" t="s">
        <v>54</v>
      </c>
      <c r="C19" s="13" t="s">
        <v>55</v>
      </c>
      <c r="D19" s="48">
        <v>0</v>
      </c>
      <c r="E19" s="15">
        <v>26</v>
      </c>
      <c r="F19" s="15">
        <f t="shared" si="0"/>
        <v>0</v>
      </c>
      <c r="G19" s="15">
        <f t="shared" si="1"/>
        <v>0</v>
      </c>
      <c r="H19" s="8"/>
      <c r="I19" s="8"/>
      <c r="J19" s="8"/>
      <c r="K19" s="8"/>
      <c r="L19" s="8"/>
      <c r="M19" s="8"/>
      <c r="N19" s="8">
        <f>'8-Sep'!S19</f>
        <v>0</v>
      </c>
      <c r="O19" s="9">
        <f>VLOOKUP($A19,'8-Sep'!$A$3:$Z$45,20,0)</f>
        <v>0</v>
      </c>
      <c r="P19" s="9">
        <f>VLOOKUP($A19,'8-Sep'!$A$3:$Z$45,21,0)</f>
        <v>0</v>
      </c>
      <c r="Q19" s="9">
        <f>VLOOKUP($A19,'8-Sep'!$A$3:$Z$45,22,0)</f>
        <v>0</v>
      </c>
      <c r="R19" s="9">
        <f>VLOOKUP($A19,'8-Sep'!$A$3:$Z$45,23,0)</f>
        <v>0</v>
      </c>
      <c r="S19" s="9">
        <f>VLOOKUP($A19,'8-Sep'!$A$3:$Z$45,24,0)</f>
        <v>0</v>
      </c>
      <c r="T19" s="9">
        <f>VLOOKUP($A19,'8-Sep'!$A$3:$Z$45,25,0)</f>
        <v>0</v>
      </c>
      <c r="U19" s="9">
        <f>VLOOKUP($A19,'8-Sep'!$A$3:$Z$45,26,0)</f>
        <v>0</v>
      </c>
      <c r="V19" s="9"/>
      <c r="W19" s="9"/>
    </row>
    <row r="20" spans="1:23" ht="17.5" customHeight="1" x14ac:dyDescent="0.4">
      <c r="A20" s="13" t="s">
        <v>56</v>
      </c>
      <c r="B20" s="13" t="s">
        <v>57</v>
      </c>
      <c r="C20" s="13" t="s">
        <v>58</v>
      </c>
      <c r="D20" s="48">
        <v>43</v>
      </c>
      <c r="E20" s="15">
        <v>40</v>
      </c>
      <c r="F20" s="15">
        <f t="shared" si="0"/>
        <v>56</v>
      </c>
      <c r="G20" s="15">
        <f t="shared" si="1"/>
        <v>0</v>
      </c>
      <c r="H20" s="8">
        <v>14</v>
      </c>
      <c r="I20" s="8"/>
      <c r="J20" s="8">
        <v>14</v>
      </c>
      <c r="K20" s="8">
        <v>14</v>
      </c>
      <c r="L20" s="8">
        <v>14</v>
      </c>
      <c r="M20" s="8"/>
      <c r="N20" s="8">
        <f>'8-Sep'!S20</f>
        <v>0</v>
      </c>
      <c r="O20" s="9">
        <f>VLOOKUP($A20,'8-Sep'!$A$3:$Z$45,20,0)</f>
        <v>0</v>
      </c>
      <c r="P20" s="9">
        <f>VLOOKUP($A20,'8-Sep'!$A$3:$Z$45,21,0)</f>
        <v>0</v>
      </c>
      <c r="Q20" s="9">
        <f>VLOOKUP($A20,'8-Sep'!$A$3:$Z$45,22,0)</f>
        <v>0</v>
      </c>
      <c r="R20" s="9">
        <f>VLOOKUP($A20,'8-Sep'!$A$3:$Z$45,23,0)</f>
        <v>0</v>
      </c>
      <c r="S20" s="9">
        <f>VLOOKUP($A20,'8-Sep'!$A$3:$Z$45,24,0)</f>
        <v>0</v>
      </c>
      <c r="T20" s="9">
        <f>VLOOKUP($A20,'8-Sep'!$A$3:$Z$45,25,0)</f>
        <v>0</v>
      </c>
      <c r="U20" s="9">
        <f>VLOOKUP($A20,'8-Sep'!$A$3:$Z$45,26,0)</f>
        <v>0</v>
      </c>
      <c r="V20" s="9"/>
      <c r="W20" s="9"/>
    </row>
    <row r="21" spans="1:23" ht="17.5" customHeight="1" x14ac:dyDescent="0.4">
      <c r="A21" s="13" t="s">
        <v>59</v>
      </c>
      <c r="B21" s="13" t="s">
        <v>60</v>
      </c>
      <c r="C21" s="13" t="s">
        <v>61</v>
      </c>
      <c r="D21" s="48">
        <v>27</v>
      </c>
      <c r="E21" s="15">
        <v>28</v>
      </c>
      <c r="F21" s="15">
        <f t="shared" si="0"/>
        <v>28</v>
      </c>
      <c r="G21" s="15">
        <f t="shared" si="1"/>
        <v>0</v>
      </c>
      <c r="H21" s="8"/>
      <c r="I21" s="8"/>
      <c r="J21" s="8">
        <v>14</v>
      </c>
      <c r="K21" s="8">
        <v>14</v>
      </c>
      <c r="L21" s="8"/>
      <c r="M21" s="8"/>
      <c r="N21" s="8">
        <f>'8-Sep'!S21</f>
        <v>0</v>
      </c>
      <c r="O21" s="9">
        <f>VLOOKUP($A21,'8-Sep'!$A$3:$Z$45,20,0)</f>
        <v>0</v>
      </c>
      <c r="P21" s="9">
        <f>VLOOKUP($A21,'8-Sep'!$A$3:$Z$45,21,0)</f>
        <v>0</v>
      </c>
      <c r="Q21" s="9">
        <f>VLOOKUP($A21,'8-Sep'!$A$3:$Z$45,22,0)</f>
        <v>0</v>
      </c>
      <c r="R21" s="9">
        <f>VLOOKUP($A21,'8-Sep'!$A$3:$Z$45,23,0)</f>
        <v>0</v>
      </c>
      <c r="S21" s="9">
        <f>VLOOKUP($A21,'8-Sep'!$A$3:$Z$45,24,0)</f>
        <v>0</v>
      </c>
      <c r="T21" s="9">
        <f>VLOOKUP($A21,'8-Sep'!$A$3:$Z$45,25,0)</f>
        <v>0</v>
      </c>
      <c r="U21" s="9">
        <f>VLOOKUP($A21,'8-Sep'!$A$3:$Z$45,26,0)</f>
        <v>0</v>
      </c>
      <c r="V21" s="9"/>
      <c r="W21" s="9"/>
    </row>
    <row r="22" spans="1:23" ht="32" customHeight="1" x14ac:dyDescent="0.4">
      <c r="A22" s="74" t="s">
        <v>10</v>
      </c>
      <c r="B22" s="74" t="s">
        <v>11</v>
      </c>
      <c r="C22" s="74" t="s">
        <v>12</v>
      </c>
      <c r="D22" s="74" t="s">
        <v>13</v>
      </c>
      <c r="E22" s="74" t="s">
        <v>17</v>
      </c>
      <c r="F22" s="68" t="s">
        <v>122</v>
      </c>
      <c r="G22" s="68" t="s">
        <v>123</v>
      </c>
      <c r="H22" s="71" t="s">
        <v>0</v>
      </c>
      <c r="I22" s="72"/>
      <c r="J22" s="72"/>
      <c r="K22" s="72"/>
      <c r="L22" s="72"/>
      <c r="M22" s="73"/>
      <c r="N22" s="8"/>
      <c r="O22" s="63" t="s">
        <v>1</v>
      </c>
      <c r="P22" s="64"/>
      <c r="Q22" s="64"/>
      <c r="R22" s="64"/>
      <c r="S22" s="64"/>
      <c r="T22" s="64"/>
      <c r="U22" s="64"/>
      <c r="V22" s="64"/>
      <c r="W22" s="64"/>
    </row>
    <row r="23" spans="1:23" ht="17.5" customHeight="1" x14ac:dyDescent="0.4">
      <c r="A23" s="75"/>
      <c r="B23" s="75"/>
      <c r="C23" s="75"/>
      <c r="D23" s="75"/>
      <c r="E23" s="75"/>
      <c r="F23" s="69"/>
      <c r="G23" s="69"/>
      <c r="H23" s="5" t="s">
        <v>2</v>
      </c>
      <c r="I23" s="5" t="s">
        <v>3</v>
      </c>
      <c r="J23" s="5" t="s">
        <v>4</v>
      </c>
      <c r="K23" s="5" t="s">
        <v>5</v>
      </c>
      <c r="L23" s="5" t="s">
        <v>6</v>
      </c>
      <c r="M23" s="5" t="s">
        <v>7</v>
      </c>
      <c r="N23" s="5" t="s">
        <v>8</v>
      </c>
      <c r="O23" s="6" t="s">
        <v>2</v>
      </c>
      <c r="P23" s="6" t="s">
        <v>3</v>
      </c>
      <c r="Q23" s="6" t="s">
        <v>4</v>
      </c>
      <c r="R23" s="6" t="s">
        <v>5</v>
      </c>
      <c r="S23" s="6" t="s">
        <v>6</v>
      </c>
      <c r="T23" s="6" t="s">
        <v>7</v>
      </c>
      <c r="U23" s="6" t="s">
        <v>8</v>
      </c>
      <c r="V23" s="11"/>
      <c r="W23" s="11"/>
    </row>
    <row r="24" spans="1:23" ht="17.5" customHeight="1" x14ac:dyDescent="0.4">
      <c r="A24" s="76"/>
      <c r="B24" s="76"/>
      <c r="C24" s="76"/>
      <c r="D24" s="76"/>
      <c r="E24" s="76"/>
      <c r="F24" s="69"/>
      <c r="G24" s="69"/>
      <c r="H24" s="10">
        <v>0.33333333333333331</v>
      </c>
      <c r="I24" s="10">
        <v>0.41666666666666669</v>
      </c>
      <c r="J24" s="10">
        <v>0.5</v>
      </c>
      <c r="K24" s="10">
        <v>0.58333333333333337</v>
      </c>
      <c r="L24" s="10">
        <v>0.66666666666666663</v>
      </c>
      <c r="M24" s="17"/>
      <c r="N24" s="8"/>
      <c r="O24" s="11"/>
      <c r="P24" s="11"/>
      <c r="Q24" s="45"/>
      <c r="R24" s="45"/>
      <c r="S24" s="45"/>
      <c r="T24" s="45"/>
      <c r="U24" s="45"/>
      <c r="V24" s="45"/>
      <c r="W24" s="11"/>
    </row>
    <row r="25" spans="1:23" ht="21" x14ac:dyDescent="0.4">
      <c r="A25" s="13" t="s">
        <v>62</v>
      </c>
      <c r="B25" s="13" t="s">
        <v>63</v>
      </c>
      <c r="C25" s="13" t="s">
        <v>64</v>
      </c>
      <c r="D25" s="48">
        <v>140</v>
      </c>
      <c r="E25" s="15">
        <v>76</v>
      </c>
      <c r="F25" s="15">
        <f t="shared" ref="F25" si="2">SUM(H25:N25)</f>
        <v>204</v>
      </c>
      <c r="G25" s="15"/>
      <c r="H25" s="8">
        <v>28</v>
      </c>
      <c r="I25" s="8">
        <v>32</v>
      </c>
      <c r="J25" s="8">
        <v>48</v>
      </c>
      <c r="K25" s="8">
        <v>48</v>
      </c>
      <c r="L25" s="8">
        <v>48</v>
      </c>
      <c r="M25" s="8">
        <f>'8-Sep'!R36</f>
        <v>0</v>
      </c>
      <c r="N25" s="8">
        <f>'8-Sep'!S36</f>
        <v>0</v>
      </c>
      <c r="O25" s="9">
        <f>VLOOKUP($A25,'8-Sep'!$A$3:$Z$45,20,0)</f>
        <v>0</v>
      </c>
      <c r="P25" s="9">
        <f>VLOOKUP($A25,'8-Sep'!$A$3:$Z$45,21,0)</f>
        <v>0</v>
      </c>
      <c r="Q25" s="9">
        <f>VLOOKUP($A25,'8-Sep'!$A$3:$Z$45,22,0)</f>
        <v>0</v>
      </c>
      <c r="R25" s="9">
        <f>VLOOKUP($A25,'8-Sep'!$A$3:$Z$45,23,0)</f>
        <v>0</v>
      </c>
      <c r="S25" s="9">
        <f>VLOOKUP($A25,'8-Sep'!$A$3:$Z$45,24,0)</f>
        <v>0</v>
      </c>
      <c r="T25" s="9">
        <f>VLOOKUP($A25,'8-Sep'!$A$3:$Z$45,25,0)</f>
        <v>0</v>
      </c>
      <c r="U25" s="9">
        <f>VLOOKUP($A25,'8-Sep'!$A$3:$Z$45,26,0)</f>
        <v>0</v>
      </c>
      <c r="V25" s="21"/>
      <c r="W25" s="9">
        <f t="shared" ref="W25:W28" si="3">SUM(O25:V25)</f>
        <v>0</v>
      </c>
    </row>
    <row r="26" spans="1:23" ht="17.5" customHeight="1" x14ac:dyDescent="0.4">
      <c r="A26" s="13" t="s">
        <v>65</v>
      </c>
      <c r="B26" s="13" t="s">
        <v>66</v>
      </c>
      <c r="C26" s="13" t="s">
        <v>67</v>
      </c>
      <c r="D26" s="48">
        <v>16</v>
      </c>
      <c r="E26" s="15">
        <v>40</v>
      </c>
      <c r="F26" s="15">
        <f>SUM(H26:N26)</f>
        <v>0</v>
      </c>
      <c r="G26" s="15">
        <f t="shared" ref="G26:G28" si="4">SUM(O26:U26)</f>
        <v>0</v>
      </c>
      <c r="H26" s="8"/>
      <c r="I26" s="8"/>
      <c r="J26" s="8"/>
      <c r="K26" s="8"/>
      <c r="L26" s="8"/>
      <c r="M26" s="8">
        <f>'8-Sep'!R37</f>
        <v>0</v>
      </c>
      <c r="N26" s="8"/>
      <c r="O26" s="9">
        <f>VLOOKUP($A26,'8-Sep'!$A$3:$Z$45,20,0)</f>
        <v>0</v>
      </c>
      <c r="P26" s="9">
        <f>VLOOKUP($A26,'8-Sep'!$A$3:$Z$45,21,0)</f>
        <v>0</v>
      </c>
      <c r="Q26" s="9">
        <f>VLOOKUP($A26,'8-Sep'!$A$3:$Z$45,22,0)</f>
        <v>0</v>
      </c>
      <c r="R26" s="9">
        <f>VLOOKUP($A26,'8-Sep'!$A$3:$Z$45,23,0)</f>
        <v>0</v>
      </c>
      <c r="S26" s="9">
        <f>VLOOKUP($A26,'8-Sep'!$A$3:$Z$45,24,0)</f>
        <v>0</v>
      </c>
      <c r="T26" s="9">
        <f>VLOOKUP($A26,'8-Sep'!$A$3:$Z$45,25,0)</f>
        <v>0</v>
      </c>
      <c r="U26" s="9">
        <f>VLOOKUP($A26,'8-Sep'!$A$3:$Z$45,26,0)</f>
        <v>0</v>
      </c>
      <c r="V26" s="6"/>
      <c r="W26" s="9">
        <f t="shared" si="3"/>
        <v>0</v>
      </c>
    </row>
    <row r="27" spans="1:23" ht="21" x14ac:dyDescent="0.4">
      <c r="A27" s="13" t="s">
        <v>68</v>
      </c>
      <c r="B27" s="13" t="s">
        <v>69</v>
      </c>
      <c r="C27" s="13" t="s">
        <v>70</v>
      </c>
      <c r="D27" s="48">
        <v>140</v>
      </c>
      <c r="E27" s="15">
        <v>140</v>
      </c>
      <c r="F27" s="15">
        <f>SUM(H27:N27)</f>
        <v>172</v>
      </c>
      <c r="G27" s="15">
        <f t="shared" si="4"/>
        <v>0</v>
      </c>
      <c r="H27" s="8">
        <v>12</v>
      </c>
      <c r="I27" s="8">
        <v>32</v>
      </c>
      <c r="J27" s="8">
        <v>32</v>
      </c>
      <c r="K27" s="8">
        <v>48</v>
      </c>
      <c r="L27" s="8">
        <v>48</v>
      </c>
      <c r="M27" s="8">
        <f>'8-Sep'!R38</f>
        <v>0</v>
      </c>
      <c r="N27" s="8"/>
      <c r="O27" s="9">
        <f>VLOOKUP($A27,'8-Sep'!$A$3:$Z$45,20,0)</f>
        <v>0</v>
      </c>
      <c r="P27" s="9">
        <f>VLOOKUP($A27,'8-Sep'!$A$3:$Z$45,21,0)</f>
        <v>0</v>
      </c>
      <c r="Q27" s="9">
        <f>VLOOKUP($A27,'8-Sep'!$A$3:$Z$45,22,0)</f>
        <v>0</v>
      </c>
      <c r="R27" s="9">
        <f>VLOOKUP($A27,'8-Sep'!$A$3:$Z$45,23,0)</f>
        <v>0</v>
      </c>
      <c r="S27" s="9">
        <f>VLOOKUP($A27,'8-Sep'!$A$3:$Z$45,24,0)</f>
        <v>0</v>
      </c>
      <c r="T27" s="9">
        <f>VLOOKUP($A27,'8-Sep'!$A$3:$Z$45,25,0)</f>
        <v>0</v>
      </c>
      <c r="U27" s="9">
        <f>VLOOKUP($A27,'8-Sep'!$A$3:$Z$45,26,0)</f>
        <v>0</v>
      </c>
      <c r="V27" s="6"/>
      <c r="W27" s="9">
        <f t="shared" si="3"/>
        <v>0</v>
      </c>
    </row>
    <row r="28" spans="1:23" ht="21" x14ac:dyDescent="0.4">
      <c r="A28" s="13" t="s">
        <v>71</v>
      </c>
      <c r="B28" s="13" t="s">
        <v>72</v>
      </c>
      <c r="C28" s="13" t="s">
        <v>73</v>
      </c>
      <c r="D28" s="48">
        <v>30</v>
      </c>
      <c r="E28" s="15">
        <v>40</v>
      </c>
      <c r="F28" s="15">
        <f>SUM(H28:N28)</f>
        <v>16</v>
      </c>
      <c r="G28" s="15">
        <f t="shared" si="4"/>
        <v>0</v>
      </c>
      <c r="H28" s="8">
        <v>16</v>
      </c>
      <c r="I28" s="8"/>
      <c r="J28" s="8"/>
      <c r="K28" s="8"/>
      <c r="L28" s="8"/>
      <c r="M28" s="8">
        <f>'8-Sep'!R39</f>
        <v>0</v>
      </c>
      <c r="N28" s="8"/>
      <c r="O28" s="9">
        <f>VLOOKUP($A28,'8-Sep'!$A$3:$Z$45,20,0)</f>
        <v>0</v>
      </c>
      <c r="P28" s="9">
        <f>VLOOKUP($A28,'8-Sep'!$A$3:$Z$45,21,0)</f>
        <v>0</v>
      </c>
      <c r="Q28" s="9">
        <f>VLOOKUP($A28,'8-Sep'!$A$3:$Z$45,22,0)</f>
        <v>0</v>
      </c>
      <c r="R28" s="9">
        <f>VLOOKUP($A28,'8-Sep'!$A$3:$Z$45,23,0)</f>
        <v>0</v>
      </c>
      <c r="S28" s="9">
        <f>VLOOKUP($A28,'8-Sep'!$A$3:$Z$45,24,0)</f>
        <v>0</v>
      </c>
      <c r="T28" s="9">
        <f>VLOOKUP($A28,'8-Sep'!$A$3:$Z$45,25,0)</f>
        <v>0</v>
      </c>
      <c r="U28" s="9">
        <f>VLOOKUP($A28,'8-Sep'!$A$3:$Z$45,26,0)</f>
        <v>0</v>
      </c>
      <c r="V28" s="6"/>
      <c r="W28" s="9">
        <f t="shared" si="3"/>
        <v>0</v>
      </c>
    </row>
    <row r="29" spans="1:23" ht="21" x14ac:dyDescent="0.4">
      <c r="A29" s="13" t="s">
        <v>74</v>
      </c>
      <c r="B29" s="13" t="s">
        <v>75</v>
      </c>
      <c r="C29" s="13" t="s">
        <v>76</v>
      </c>
      <c r="D29" s="48">
        <v>11</v>
      </c>
      <c r="E29" s="15">
        <v>32</v>
      </c>
      <c r="F29" s="15">
        <f>SUM(H29:N29)</f>
        <v>32</v>
      </c>
      <c r="G29" s="15">
        <f t="shared" ref="G29" si="5">SUM(O29:U29)</f>
        <v>0</v>
      </c>
      <c r="H29" s="8"/>
      <c r="I29" s="8">
        <v>16</v>
      </c>
      <c r="J29" s="8">
        <v>16</v>
      </c>
      <c r="K29" s="8"/>
      <c r="L29" s="8"/>
      <c r="M29" s="8">
        <f>'8-Sep'!R39</f>
        <v>0</v>
      </c>
      <c r="N29" s="8"/>
      <c r="O29" s="9">
        <f>VLOOKUP($A29,'8-Sep'!$A$3:$Z$45,20,0)</f>
        <v>0</v>
      </c>
      <c r="P29" s="9">
        <f>VLOOKUP($A29,'8-Sep'!$A$3:$Z$45,21,0)</f>
        <v>0</v>
      </c>
      <c r="Q29" s="9">
        <f>VLOOKUP($A29,'8-Sep'!$A$3:$Z$45,22,0)</f>
        <v>0</v>
      </c>
      <c r="R29" s="9">
        <f>VLOOKUP($A29,'8-Sep'!$A$3:$Z$45,23,0)</f>
        <v>0</v>
      </c>
      <c r="S29" s="9">
        <f>VLOOKUP($A29,'8-Sep'!$A$3:$Z$45,24,0)</f>
        <v>0</v>
      </c>
      <c r="T29" s="9">
        <f>VLOOKUP($A29,'8-Sep'!$A$3:$Z$45,25,0)</f>
        <v>0</v>
      </c>
      <c r="U29" s="9">
        <f>VLOOKUP($A29,'8-Sep'!$A$3:$Z$45,26,0)</f>
        <v>0</v>
      </c>
      <c r="V29" s="6"/>
      <c r="W29" s="9">
        <f t="shared" ref="W29" si="6">SUM(O29:V29)</f>
        <v>0</v>
      </c>
    </row>
    <row r="30" spans="1:23" ht="21" x14ac:dyDescent="0.4">
      <c r="A30" s="13" t="s">
        <v>128</v>
      </c>
      <c r="B30" s="13" t="s">
        <v>129</v>
      </c>
      <c r="C30" s="13" t="s">
        <v>76</v>
      </c>
      <c r="D30" s="48">
        <v>4</v>
      </c>
      <c r="E30" s="15">
        <v>0</v>
      </c>
      <c r="F30" s="15">
        <f>SUM(H30:N30)</f>
        <v>16</v>
      </c>
      <c r="G30" s="15"/>
      <c r="H30" s="8"/>
      <c r="I30" s="8">
        <v>16</v>
      </c>
      <c r="J30" s="8"/>
      <c r="K30" s="8"/>
      <c r="L30" s="8"/>
      <c r="M30" s="8">
        <f>'8-Sep'!R40</f>
        <v>0</v>
      </c>
      <c r="N30" s="8"/>
      <c r="O30" s="9"/>
      <c r="P30" s="9"/>
      <c r="Q30" s="9"/>
      <c r="R30" s="9"/>
      <c r="S30" s="9"/>
      <c r="T30" s="9"/>
      <c r="U30" s="9"/>
      <c r="V30" s="6"/>
      <c r="W30" s="9"/>
    </row>
  </sheetData>
  <protectedRanges>
    <protectedRange sqref="F7:G21 F28:G30 G26:G27 F25:F27" name="Range1_3_2_2"/>
    <protectedRange sqref="E13" name="Range1_5_1_1"/>
    <protectedRange sqref="E12" name="Range1_2_3_1_1"/>
    <protectedRange sqref="E7:E11" name="Range1_3_2"/>
  </protectedRanges>
  <mergeCells count="19">
    <mergeCell ref="G22:G24"/>
    <mergeCell ref="H22:M22"/>
    <mergeCell ref="O22:W22"/>
    <mergeCell ref="A22:A24"/>
    <mergeCell ref="B22:B24"/>
    <mergeCell ref="C22:C24"/>
    <mergeCell ref="D22:D24"/>
    <mergeCell ref="E22:E24"/>
    <mergeCell ref="F22:F24"/>
    <mergeCell ref="D1:D2"/>
    <mergeCell ref="H1:M1"/>
    <mergeCell ref="O1:W1"/>
    <mergeCell ref="B2:C2"/>
    <mergeCell ref="A3:A6"/>
    <mergeCell ref="B3:B6"/>
    <mergeCell ref="C3:C6"/>
    <mergeCell ref="D3:D6"/>
    <mergeCell ref="F3:F6"/>
    <mergeCell ref="G3:G6"/>
  </mergeCells>
  <pageMargins left="0.70866141732283472" right="0.70866141732283472" top="0.74803149606299213" bottom="0.74803149606299213" header="0.31496062992125984" footer="0.31496062992125984"/>
  <pageSetup scale="72" orientation="landscape" horizontalDpi="200" verticalDpi="200" r:id="rId1"/>
  <headerFooter>
    <oddFooter>&amp;L_x000D_&amp;1#&amp;"Calibri Light"&amp;8&amp;K000000 Classified as Public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D33F-E87F-4A42-A48B-D0382B607A06}">
  <dimension ref="A1:AJ49"/>
  <sheetViews>
    <sheetView showZeros="0" zoomScale="70" zoomScaleNormal="70" workbookViewId="0">
      <pane xSplit="12" ySplit="6" topLeftCell="M16" activePane="bottomRight" state="frozen"/>
      <selection activeCell="G18" sqref="G18"/>
      <selection pane="topRight" activeCell="G18" sqref="G18"/>
      <selection pane="bottomLeft" activeCell="G18" sqref="G18"/>
      <selection pane="bottomRight" activeCell="J28" sqref="J28"/>
    </sheetView>
  </sheetViews>
  <sheetFormatPr defaultRowHeight="14.5" x14ac:dyDescent="0.35"/>
  <cols>
    <col min="1" max="1" width="15.453125" bestFit="1" customWidth="1"/>
    <col min="2" max="2" width="17.1796875" bestFit="1" customWidth="1"/>
    <col min="3" max="3" width="13.54296875" bestFit="1" customWidth="1"/>
    <col min="4" max="4" width="13.54296875" style="24" customWidth="1"/>
    <col min="5" max="5" width="14" customWidth="1"/>
    <col min="6" max="6" width="12.7265625" bestFit="1" customWidth="1"/>
    <col min="7" max="7" width="6.81640625" customWidth="1"/>
    <col min="8" max="8" width="14.08984375" customWidth="1"/>
    <col min="9" max="11" width="13" customWidth="1"/>
    <col min="12" max="12" width="13.36328125" customWidth="1"/>
    <col min="13" max="18" width="6.453125" bestFit="1" customWidth="1"/>
    <col min="19" max="19" width="5.6328125" customWidth="1"/>
    <col min="20" max="22" width="6.453125" bestFit="1" customWidth="1"/>
    <col min="23" max="25" width="6.453125" customWidth="1"/>
    <col min="26" max="27" width="6.453125" bestFit="1" customWidth="1"/>
    <col min="28" max="29" width="5.7265625" customWidth="1"/>
    <col min="30" max="30" width="10" bestFit="1" customWidth="1"/>
    <col min="31" max="36" width="5.7265625" customWidth="1"/>
  </cols>
  <sheetData>
    <row r="1" spans="1:36" ht="18.5" x14ac:dyDescent="0.45">
      <c r="F1" s="2">
        <v>45918</v>
      </c>
      <c r="M1" s="54" t="s">
        <v>0</v>
      </c>
      <c r="N1" s="54"/>
      <c r="O1" s="54"/>
      <c r="P1" s="54"/>
      <c r="Q1" s="54"/>
      <c r="R1" s="54"/>
      <c r="S1" s="54"/>
      <c r="T1" s="55" t="s">
        <v>1</v>
      </c>
      <c r="U1" s="56"/>
      <c r="V1" s="56"/>
      <c r="W1" s="56"/>
      <c r="X1" s="56"/>
      <c r="Y1" s="56"/>
      <c r="Z1" s="56"/>
      <c r="AA1" s="56"/>
      <c r="AB1" s="56"/>
      <c r="AC1" s="56"/>
      <c r="AD1" s="56"/>
      <c r="AE1" s="55" t="s">
        <v>77</v>
      </c>
      <c r="AF1" s="56"/>
      <c r="AG1" s="56"/>
      <c r="AH1" s="56"/>
      <c r="AI1" s="56"/>
      <c r="AJ1" s="56"/>
    </row>
    <row r="2" spans="1:36" x14ac:dyDescent="0.35">
      <c r="B2" s="57"/>
      <c r="C2" s="58"/>
      <c r="L2" s="25"/>
      <c r="M2" s="26" t="s">
        <v>2</v>
      </c>
      <c r="N2" s="26" t="s">
        <v>3</v>
      </c>
      <c r="O2" s="26" t="s">
        <v>4</v>
      </c>
      <c r="P2" s="26" t="s">
        <v>5</v>
      </c>
      <c r="Q2" s="26" t="s">
        <v>6</v>
      </c>
      <c r="R2" s="26" t="s">
        <v>7</v>
      </c>
      <c r="S2" s="26"/>
      <c r="T2" s="27" t="s">
        <v>2</v>
      </c>
      <c r="U2" s="27" t="s">
        <v>3</v>
      </c>
      <c r="V2" s="27" t="s">
        <v>4</v>
      </c>
      <c r="W2" s="27" t="s">
        <v>5</v>
      </c>
      <c r="X2" s="27" t="s">
        <v>6</v>
      </c>
      <c r="Y2" s="27" t="s">
        <v>7</v>
      </c>
      <c r="Z2" s="27" t="s">
        <v>8</v>
      </c>
      <c r="AA2" s="27" t="s">
        <v>9</v>
      </c>
      <c r="AB2" s="27" t="s">
        <v>78</v>
      </c>
      <c r="AC2" s="27"/>
      <c r="AD2" s="27" t="s">
        <v>79</v>
      </c>
      <c r="AE2" s="27" t="s">
        <v>2</v>
      </c>
      <c r="AF2" s="27" t="s">
        <v>3</v>
      </c>
      <c r="AG2" s="27" t="s">
        <v>4</v>
      </c>
      <c r="AH2" s="27" t="s">
        <v>5</v>
      </c>
      <c r="AI2" s="27" t="s">
        <v>6</v>
      </c>
      <c r="AJ2" s="27" t="s">
        <v>7</v>
      </c>
    </row>
    <row r="3" spans="1:36" x14ac:dyDescent="0.35">
      <c r="A3" s="49" t="s">
        <v>10</v>
      </c>
      <c r="B3" s="50" t="s">
        <v>11</v>
      </c>
      <c r="C3" s="50" t="s">
        <v>12</v>
      </c>
      <c r="D3" s="50" t="s">
        <v>80</v>
      </c>
      <c r="E3" s="59" t="s">
        <v>13</v>
      </c>
      <c r="F3" s="49" t="s">
        <v>81</v>
      </c>
      <c r="G3" s="49" t="s">
        <v>82</v>
      </c>
      <c r="H3" s="49" t="s">
        <v>83</v>
      </c>
      <c r="I3" s="51" t="s">
        <v>84</v>
      </c>
      <c r="J3" s="49" t="s">
        <v>122</v>
      </c>
      <c r="K3" s="49" t="s">
        <v>123</v>
      </c>
      <c r="L3" s="46" t="s">
        <v>85</v>
      </c>
      <c r="M3" s="22">
        <v>6</v>
      </c>
      <c r="N3" s="22">
        <v>6</v>
      </c>
      <c r="O3" s="22">
        <v>6</v>
      </c>
      <c r="P3" s="22">
        <v>6</v>
      </c>
      <c r="Q3" s="22">
        <v>6</v>
      </c>
      <c r="R3" s="22">
        <v>6</v>
      </c>
      <c r="S3" s="22">
        <f>SUM(M3:R3)</f>
        <v>36</v>
      </c>
      <c r="T3" s="28">
        <v>6</v>
      </c>
      <c r="U3" s="28">
        <v>3</v>
      </c>
      <c r="V3" s="28">
        <v>5</v>
      </c>
      <c r="W3" s="28">
        <v>4</v>
      </c>
      <c r="X3" s="28">
        <v>5</v>
      </c>
      <c r="Y3" s="28">
        <v>5</v>
      </c>
      <c r="Z3" s="28"/>
      <c r="AA3" s="28"/>
      <c r="AB3" s="28"/>
      <c r="AC3" s="28">
        <f>SUM(T3:AB3)</f>
        <v>28</v>
      </c>
      <c r="AD3" s="28"/>
      <c r="AE3" s="28">
        <f>T3-M3</f>
        <v>0</v>
      </c>
      <c r="AF3" s="28">
        <f>SUM(T3:U3)-SUM(M3:N3)</f>
        <v>-3</v>
      </c>
      <c r="AG3" s="28">
        <f>SUM(T3:V3)-SUM(M3:O3)</f>
        <v>-4</v>
      </c>
      <c r="AH3" s="28">
        <f>SUM(T3:Z3)-SUM(M3:P3)</f>
        <v>4</v>
      </c>
      <c r="AI3" s="28">
        <f>SUM(T3:AA3)-SUM(M3:Q3)</f>
        <v>-2</v>
      </c>
      <c r="AJ3" s="28">
        <f>SUM(T3:AB3)-SUM(M3:R3)</f>
        <v>-8</v>
      </c>
    </row>
    <row r="4" spans="1:36" x14ac:dyDescent="0.35">
      <c r="A4" s="49"/>
      <c r="B4" s="50"/>
      <c r="C4" s="50"/>
      <c r="D4" s="50"/>
      <c r="E4" s="59"/>
      <c r="F4" s="49"/>
      <c r="G4" s="50"/>
      <c r="H4" s="50"/>
      <c r="I4" s="52"/>
      <c r="J4" s="49"/>
      <c r="K4" s="49"/>
      <c r="L4" s="46" t="s">
        <v>14</v>
      </c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 t="s">
        <v>16</v>
      </c>
      <c r="AE4" s="27"/>
      <c r="AF4" s="27"/>
      <c r="AG4" s="27"/>
      <c r="AH4" s="27"/>
      <c r="AI4" s="27"/>
      <c r="AJ4" s="27"/>
    </row>
    <row r="5" spans="1:36" x14ac:dyDescent="0.35">
      <c r="A5" s="49"/>
      <c r="B5" s="50"/>
      <c r="C5" s="50"/>
      <c r="D5" s="50"/>
      <c r="E5" s="59"/>
      <c r="F5" s="49"/>
      <c r="G5" s="50"/>
      <c r="H5" s="50"/>
      <c r="I5" s="52"/>
      <c r="J5" s="49"/>
      <c r="K5" s="49"/>
      <c r="L5" s="46"/>
      <c r="M5" s="26"/>
      <c r="N5" s="26"/>
      <c r="O5" s="26"/>
      <c r="P5" s="26"/>
      <c r="Q5" s="26"/>
      <c r="R5" s="26"/>
      <c r="S5" s="26"/>
      <c r="T5" s="29"/>
      <c r="U5" s="27"/>
      <c r="V5" s="27"/>
      <c r="W5" s="27"/>
      <c r="X5" s="27"/>
      <c r="Y5" s="27"/>
      <c r="Z5" s="27"/>
      <c r="AA5" s="27"/>
      <c r="AB5" s="27"/>
      <c r="AC5" s="27"/>
      <c r="AD5" s="30" t="s">
        <v>86</v>
      </c>
      <c r="AE5" s="27"/>
      <c r="AF5" s="27"/>
      <c r="AG5" s="27"/>
      <c r="AH5" s="27"/>
      <c r="AI5" s="27"/>
      <c r="AJ5" s="27"/>
    </row>
    <row r="6" spans="1:36" ht="16" x14ac:dyDescent="0.35">
      <c r="A6" s="49"/>
      <c r="B6" s="50"/>
      <c r="C6" s="50"/>
      <c r="D6" s="50"/>
      <c r="E6" s="59"/>
      <c r="F6" s="49"/>
      <c r="G6" s="50"/>
      <c r="H6" s="50"/>
      <c r="I6" s="53"/>
      <c r="J6" s="49"/>
      <c r="K6" s="49"/>
      <c r="L6" s="46" t="s">
        <v>87</v>
      </c>
      <c r="M6" s="10">
        <v>0.27083333333333331</v>
      </c>
      <c r="N6" s="10">
        <v>0.45833333333333331</v>
      </c>
      <c r="O6" s="10">
        <v>0.54166666666666663</v>
      </c>
      <c r="P6" s="10">
        <v>0.66666666666666663</v>
      </c>
      <c r="Q6" s="10">
        <v>0.79166666666666663</v>
      </c>
      <c r="R6" s="10">
        <v>0.875</v>
      </c>
      <c r="S6" s="10"/>
      <c r="T6" s="11"/>
      <c r="U6" s="11"/>
      <c r="V6" s="11"/>
      <c r="W6" s="11"/>
      <c r="X6" s="11"/>
      <c r="Y6" s="11"/>
      <c r="Z6" s="11"/>
      <c r="AA6" s="11"/>
      <c r="AB6" s="11"/>
      <c r="AC6" s="27"/>
      <c r="AD6" s="31" t="s">
        <v>88</v>
      </c>
      <c r="AE6" s="31">
        <v>0.27083333333333331</v>
      </c>
      <c r="AF6" s="31">
        <v>0.29166666666666669</v>
      </c>
      <c r="AG6" s="31">
        <v>0.40625</v>
      </c>
      <c r="AH6" s="31">
        <v>0.46875</v>
      </c>
      <c r="AI6" s="31">
        <v>0.61458333333333337</v>
      </c>
      <c r="AJ6" s="31"/>
    </row>
    <row r="7" spans="1:36" ht="21" x14ac:dyDescent="0.35">
      <c r="A7" s="32" t="s">
        <v>18</v>
      </c>
      <c r="B7" s="32" t="s">
        <v>19</v>
      </c>
      <c r="C7" s="32" t="s">
        <v>20</v>
      </c>
      <c r="D7" s="33">
        <v>184</v>
      </c>
      <c r="E7" s="48">
        <v>11</v>
      </c>
      <c r="F7" s="15">
        <v>100</v>
      </c>
      <c r="G7" s="33"/>
      <c r="H7" s="33">
        <f>MAX(((D7+E7)-F7),0)</f>
        <v>95</v>
      </c>
      <c r="I7" s="33">
        <f>MAX(H7-(SUM(M7:R7)),0)</f>
        <v>0</v>
      </c>
      <c r="J7" s="33">
        <f>SUM(M7:S7)</f>
        <v>96</v>
      </c>
      <c r="K7" s="33">
        <f>SUM(T7:Z7)</f>
        <v>0</v>
      </c>
      <c r="L7" s="34"/>
      <c r="M7" s="8"/>
      <c r="N7" s="8">
        <v>96</v>
      </c>
      <c r="O7" s="8"/>
      <c r="P7" s="8"/>
      <c r="Q7" s="8"/>
      <c r="R7" s="8"/>
      <c r="S7" s="8"/>
      <c r="T7" s="9"/>
      <c r="U7" s="9"/>
      <c r="V7" s="9"/>
      <c r="W7" s="9"/>
      <c r="X7" s="9"/>
      <c r="Y7" s="9"/>
      <c r="Z7" s="9"/>
      <c r="AA7" s="9"/>
      <c r="AB7" s="9"/>
      <c r="AC7" s="28"/>
      <c r="AD7" s="28">
        <f t="shared" ref="AD7:AD34" si="0">SUM(T7:AC7)</f>
        <v>0</v>
      </c>
      <c r="AE7" s="28">
        <f t="shared" ref="AE7:AE34" si="1">T7-M7</f>
        <v>0</v>
      </c>
      <c r="AF7" s="28">
        <f t="shared" ref="AF7:AF34" si="2">SUM(T7:U7)-SUM(M7:N7)</f>
        <v>-96</v>
      </c>
      <c r="AG7" s="28">
        <f t="shared" ref="AG7:AG34" si="3">SUM(T7:V7)-SUM(M7:O7)</f>
        <v>-96</v>
      </c>
      <c r="AH7" s="28">
        <f t="shared" ref="AH7:AH34" si="4">SUM(T7:Z7)-SUM(M7:P7)</f>
        <v>-96</v>
      </c>
      <c r="AI7" s="28">
        <f t="shared" ref="AI7:AI34" si="5">SUM(T7:AA7)-SUM(M7:Q7)</f>
        <v>-96</v>
      </c>
      <c r="AJ7" s="28">
        <f t="shared" ref="AJ7:AJ34" si="6">SUM(T7:AB7)-SUM(M7:R7)</f>
        <v>-96</v>
      </c>
    </row>
    <row r="8" spans="1:36" ht="21" x14ac:dyDescent="0.35">
      <c r="A8" s="32" t="s">
        <v>21</v>
      </c>
      <c r="B8" s="32" t="s">
        <v>22</v>
      </c>
      <c r="C8" s="32" t="s">
        <v>23</v>
      </c>
      <c r="D8" s="33">
        <v>199</v>
      </c>
      <c r="E8" s="48">
        <v>352</v>
      </c>
      <c r="F8" s="15">
        <v>284</v>
      </c>
      <c r="G8" s="33"/>
      <c r="H8" s="33">
        <f t="shared" ref="H8:H40" si="7">MAX(((D8+E8)-F8),0)</f>
        <v>267</v>
      </c>
      <c r="I8" s="33">
        <f t="shared" ref="I8:I40" si="8">MAX(H8-(SUM(M8:R8)),0)</f>
        <v>0</v>
      </c>
      <c r="J8" s="33">
        <f t="shared" ref="J8:J40" si="9">SUM(M8:S8)</f>
        <v>384</v>
      </c>
      <c r="K8" s="33">
        <f t="shared" ref="K8:K40" si="10">SUM(T8:Z8)</f>
        <v>0</v>
      </c>
      <c r="L8" s="34"/>
      <c r="M8" s="8"/>
      <c r="N8" s="8">
        <v>96</v>
      </c>
      <c r="O8" s="8">
        <v>96</v>
      </c>
      <c r="P8" s="8">
        <v>96</v>
      </c>
      <c r="Q8" s="8">
        <v>96</v>
      </c>
      <c r="R8" s="8"/>
      <c r="S8" s="8"/>
      <c r="T8" s="9"/>
      <c r="U8" s="9"/>
      <c r="V8" s="9"/>
      <c r="W8" s="9"/>
      <c r="X8" s="9"/>
      <c r="Y8" s="9"/>
      <c r="Z8" s="9"/>
      <c r="AA8" s="9"/>
      <c r="AB8" s="9"/>
      <c r="AC8" s="28"/>
      <c r="AD8" s="28">
        <f t="shared" si="0"/>
        <v>0</v>
      </c>
      <c r="AE8" s="28">
        <f t="shared" si="1"/>
        <v>0</v>
      </c>
      <c r="AF8" s="28">
        <f t="shared" si="2"/>
        <v>-96</v>
      </c>
      <c r="AG8" s="28">
        <f t="shared" si="3"/>
        <v>-192</v>
      </c>
      <c r="AH8" s="28">
        <f t="shared" si="4"/>
        <v>-288</v>
      </c>
      <c r="AI8" s="28">
        <f t="shared" si="5"/>
        <v>-384</v>
      </c>
      <c r="AJ8" s="28">
        <f t="shared" si="6"/>
        <v>-384</v>
      </c>
    </row>
    <row r="9" spans="1:36" ht="21" x14ac:dyDescent="0.35">
      <c r="A9" s="32" t="s">
        <v>24</v>
      </c>
      <c r="B9" s="32" t="s">
        <v>25</v>
      </c>
      <c r="C9" s="32" t="s">
        <v>26</v>
      </c>
      <c r="D9" s="33">
        <v>120</v>
      </c>
      <c r="E9" s="48">
        <v>37</v>
      </c>
      <c r="F9" s="15">
        <v>147</v>
      </c>
      <c r="G9" s="33"/>
      <c r="H9" s="33">
        <f t="shared" si="7"/>
        <v>10</v>
      </c>
      <c r="I9" s="33">
        <f t="shared" si="8"/>
        <v>10</v>
      </c>
      <c r="J9" s="33">
        <f t="shared" si="9"/>
        <v>0</v>
      </c>
      <c r="K9" s="33">
        <f t="shared" si="10"/>
        <v>0</v>
      </c>
      <c r="L9" s="34"/>
      <c r="M9" s="8"/>
      <c r="N9" s="8"/>
      <c r="O9" s="8"/>
      <c r="P9" s="8"/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28"/>
      <c r="AD9" s="28">
        <f t="shared" si="0"/>
        <v>0</v>
      </c>
      <c r="AE9" s="28">
        <f t="shared" si="1"/>
        <v>0</v>
      </c>
      <c r="AF9" s="28">
        <f t="shared" si="2"/>
        <v>0</v>
      </c>
      <c r="AG9" s="28">
        <f t="shared" si="3"/>
        <v>0</v>
      </c>
      <c r="AH9" s="28">
        <f t="shared" si="4"/>
        <v>0</v>
      </c>
      <c r="AI9" s="28">
        <f t="shared" si="5"/>
        <v>0</v>
      </c>
      <c r="AJ9" s="28">
        <f t="shared" si="6"/>
        <v>0</v>
      </c>
    </row>
    <row r="10" spans="1:36" ht="21" x14ac:dyDescent="0.35">
      <c r="A10" s="35" t="s">
        <v>27</v>
      </c>
      <c r="B10" s="32" t="s">
        <v>28</v>
      </c>
      <c r="C10" s="32" t="s">
        <v>29</v>
      </c>
      <c r="D10" s="33">
        <v>130</v>
      </c>
      <c r="E10" s="48">
        <v>26</v>
      </c>
      <c r="F10" s="15">
        <v>140</v>
      </c>
      <c r="G10" s="33"/>
      <c r="H10" s="33">
        <f t="shared" si="7"/>
        <v>16</v>
      </c>
      <c r="I10" s="33">
        <f t="shared" si="8"/>
        <v>16</v>
      </c>
      <c r="J10" s="33">
        <f t="shared" si="9"/>
        <v>0</v>
      </c>
      <c r="K10" s="33">
        <f t="shared" si="10"/>
        <v>0</v>
      </c>
      <c r="L10" s="34"/>
      <c r="M10" s="8"/>
      <c r="N10" s="8"/>
      <c r="O10" s="8"/>
      <c r="P10" s="8"/>
      <c r="Q10" s="8"/>
      <c r="R10" s="8"/>
      <c r="S10" s="8"/>
      <c r="T10" s="9"/>
      <c r="U10" s="9"/>
      <c r="V10" s="9"/>
      <c r="W10" s="9"/>
      <c r="X10" s="9"/>
      <c r="Y10" s="9"/>
      <c r="Z10" s="9"/>
      <c r="AA10" s="9"/>
      <c r="AB10" s="9"/>
      <c r="AC10" s="28"/>
      <c r="AD10" s="28">
        <f t="shared" si="0"/>
        <v>0</v>
      </c>
      <c r="AE10" s="28">
        <f t="shared" si="1"/>
        <v>0</v>
      </c>
      <c r="AF10" s="28">
        <f t="shared" si="2"/>
        <v>0</v>
      </c>
      <c r="AG10" s="28">
        <f t="shared" si="3"/>
        <v>0</v>
      </c>
      <c r="AH10" s="28">
        <f t="shared" si="4"/>
        <v>0</v>
      </c>
      <c r="AI10" s="28">
        <f t="shared" si="5"/>
        <v>0</v>
      </c>
      <c r="AJ10" s="28">
        <f t="shared" si="6"/>
        <v>0</v>
      </c>
    </row>
    <row r="11" spans="1:36" ht="21" x14ac:dyDescent="0.35">
      <c r="A11" s="32" t="s">
        <v>30</v>
      </c>
      <c r="B11" s="32" t="s">
        <v>31</v>
      </c>
      <c r="C11" s="32" t="s">
        <v>32</v>
      </c>
      <c r="D11" s="33">
        <v>260</v>
      </c>
      <c r="E11" s="48">
        <v>217</v>
      </c>
      <c r="F11" s="15">
        <v>559</v>
      </c>
      <c r="G11" s="33"/>
      <c r="H11" s="33">
        <f t="shared" si="7"/>
        <v>0</v>
      </c>
      <c r="I11" s="33">
        <f t="shared" si="8"/>
        <v>0</v>
      </c>
      <c r="J11" s="33">
        <f t="shared" si="9"/>
        <v>0</v>
      </c>
      <c r="K11" s="33">
        <f t="shared" si="10"/>
        <v>0</v>
      </c>
      <c r="L11" s="34"/>
      <c r="M11" s="8"/>
      <c r="N11" s="8"/>
      <c r="O11" s="8"/>
      <c r="P11" s="8"/>
      <c r="Q11" s="8"/>
      <c r="R11" s="8"/>
      <c r="S11" s="8"/>
      <c r="T11" s="9"/>
      <c r="U11" s="9"/>
      <c r="V11" s="9"/>
      <c r="W11" s="9"/>
      <c r="X11" s="9"/>
      <c r="Y11" s="9"/>
      <c r="Z11" s="9"/>
      <c r="AA11" s="9"/>
      <c r="AB11" s="9"/>
      <c r="AC11" s="28"/>
      <c r="AD11" s="28">
        <f t="shared" si="0"/>
        <v>0</v>
      </c>
      <c r="AE11" s="28">
        <f t="shared" si="1"/>
        <v>0</v>
      </c>
      <c r="AF11" s="28">
        <f t="shared" si="2"/>
        <v>0</v>
      </c>
      <c r="AG11" s="28">
        <f t="shared" si="3"/>
        <v>0</v>
      </c>
      <c r="AH11" s="28">
        <f t="shared" si="4"/>
        <v>0</v>
      </c>
      <c r="AI11" s="28">
        <f t="shared" si="5"/>
        <v>0</v>
      </c>
      <c r="AJ11" s="28">
        <f t="shared" si="6"/>
        <v>0</v>
      </c>
    </row>
    <row r="12" spans="1:36" ht="21" x14ac:dyDescent="0.35">
      <c r="A12" s="32" t="s">
        <v>33</v>
      </c>
      <c r="B12" s="32" t="s">
        <v>34</v>
      </c>
      <c r="C12" s="32" t="s">
        <v>35</v>
      </c>
      <c r="D12" s="33">
        <v>140</v>
      </c>
      <c r="E12" s="48">
        <v>0</v>
      </c>
      <c r="F12" s="15">
        <v>300</v>
      </c>
      <c r="G12" s="33"/>
      <c r="H12" s="33">
        <f t="shared" si="7"/>
        <v>0</v>
      </c>
      <c r="I12" s="33">
        <f t="shared" si="8"/>
        <v>0</v>
      </c>
      <c r="J12" s="33">
        <f t="shared" si="9"/>
        <v>0</v>
      </c>
      <c r="K12" s="33">
        <f t="shared" si="10"/>
        <v>0</v>
      </c>
      <c r="L12" s="34"/>
      <c r="M12" s="8"/>
      <c r="N12" s="8"/>
      <c r="O12" s="8"/>
      <c r="P12" s="8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28"/>
      <c r="AD12" s="28">
        <f t="shared" si="0"/>
        <v>0</v>
      </c>
      <c r="AE12" s="28">
        <f t="shared" si="1"/>
        <v>0</v>
      </c>
      <c r="AF12" s="28">
        <f t="shared" si="2"/>
        <v>0</v>
      </c>
      <c r="AG12" s="28">
        <f t="shared" si="3"/>
        <v>0</v>
      </c>
      <c r="AH12" s="28">
        <f t="shared" si="4"/>
        <v>0</v>
      </c>
      <c r="AI12" s="28">
        <f t="shared" si="5"/>
        <v>0</v>
      </c>
      <c r="AJ12" s="28">
        <f t="shared" si="6"/>
        <v>0</v>
      </c>
    </row>
    <row r="13" spans="1:36" ht="21" x14ac:dyDescent="0.35">
      <c r="A13" s="32" t="s">
        <v>36</v>
      </c>
      <c r="B13" s="32" t="s">
        <v>37</v>
      </c>
      <c r="C13" s="32">
        <v>630131090</v>
      </c>
      <c r="D13" s="33">
        <v>140</v>
      </c>
      <c r="E13" s="48">
        <v>37</v>
      </c>
      <c r="F13" s="15">
        <v>140</v>
      </c>
      <c r="G13" s="33"/>
      <c r="H13" s="33">
        <f t="shared" si="7"/>
        <v>37</v>
      </c>
      <c r="I13" s="33">
        <f t="shared" si="8"/>
        <v>0</v>
      </c>
      <c r="J13" s="33">
        <f t="shared" si="9"/>
        <v>140</v>
      </c>
      <c r="K13" s="33">
        <f t="shared" si="10"/>
        <v>0</v>
      </c>
      <c r="L13" s="34"/>
      <c r="M13" s="8"/>
      <c r="N13" s="8"/>
      <c r="O13" s="8"/>
      <c r="P13" s="8"/>
      <c r="Q13" s="8">
        <v>140</v>
      </c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28"/>
      <c r="AD13" s="28">
        <f t="shared" si="0"/>
        <v>0</v>
      </c>
      <c r="AE13" s="28">
        <f t="shared" si="1"/>
        <v>0</v>
      </c>
      <c r="AF13" s="28">
        <f t="shared" si="2"/>
        <v>0</v>
      </c>
      <c r="AG13" s="28">
        <f t="shared" si="3"/>
        <v>0</v>
      </c>
      <c r="AH13" s="28">
        <f t="shared" si="4"/>
        <v>0</v>
      </c>
      <c r="AI13" s="28">
        <f t="shared" si="5"/>
        <v>-140</v>
      </c>
      <c r="AJ13" s="28">
        <f t="shared" si="6"/>
        <v>-140</v>
      </c>
    </row>
    <row r="14" spans="1:36" ht="21" x14ac:dyDescent="0.35">
      <c r="A14" s="32" t="s">
        <v>38</v>
      </c>
      <c r="B14" s="32" t="s">
        <v>39</v>
      </c>
      <c r="C14" s="32" t="s">
        <v>40</v>
      </c>
      <c r="D14" s="33">
        <v>42</v>
      </c>
      <c r="E14" s="48">
        <v>38</v>
      </c>
      <c r="F14" s="15">
        <v>24</v>
      </c>
      <c r="G14" s="33"/>
      <c r="H14" s="33">
        <f t="shared" si="7"/>
        <v>56</v>
      </c>
      <c r="I14" s="33">
        <f t="shared" si="8"/>
        <v>0</v>
      </c>
      <c r="J14" s="33">
        <f t="shared" si="9"/>
        <v>56</v>
      </c>
      <c r="K14" s="33">
        <f t="shared" si="10"/>
        <v>0</v>
      </c>
      <c r="L14" s="34"/>
      <c r="M14" s="8">
        <v>14</v>
      </c>
      <c r="N14" s="8">
        <v>14</v>
      </c>
      <c r="O14" s="8"/>
      <c r="P14" s="8">
        <v>14</v>
      </c>
      <c r="Q14" s="8"/>
      <c r="R14" s="8">
        <v>14</v>
      </c>
      <c r="S14" s="8"/>
      <c r="T14" s="9"/>
      <c r="U14" s="9"/>
      <c r="V14" s="9"/>
      <c r="W14" s="9"/>
      <c r="X14" s="9"/>
      <c r="Y14" s="9"/>
      <c r="Z14" s="9"/>
      <c r="AA14" s="9"/>
      <c r="AB14" s="9"/>
      <c r="AC14" s="28"/>
      <c r="AD14" s="28">
        <f t="shared" si="0"/>
        <v>0</v>
      </c>
      <c r="AE14" s="28">
        <f t="shared" si="1"/>
        <v>-14</v>
      </c>
      <c r="AF14" s="28">
        <f t="shared" si="2"/>
        <v>-28</v>
      </c>
      <c r="AG14" s="28">
        <f t="shared" si="3"/>
        <v>-28</v>
      </c>
      <c r="AH14" s="28">
        <f t="shared" si="4"/>
        <v>-42</v>
      </c>
      <c r="AI14" s="28">
        <f t="shared" si="5"/>
        <v>-42</v>
      </c>
      <c r="AJ14" s="28">
        <f t="shared" si="6"/>
        <v>-56</v>
      </c>
    </row>
    <row r="15" spans="1:36" ht="21" x14ac:dyDescent="0.35">
      <c r="A15" s="32" t="s">
        <v>41</v>
      </c>
      <c r="B15" s="32" t="s">
        <v>42</v>
      </c>
      <c r="C15" s="32" t="s">
        <v>43</v>
      </c>
      <c r="D15" s="33">
        <v>28</v>
      </c>
      <c r="E15" s="48">
        <v>0</v>
      </c>
      <c r="F15" s="15">
        <v>22</v>
      </c>
      <c r="G15" s="33"/>
      <c r="H15" s="33">
        <f t="shared" si="7"/>
        <v>6</v>
      </c>
      <c r="I15" s="33">
        <f t="shared" si="8"/>
        <v>0</v>
      </c>
      <c r="J15" s="33">
        <f t="shared" si="9"/>
        <v>14</v>
      </c>
      <c r="K15" s="33">
        <f t="shared" si="10"/>
        <v>0</v>
      </c>
      <c r="L15" s="34"/>
      <c r="M15" s="8"/>
      <c r="N15" s="8"/>
      <c r="O15" s="8"/>
      <c r="P15" s="8"/>
      <c r="Q15" s="8"/>
      <c r="R15" s="8">
        <v>14</v>
      </c>
      <c r="S15" s="8"/>
      <c r="T15" s="9"/>
      <c r="U15" s="9"/>
      <c r="V15" s="9"/>
      <c r="W15" s="9"/>
      <c r="X15" s="9"/>
      <c r="Y15" s="9"/>
      <c r="Z15" s="9"/>
      <c r="AA15" s="9"/>
      <c r="AB15" s="9"/>
      <c r="AC15" s="28"/>
      <c r="AD15" s="28">
        <f t="shared" si="0"/>
        <v>0</v>
      </c>
      <c r="AE15" s="28">
        <f t="shared" si="1"/>
        <v>0</v>
      </c>
      <c r="AF15" s="28">
        <f t="shared" si="2"/>
        <v>0</v>
      </c>
      <c r="AG15" s="28">
        <f t="shared" si="3"/>
        <v>0</v>
      </c>
      <c r="AH15" s="28">
        <f t="shared" si="4"/>
        <v>0</v>
      </c>
      <c r="AI15" s="28">
        <f t="shared" si="5"/>
        <v>0</v>
      </c>
      <c r="AJ15" s="28">
        <f t="shared" si="6"/>
        <v>-14</v>
      </c>
    </row>
    <row r="16" spans="1:36" ht="21" x14ac:dyDescent="0.35">
      <c r="A16" s="32" t="s">
        <v>44</v>
      </c>
      <c r="B16" s="32" t="s">
        <v>45</v>
      </c>
      <c r="C16" s="32" t="s">
        <v>46</v>
      </c>
      <c r="D16" s="33">
        <v>84</v>
      </c>
      <c r="E16" s="48">
        <v>218</v>
      </c>
      <c r="F16" s="15">
        <v>69</v>
      </c>
      <c r="G16" s="33"/>
      <c r="H16" s="33">
        <f t="shared" si="7"/>
        <v>233</v>
      </c>
      <c r="I16" s="33">
        <f t="shared" si="8"/>
        <v>0</v>
      </c>
      <c r="J16" s="33">
        <f t="shared" si="9"/>
        <v>266</v>
      </c>
      <c r="K16" s="33">
        <f t="shared" si="10"/>
        <v>0</v>
      </c>
      <c r="L16" s="34"/>
      <c r="M16" s="8">
        <v>28</v>
      </c>
      <c r="N16" s="8">
        <v>56</v>
      </c>
      <c r="O16" s="8">
        <v>56</v>
      </c>
      <c r="P16" s="8">
        <v>28</v>
      </c>
      <c r="Q16" s="8">
        <v>56</v>
      </c>
      <c r="R16" s="8">
        <v>42</v>
      </c>
      <c r="S16" s="8"/>
      <c r="T16" s="9"/>
      <c r="U16" s="9"/>
      <c r="V16" s="9"/>
      <c r="W16" s="9"/>
      <c r="X16" s="9"/>
      <c r="Y16" s="9"/>
      <c r="Z16" s="9"/>
      <c r="AA16" s="9"/>
      <c r="AB16" s="9"/>
      <c r="AC16" s="28"/>
      <c r="AD16" s="28">
        <f t="shared" si="0"/>
        <v>0</v>
      </c>
      <c r="AE16" s="28">
        <f t="shared" si="1"/>
        <v>-28</v>
      </c>
      <c r="AF16" s="28">
        <f t="shared" si="2"/>
        <v>-84</v>
      </c>
      <c r="AG16" s="28">
        <f t="shared" si="3"/>
        <v>-140</v>
      </c>
      <c r="AH16" s="28">
        <f t="shared" si="4"/>
        <v>-168</v>
      </c>
      <c r="AI16" s="28">
        <f t="shared" si="5"/>
        <v>-224</v>
      </c>
      <c r="AJ16" s="28">
        <f t="shared" si="6"/>
        <v>-266</v>
      </c>
    </row>
    <row r="17" spans="1:36" ht="21" x14ac:dyDescent="0.35">
      <c r="A17" s="32" t="s">
        <v>47</v>
      </c>
      <c r="B17" s="32" t="s">
        <v>48</v>
      </c>
      <c r="C17" s="32" t="s">
        <v>49</v>
      </c>
      <c r="D17" s="33">
        <v>28</v>
      </c>
      <c r="E17" s="48">
        <v>37</v>
      </c>
      <c r="F17" s="15">
        <v>20</v>
      </c>
      <c r="G17" s="33"/>
      <c r="H17" s="33">
        <f t="shared" si="7"/>
        <v>45</v>
      </c>
      <c r="I17" s="33">
        <f t="shared" si="8"/>
        <v>0</v>
      </c>
      <c r="J17" s="33">
        <f t="shared" si="9"/>
        <v>56</v>
      </c>
      <c r="K17" s="33">
        <f t="shared" si="10"/>
        <v>0</v>
      </c>
      <c r="L17" s="34"/>
      <c r="M17" s="8">
        <v>14</v>
      </c>
      <c r="N17" s="8">
        <v>14</v>
      </c>
      <c r="O17" s="8"/>
      <c r="P17" s="8">
        <v>14</v>
      </c>
      <c r="Q17" s="8">
        <v>14</v>
      </c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28"/>
      <c r="AD17" s="28">
        <f t="shared" si="0"/>
        <v>0</v>
      </c>
      <c r="AE17" s="28">
        <f t="shared" si="1"/>
        <v>-14</v>
      </c>
      <c r="AF17" s="28">
        <f t="shared" si="2"/>
        <v>-28</v>
      </c>
      <c r="AG17" s="28">
        <f t="shared" si="3"/>
        <v>-28</v>
      </c>
      <c r="AH17" s="28">
        <f t="shared" si="4"/>
        <v>-42</v>
      </c>
      <c r="AI17" s="28">
        <f t="shared" si="5"/>
        <v>-56</v>
      </c>
      <c r="AJ17" s="28">
        <f t="shared" si="6"/>
        <v>-56</v>
      </c>
    </row>
    <row r="18" spans="1:36" ht="21" x14ac:dyDescent="0.35">
      <c r="A18" s="32" t="s">
        <v>50</v>
      </c>
      <c r="B18" s="32" t="s">
        <v>51</v>
      </c>
      <c r="C18" s="32" t="s">
        <v>52</v>
      </c>
      <c r="D18" s="33">
        <v>0</v>
      </c>
      <c r="E18" s="48">
        <v>0</v>
      </c>
      <c r="F18" s="15">
        <v>0</v>
      </c>
      <c r="G18" s="33"/>
      <c r="H18" s="33">
        <f t="shared" si="7"/>
        <v>0</v>
      </c>
      <c r="I18" s="33">
        <f t="shared" si="8"/>
        <v>0</v>
      </c>
      <c r="J18" s="33">
        <f t="shared" si="9"/>
        <v>0</v>
      </c>
      <c r="K18" s="33">
        <f t="shared" si="10"/>
        <v>0</v>
      </c>
      <c r="L18" s="34"/>
      <c r="M18" s="8"/>
      <c r="N18" s="8"/>
      <c r="O18" s="8"/>
      <c r="P18" s="8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28"/>
      <c r="AD18" s="28">
        <f t="shared" si="0"/>
        <v>0</v>
      </c>
      <c r="AE18" s="28">
        <f t="shared" si="1"/>
        <v>0</v>
      </c>
      <c r="AF18" s="28">
        <f t="shared" si="2"/>
        <v>0</v>
      </c>
      <c r="AG18" s="28">
        <f t="shared" si="3"/>
        <v>0</v>
      </c>
      <c r="AH18" s="28">
        <f t="shared" si="4"/>
        <v>0</v>
      </c>
      <c r="AI18" s="28">
        <f t="shared" si="5"/>
        <v>0</v>
      </c>
      <c r="AJ18" s="28">
        <f t="shared" si="6"/>
        <v>0</v>
      </c>
    </row>
    <row r="19" spans="1:36" ht="21" x14ac:dyDescent="0.35">
      <c r="A19" s="32" t="s">
        <v>53</v>
      </c>
      <c r="B19" s="32" t="s">
        <v>54</v>
      </c>
      <c r="C19" s="32" t="s">
        <v>55</v>
      </c>
      <c r="D19" s="33">
        <v>28</v>
      </c>
      <c r="E19" s="48">
        <v>0</v>
      </c>
      <c r="F19" s="15">
        <v>26</v>
      </c>
      <c r="G19" s="33"/>
      <c r="H19" s="33">
        <f t="shared" si="7"/>
        <v>2</v>
      </c>
      <c r="I19" s="33">
        <f t="shared" si="8"/>
        <v>2</v>
      </c>
      <c r="J19" s="33">
        <f t="shared" si="9"/>
        <v>0</v>
      </c>
      <c r="K19" s="33">
        <f t="shared" si="10"/>
        <v>0</v>
      </c>
      <c r="L19" s="34"/>
      <c r="M19" s="8"/>
      <c r="N19" s="8"/>
      <c r="O19" s="8"/>
      <c r="P19" s="8"/>
      <c r="Q19" s="8"/>
      <c r="R19" s="8"/>
      <c r="S19" s="8"/>
      <c r="T19" s="9"/>
      <c r="U19" s="9"/>
      <c r="V19" s="9"/>
      <c r="W19" s="9"/>
      <c r="X19" s="9"/>
      <c r="Y19" s="9"/>
      <c r="Z19" s="9"/>
      <c r="AA19" s="9"/>
      <c r="AB19" s="9"/>
      <c r="AC19" s="28"/>
      <c r="AD19" s="28">
        <f t="shared" si="0"/>
        <v>0</v>
      </c>
      <c r="AE19" s="28">
        <f t="shared" si="1"/>
        <v>0</v>
      </c>
      <c r="AF19" s="28">
        <f t="shared" si="2"/>
        <v>0</v>
      </c>
      <c r="AG19" s="28">
        <f t="shared" si="3"/>
        <v>0</v>
      </c>
      <c r="AH19" s="28">
        <f t="shared" si="4"/>
        <v>0</v>
      </c>
      <c r="AI19" s="28">
        <f t="shared" si="5"/>
        <v>0</v>
      </c>
      <c r="AJ19" s="28">
        <f t="shared" si="6"/>
        <v>0</v>
      </c>
    </row>
    <row r="20" spans="1:36" ht="21" x14ac:dyDescent="0.35">
      <c r="A20" s="32" t="s">
        <v>56</v>
      </c>
      <c r="B20" s="32" t="s">
        <v>57</v>
      </c>
      <c r="C20" s="32" t="s">
        <v>58</v>
      </c>
      <c r="D20" s="33">
        <v>28</v>
      </c>
      <c r="E20" s="48">
        <v>43</v>
      </c>
      <c r="F20" s="15">
        <v>40</v>
      </c>
      <c r="G20" s="33"/>
      <c r="H20" s="33">
        <f t="shared" si="7"/>
        <v>31</v>
      </c>
      <c r="I20" s="33">
        <f t="shared" si="8"/>
        <v>0</v>
      </c>
      <c r="J20" s="33">
        <f t="shared" si="9"/>
        <v>56</v>
      </c>
      <c r="K20" s="33">
        <f t="shared" si="10"/>
        <v>0</v>
      </c>
      <c r="L20" s="34"/>
      <c r="M20" s="8">
        <v>14</v>
      </c>
      <c r="N20" s="8"/>
      <c r="O20" s="8">
        <v>14</v>
      </c>
      <c r="P20" s="8">
        <v>14</v>
      </c>
      <c r="Q20" s="8">
        <v>14</v>
      </c>
      <c r="R20" s="8"/>
      <c r="S20" s="8"/>
      <c r="T20" s="9"/>
      <c r="U20" s="9"/>
      <c r="V20" s="9"/>
      <c r="W20" s="9"/>
      <c r="X20" s="9"/>
      <c r="Y20" s="9"/>
      <c r="Z20" s="9"/>
      <c r="AA20" s="9"/>
      <c r="AB20" s="9"/>
      <c r="AC20" s="28"/>
      <c r="AD20" s="28">
        <f t="shared" si="0"/>
        <v>0</v>
      </c>
      <c r="AE20" s="28">
        <f t="shared" si="1"/>
        <v>-14</v>
      </c>
      <c r="AF20" s="28">
        <f t="shared" si="2"/>
        <v>-14</v>
      </c>
      <c r="AG20" s="28">
        <f t="shared" si="3"/>
        <v>-28</v>
      </c>
      <c r="AH20" s="28">
        <f t="shared" si="4"/>
        <v>-42</v>
      </c>
      <c r="AI20" s="28">
        <f t="shared" si="5"/>
        <v>-56</v>
      </c>
      <c r="AJ20" s="28">
        <f t="shared" si="6"/>
        <v>-56</v>
      </c>
    </row>
    <row r="21" spans="1:36" ht="21" x14ac:dyDescent="0.35">
      <c r="A21" s="32" t="s">
        <v>59</v>
      </c>
      <c r="B21" s="32" t="s">
        <v>60</v>
      </c>
      <c r="C21" s="32" t="s">
        <v>61</v>
      </c>
      <c r="D21" s="33">
        <v>28</v>
      </c>
      <c r="E21" s="48">
        <v>27</v>
      </c>
      <c r="F21" s="15">
        <v>28</v>
      </c>
      <c r="G21" s="33"/>
      <c r="H21" s="33">
        <f t="shared" si="7"/>
        <v>27</v>
      </c>
      <c r="I21" s="33">
        <f t="shared" si="8"/>
        <v>0</v>
      </c>
      <c r="J21" s="33">
        <f t="shared" si="9"/>
        <v>28</v>
      </c>
      <c r="K21" s="33">
        <f t="shared" si="10"/>
        <v>0</v>
      </c>
      <c r="L21" s="34"/>
      <c r="M21" s="8"/>
      <c r="N21" s="8"/>
      <c r="O21" s="8">
        <v>14</v>
      </c>
      <c r="P21" s="8">
        <v>14</v>
      </c>
      <c r="Q21" s="8"/>
      <c r="R21" s="8"/>
      <c r="S21" s="8"/>
      <c r="T21" s="9"/>
      <c r="U21" s="9"/>
      <c r="V21" s="9"/>
      <c r="W21" s="9"/>
      <c r="X21" s="9"/>
      <c r="Y21" s="9"/>
      <c r="Z21" s="9"/>
      <c r="AA21" s="9"/>
      <c r="AB21" s="9"/>
      <c r="AC21" s="28"/>
      <c r="AD21" s="28">
        <f t="shared" si="0"/>
        <v>0</v>
      </c>
      <c r="AE21" s="28">
        <f t="shared" si="1"/>
        <v>0</v>
      </c>
      <c r="AF21" s="28">
        <f t="shared" si="2"/>
        <v>0</v>
      </c>
      <c r="AG21" s="28">
        <f t="shared" si="3"/>
        <v>-14</v>
      </c>
      <c r="AH21" s="28">
        <f t="shared" si="4"/>
        <v>-28</v>
      </c>
      <c r="AI21" s="28">
        <f t="shared" si="5"/>
        <v>-28</v>
      </c>
      <c r="AJ21" s="28">
        <f t="shared" si="6"/>
        <v>-28</v>
      </c>
    </row>
    <row r="22" spans="1:36" ht="16" x14ac:dyDescent="0.35">
      <c r="A22" s="35">
        <v>542474700122</v>
      </c>
      <c r="B22" s="32" t="s">
        <v>89</v>
      </c>
      <c r="C22" s="32" t="s">
        <v>90</v>
      </c>
      <c r="D22" s="33">
        <v>50</v>
      </c>
      <c r="E22" s="36">
        <v>0</v>
      </c>
      <c r="F22" s="33">
        <v>55</v>
      </c>
      <c r="G22" s="33"/>
      <c r="H22" s="33">
        <f t="shared" si="7"/>
        <v>0</v>
      </c>
      <c r="I22" s="33">
        <f t="shared" si="8"/>
        <v>0</v>
      </c>
      <c r="J22" s="33">
        <f t="shared" si="9"/>
        <v>0</v>
      </c>
      <c r="K22" s="33">
        <f t="shared" si="10"/>
        <v>0</v>
      </c>
      <c r="L22" s="34"/>
      <c r="M22" s="37"/>
      <c r="N22" s="37"/>
      <c r="O22" s="37"/>
      <c r="P22" s="22"/>
      <c r="Q22" s="22"/>
      <c r="R22" s="22"/>
      <c r="S22" s="22"/>
      <c r="T22" s="38"/>
      <c r="U22" s="38"/>
      <c r="V22" s="38"/>
      <c r="W22" s="38"/>
      <c r="X22" s="38"/>
      <c r="Y22" s="38"/>
      <c r="Z22" s="28"/>
      <c r="AA22" s="28"/>
      <c r="AB22" s="28"/>
      <c r="AC22" s="28"/>
      <c r="AD22" s="28">
        <f t="shared" si="0"/>
        <v>0</v>
      </c>
      <c r="AE22" s="28">
        <f t="shared" si="1"/>
        <v>0</v>
      </c>
      <c r="AF22" s="28">
        <f t="shared" si="2"/>
        <v>0</v>
      </c>
      <c r="AG22" s="28">
        <f t="shared" si="3"/>
        <v>0</v>
      </c>
      <c r="AH22" s="28">
        <f t="shared" si="4"/>
        <v>0</v>
      </c>
      <c r="AI22" s="28">
        <f t="shared" si="5"/>
        <v>0</v>
      </c>
      <c r="AJ22" s="28">
        <f t="shared" si="6"/>
        <v>0</v>
      </c>
    </row>
    <row r="23" spans="1:36" ht="16" x14ac:dyDescent="0.35">
      <c r="A23" s="35">
        <v>542463700115</v>
      </c>
      <c r="B23" s="32" t="s">
        <v>91</v>
      </c>
      <c r="C23" s="32" t="s">
        <v>92</v>
      </c>
      <c r="D23" s="33">
        <v>50</v>
      </c>
      <c r="E23" s="36">
        <v>0</v>
      </c>
      <c r="F23" s="33">
        <v>60</v>
      </c>
      <c r="G23" s="33"/>
      <c r="H23" s="33">
        <f t="shared" si="7"/>
        <v>0</v>
      </c>
      <c r="I23" s="33">
        <f t="shared" si="8"/>
        <v>0</v>
      </c>
      <c r="J23" s="33">
        <f t="shared" si="9"/>
        <v>0</v>
      </c>
      <c r="K23" s="33">
        <f t="shared" si="10"/>
        <v>0</v>
      </c>
      <c r="L23" s="34"/>
      <c r="M23" s="37"/>
      <c r="N23" s="37"/>
      <c r="O23" s="37"/>
      <c r="P23" s="22"/>
      <c r="Q23" s="22"/>
      <c r="R23" s="22"/>
      <c r="S23" s="22"/>
      <c r="T23" s="38"/>
      <c r="U23" s="38"/>
      <c r="V23" s="38"/>
      <c r="W23" s="38"/>
      <c r="X23" s="38"/>
      <c r="Y23" s="38"/>
      <c r="Z23" s="28"/>
      <c r="AA23" s="28"/>
      <c r="AB23" s="28"/>
      <c r="AC23" s="28"/>
      <c r="AD23" s="28">
        <f t="shared" si="0"/>
        <v>0</v>
      </c>
      <c r="AE23" s="28">
        <f t="shared" si="1"/>
        <v>0</v>
      </c>
      <c r="AF23" s="28">
        <f t="shared" si="2"/>
        <v>0</v>
      </c>
      <c r="AG23" s="28">
        <f t="shared" si="3"/>
        <v>0</v>
      </c>
      <c r="AH23" s="28">
        <f t="shared" si="4"/>
        <v>0</v>
      </c>
      <c r="AI23" s="28">
        <f t="shared" si="5"/>
        <v>0</v>
      </c>
      <c r="AJ23" s="28">
        <f t="shared" si="6"/>
        <v>0</v>
      </c>
    </row>
    <row r="24" spans="1:36" ht="16" x14ac:dyDescent="0.35">
      <c r="A24" s="35">
        <v>542463700114</v>
      </c>
      <c r="B24" s="32" t="s">
        <v>93</v>
      </c>
      <c r="C24" s="32" t="s">
        <v>94</v>
      </c>
      <c r="D24" s="33">
        <v>50</v>
      </c>
      <c r="E24" s="36">
        <v>0</v>
      </c>
      <c r="F24" s="33">
        <v>42</v>
      </c>
      <c r="G24" s="33"/>
      <c r="H24" s="33">
        <f t="shared" si="7"/>
        <v>8</v>
      </c>
      <c r="I24" s="33">
        <f t="shared" si="8"/>
        <v>8</v>
      </c>
      <c r="J24" s="33">
        <f t="shared" si="9"/>
        <v>0</v>
      </c>
      <c r="K24" s="33">
        <f t="shared" si="10"/>
        <v>0</v>
      </c>
      <c r="L24" s="34"/>
      <c r="M24" s="37"/>
      <c r="N24" s="37"/>
      <c r="O24" s="37"/>
      <c r="P24" s="22"/>
      <c r="Q24" s="22"/>
      <c r="R24" s="22"/>
      <c r="S24" s="22"/>
      <c r="T24" s="38"/>
      <c r="U24" s="38"/>
      <c r="V24" s="38"/>
      <c r="W24" s="38"/>
      <c r="X24" s="38"/>
      <c r="Y24" s="38"/>
      <c r="Z24" s="28"/>
      <c r="AA24" s="28"/>
      <c r="AB24" s="28"/>
      <c r="AC24" s="28"/>
      <c r="AD24" s="28">
        <f t="shared" si="0"/>
        <v>0</v>
      </c>
      <c r="AE24" s="28">
        <f t="shared" si="1"/>
        <v>0</v>
      </c>
      <c r="AF24" s="28">
        <f t="shared" si="2"/>
        <v>0</v>
      </c>
      <c r="AG24" s="28">
        <f t="shared" si="3"/>
        <v>0</v>
      </c>
      <c r="AH24" s="28">
        <f t="shared" si="4"/>
        <v>0</v>
      </c>
      <c r="AI24" s="28">
        <f t="shared" si="5"/>
        <v>0</v>
      </c>
      <c r="AJ24" s="28">
        <f t="shared" si="6"/>
        <v>0</v>
      </c>
    </row>
    <row r="25" spans="1:36" ht="16" x14ac:dyDescent="0.35">
      <c r="A25" s="35">
        <v>542472700140</v>
      </c>
      <c r="B25" s="32" t="s">
        <v>95</v>
      </c>
      <c r="C25" s="32" t="s">
        <v>96</v>
      </c>
      <c r="D25" s="33">
        <v>50</v>
      </c>
      <c r="E25" s="36">
        <v>0</v>
      </c>
      <c r="F25" s="33">
        <v>60</v>
      </c>
      <c r="G25" s="33"/>
      <c r="H25" s="33">
        <f t="shared" si="7"/>
        <v>0</v>
      </c>
      <c r="I25" s="33">
        <f t="shared" si="8"/>
        <v>0</v>
      </c>
      <c r="J25" s="33">
        <f t="shared" si="9"/>
        <v>0</v>
      </c>
      <c r="K25" s="33">
        <f t="shared" si="10"/>
        <v>0</v>
      </c>
      <c r="L25" s="34"/>
      <c r="M25" s="37"/>
      <c r="N25" s="37"/>
      <c r="O25" s="37"/>
      <c r="P25" s="22"/>
      <c r="Q25" s="22"/>
      <c r="R25" s="22"/>
      <c r="S25" s="22"/>
      <c r="T25" s="38"/>
      <c r="U25" s="38"/>
      <c r="V25" s="38"/>
      <c r="W25" s="38"/>
      <c r="X25" s="38"/>
      <c r="Y25" s="38"/>
      <c r="Z25" s="28"/>
      <c r="AA25" s="28"/>
      <c r="AB25" s="28"/>
      <c r="AC25" s="28"/>
      <c r="AD25" s="28">
        <f t="shared" si="0"/>
        <v>0</v>
      </c>
      <c r="AE25" s="28">
        <f t="shared" si="1"/>
        <v>0</v>
      </c>
      <c r="AF25" s="28">
        <f t="shared" si="2"/>
        <v>0</v>
      </c>
      <c r="AG25" s="28">
        <f t="shared" si="3"/>
        <v>0</v>
      </c>
      <c r="AH25" s="28">
        <f t="shared" si="4"/>
        <v>0</v>
      </c>
      <c r="AI25" s="28">
        <f t="shared" si="5"/>
        <v>0</v>
      </c>
      <c r="AJ25" s="28">
        <f t="shared" si="6"/>
        <v>0</v>
      </c>
    </row>
    <row r="26" spans="1:36" ht="16" x14ac:dyDescent="0.35">
      <c r="A26" s="35">
        <v>542472700139</v>
      </c>
      <c r="B26" s="32" t="s">
        <v>97</v>
      </c>
      <c r="C26" s="32" t="s">
        <v>98</v>
      </c>
      <c r="D26" s="33">
        <v>50</v>
      </c>
      <c r="E26" s="36">
        <v>0</v>
      </c>
      <c r="F26" s="33">
        <v>40</v>
      </c>
      <c r="G26" s="33"/>
      <c r="H26" s="33">
        <f t="shared" si="7"/>
        <v>10</v>
      </c>
      <c r="I26" s="33">
        <f t="shared" si="8"/>
        <v>10</v>
      </c>
      <c r="J26" s="33">
        <f t="shared" si="9"/>
        <v>0</v>
      </c>
      <c r="K26" s="33">
        <f t="shared" si="10"/>
        <v>0</v>
      </c>
      <c r="L26" s="34"/>
      <c r="M26" s="37"/>
      <c r="N26" s="37"/>
      <c r="O26" s="37"/>
      <c r="P26" s="22"/>
      <c r="Q26" s="22"/>
      <c r="R26" s="22"/>
      <c r="S26" s="22"/>
      <c r="T26" s="38"/>
      <c r="U26" s="38"/>
      <c r="V26" s="38"/>
      <c r="W26" s="38"/>
      <c r="X26" s="38"/>
      <c r="Y26" s="38"/>
      <c r="Z26" s="28"/>
      <c r="AA26" s="28"/>
      <c r="AB26" s="28"/>
      <c r="AC26" s="28"/>
      <c r="AD26" s="28">
        <f t="shared" si="0"/>
        <v>0</v>
      </c>
      <c r="AE26" s="28">
        <f t="shared" si="1"/>
        <v>0</v>
      </c>
      <c r="AF26" s="28">
        <f t="shared" si="2"/>
        <v>0</v>
      </c>
      <c r="AG26" s="28">
        <f t="shared" si="3"/>
        <v>0</v>
      </c>
      <c r="AH26" s="28">
        <f t="shared" si="4"/>
        <v>0</v>
      </c>
      <c r="AI26" s="28">
        <f t="shared" si="5"/>
        <v>0</v>
      </c>
      <c r="AJ26" s="28">
        <f t="shared" si="6"/>
        <v>0</v>
      </c>
    </row>
    <row r="27" spans="1:36" ht="16" x14ac:dyDescent="0.35">
      <c r="A27" s="35">
        <v>542473700124</v>
      </c>
      <c r="B27" s="32" t="s">
        <v>99</v>
      </c>
      <c r="C27" s="32" t="s">
        <v>100</v>
      </c>
      <c r="D27" s="33">
        <v>50</v>
      </c>
      <c r="E27" s="36">
        <v>0</v>
      </c>
      <c r="F27" s="33">
        <v>35</v>
      </c>
      <c r="G27" s="33"/>
      <c r="H27" s="33">
        <f t="shared" si="7"/>
        <v>15</v>
      </c>
      <c r="I27" s="33">
        <f t="shared" si="8"/>
        <v>15</v>
      </c>
      <c r="J27" s="33">
        <f t="shared" si="9"/>
        <v>0</v>
      </c>
      <c r="K27" s="33">
        <f t="shared" si="10"/>
        <v>0</v>
      </c>
      <c r="L27" s="34"/>
      <c r="M27" s="37"/>
      <c r="N27" s="37"/>
      <c r="O27" s="37"/>
      <c r="P27" s="22"/>
      <c r="Q27" s="22"/>
      <c r="R27" s="22"/>
      <c r="S27" s="22"/>
      <c r="T27" s="38"/>
      <c r="U27" s="38"/>
      <c r="V27" s="38"/>
      <c r="W27" s="38"/>
      <c r="X27" s="38"/>
      <c r="Y27" s="38"/>
      <c r="Z27" s="28"/>
      <c r="AA27" s="28"/>
      <c r="AB27" s="28"/>
      <c r="AC27" s="28"/>
      <c r="AD27" s="28">
        <f t="shared" si="0"/>
        <v>0</v>
      </c>
      <c r="AE27" s="28">
        <f t="shared" si="1"/>
        <v>0</v>
      </c>
      <c r="AF27" s="28">
        <f t="shared" si="2"/>
        <v>0</v>
      </c>
      <c r="AG27" s="28">
        <f t="shared" si="3"/>
        <v>0</v>
      </c>
      <c r="AH27" s="28">
        <f t="shared" si="4"/>
        <v>0</v>
      </c>
      <c r="AI27" s="28">
        <f t="shared" si="5"/>
        <v>0</v>
      </c>
      <c r="AJ27" s="28">
        <f t="shared" si="6"/>
        <v>0</v>
      </c>
    </row>
    <row r="28" spans="1:36" ht="16" x14ac:dyDescent="0.35">
      <c r="A28" s="35">
        <v>542473700123</v>
      </c>
      <c r="B28" s="32" t="s">
        <v>101</v>
      </c>
      <c r="C28" s="32" t="s">
        <v>102</v>
      </c>
      <c r="D28" s="33">
        <v>50</v>
      </c>
      <c r="E28" s="36">
        <v>0</v>
      </c>
      <c r="F28" s="33">
        <v>36</v>
      </c>
      <c r="G28" s="33"/>
      <c r="H28" s="33">
        <f t="shared" si="7"/>
        <v>14</v>
      </c>
      <c r="I28" s="33">
        <f t="shared" si="8"/>
        <v>14</v>
      </c>
      <c r="J28" s="33">
        <f t="shared" si="9"/>
        <v>0</v>
      </c>
      <c r="K28" s="33">
        <f t="shared" si="10"/>
        <v>0</v>
      </c>
      <c r="L28" s="34"/>
      <c r="M28" s="37"/>
      <c r="N28" s="37"/>
      <c r="O28" s="37"/>
      <c r="P28" s="22"/>
      <c r="Q28" s="22"/>
      <c r="R28" s="22"/>
      <c r="S28" s="22"/>
      <c r="T28" s="38"/>
      <c r="U28" s="38"/>
      <c r="V28" s="38"/>
      <c r="W28" s="38"/>
      <c r="X28" s="38"/>
      <c r="Y28" s="38"/>
      <c r="Z28" s="28"/>
      <c r="AA28" s="28"/>
      <c r="AB28" s="28"/>
      <c r="AC28" s="28"/>
      <c r="AD28" s="28">
        <f t="shared" si="0"/>
        <v>0</v>
      </c>
      <c r="AE28" s="28">
        <f t="shared" si="1"/>
        <v>0</v>
      </c>
      <c r="AF28" s="28">
        <f t="shared" si="2"/>
        <v>0</v>
      </c>
      <c r="AG28" s="28">
        <f t="shared" si="3"/>
        <v>0</v>
      </c>
      <c r="AH28" s="28">
        <f t="shared" si="4"/>
        <v>0</v>
      </c>
      <c r="AI28" s="28">
        <f t="shared" si="5"/>
        <v>0</v>
      </c>
      <c r="AJ28" s="28">
        <f t="shared" si="6"/>
        <v>0</v>
      </c>
    </row>
    <row r="29" spans="1:36" ht="16" x14ac:dyDescent="0.35">
      <c r="A29" s="39">
        <v>542488100121</v>
      </c>
      <c r="B29" s="40" t="s">
        <v>103</v>
      </c>
      <c r="C29" s="40" t="s">
        <v>104</v>
      </c>
      <c r="D29" s="33">
        <v>50</v>
      </c>
      <c r="E29" s="36">
        <v>0</v>
      </c>
      <c r="F29" s="8">
        <v>250</v>
      </c>
      <c r="G29" s="33"/>
      <c r="H29" s="33">
        <f t="shared" si="7"/>
        <v>0</v>
      </c>
      <c r="I29" s="33">
        <f t="shared" si="8"/>
        <v>0</v>
      </c>
      <c r="J29" s="33">
        <f t="shared" si="9"/>
        <v>0</v>
      </c>
      <c r="K29" s="33">
        <f t="shared" si="10"/>
        <v>0</v>
      </c>
      <c r="L29" s="34"/>
      <c r="M29" s="37"/>
      <c r="N29" s="37"/>
      <c r="O29" s="37"/>
      <c r="P29" s="22"/>
      <c r="Q29" s="22"/>
      <c r="R29" s="22"/>
      <c r="S29" s="22"/>
      <c r="T29" s="38"/>
      <c r="U29" s="38"/>
      <c r="V29" s="38"/>
      <c r="W29" s="38"/>
      <c r="X29" s="38"/>
      <c r="Y29" s="38"/>
      <c r="Z29" s="28"/>
      <c r="AA29" s="28"/>
      <c r="AB29" s="28"/>
      <c r="AC29" s="28"/>
      <c r="AD29" s="28">
        <f t="shared" si="0"/>
        <v>0</v>
      </c>
      <c r="AE29" s="28">
        <f t="shared" si="1"/>
        <v>0</v>
      </c>
      <c r="AF29" s="28">
        <f t="shared" si="2"/>
        <v>0</v>
      </c>
      <c r="AG29" s="28">
        <f t="shared" si="3"/>
        <v>0</v>
      </c>
      <c r="AH29" s="28">
        <f t="shared" si="4"/>
        <v>0</v>
      </c>
      <c r="AI29" s="28">
        <f t="shared" si="5"/>
        <v>0</v>
      </c>
      <c r="AJ29" s="28">
        <f t="shared" si="6"/>
        <v>0</v>
      </c>
    </row>
    <row r="30" spans="1:36" ht="16" x14ac:dyDescent="0.35">
      <c r="A30" s="39">
        <v>542488100120</v>
      </c>
      <c r="B30" s="40" t="s">
        <v>105</v>
      </c>
      <c r="C30" s="40" t="s">
        <v>106</v>
      </c>
      <c r="D30" s="33">
        <v>50</v>
      </c>
      <c r="E30" s="36">
        <v>0</v>
      </c>
      <c r="F30" s="8">
        <v>50</v>
      </c>
      <c r="G30" s="33"/>
      <c r="H30" s="33">
        <f t="shared" si="7"/>
        <v>0</v>
      </c>
      <c r="I30" s="33">
        <f t="shared" si="8"/>
        <v>0</v>
      </c>
      <c r="J30" s="33">
        <f t="shared" si="9"/>
        <v>0</v>
      </c>
      <c r="K30" s="33">
        <f t="shared" si="10"/>
        <v>0</v>
      </c>
      <c r="L30" s="34"/>
      <c r="M30" s="37"/>
      <c r="N30" s="37"/>
      <c r="O30" s="37"/>
      <c r="P30" s="22"/>
      <c r="Q30" s="22"/>
      <c r="R30" s="22"/>
      <c r="S30" s="22"/>
      <c r="T30" s="38"/>
      <c r="U30" s="38"/>
      <c r="V30" s="38"/>
      <c r="W30" s="38"/>
      <c r="X30" s="38"/>
      <c r="Y30" s="38"/>
      <c r="Z30" s="28"/>
      <c r="AA30" s="28"/>
      <c r="AB30" s="28"/>
      <c r="AC30" s="28"/>
      <c r="AD30" s="28">
        <f t="shared" si="0"/>
        <v>0</v>
      </c>
      <c r="AE30" s="28">
        <f t="shared" si="1"/>
        <v>0</v>
      </c>
      <c r="AF30" s="28">
        <f t="shared" si="2"/>
        <v>0</v>
      </c>
      <c r="AG30" s="28">
        <f t="shared" si="3"/>
        <v>0</v>
      </c>
      <c r="AH30" s="28">
        <f t="shared" si="4"/>
        <v>0</v>
      </c>
      <c r="AI30" s="28">
        <f t="shared" si="5"/>
        <v>0</v>
      </c>
      <c r="AJ30" s="28">
        <f t="shared" si="6"/>
        <v>0</v>
      </c>
    </row>
    <row r="31" spans="1:36" ht="16" x14ac:dyDescent="0.35">
      <c r="A31" s="39">
        <v>542488100123</v>
      </c>
      <c r="B31" s="40" t="s">
        <v>107</v>
      </c>
      <c r="C31" s="40" t="s">
        <v>108</v>
      </c>
      <c r="D31" s="33">
        <v>50</v>
      </c>
      <c r="E31" s="36">
        <v>0</v>
      </c>
      <c r="F31" s="8">
        <v>70</v>
      </c>
      <c r="G31" s="33"/>
      <c r="H31" s="33">
        <f t="shared" si="7"/>
        <v>0</v>
      </c>
      <c r="I31" s="33">
        <f t="shared" si="8"/>
        <v>0</v>
      </c>
      <c r="J31" s="33">
        <f t="shared" si="9"/>
        <v>0</v>
      </c>
      <c r="K31" s="33">
        <f t="shared" si="10"/>
        <v>0</v>
      </c>
      <c r="L31" s="34"/>
      <c r="M31" s="37"/>
      <c r="N31" s="37"/>
      <c r="O31" s="37"/>
      <c r="P31" s="22"/>
      <c r="Q31" s="22"/>
      <c r="R31" s="22"/>
      <c r="S31" s="22"/>
      <c r="T31" s="38"/>
      <c r="U31" s="38"/>
      <c r="V31" s="38"/>
      <c r="W31" s="38"/>
      <c r="X31" s="38"/>
      <c r="Y31" s="38"/>
      <c r="Z31" s="28"/>
      <c r="AA31" s="28"/>
      <c r="AB31" s="28"/>
      <c r="AC31" s="28"/>
      <c r="AD31" s="28">
        <f t="shared" si="0"/>
        <v>0</v>
      </c>
      <c r="AE31" s="28">
        <f t="shared" si="1"/>
        <v>0</v>
      </c>
      <c r="AF31" s="28">
        <f t="shared" si="2"/>
        <v>0</v>
      </c>
      <c r="AG31" s="28">
        <f t="shared" si="3"/>
        <v>0</v>
      </c>
      <c r="AH31" s="28">
        <f t="shared" si="4"/>
        <v>0</v>
      </c>
      <c r="AI31" s="28">
        <f t="shared" si="5"/>
        <v>0</v>
      </c>
      <c r="AJ31" s="28">
        <f t="shared" si="6"/>
        <v>0</v>
      </c>
    </row>
    <row r="32" spans="1:36" ht="16" x14ac:dyDescent="0.35">
      <c r="A32" s="39">
        <v>542488100122</v>
      </c>
      <c r="B32" s="40" t="s">
        <v>109</v>
      </c>
      <c r="C32" s="40" t="s">
        <v>110</v>
      </c>
      <c r="D32" s="33">
        <v>50</v>
      </c>
      <c r="E32" s="36">
        <v>0</v>
      </c>
      <c r="F32" s="8">
        <v>30</v>
      </c>
      <c r="G32" s="33"/>
      <c r="H32" s="33">
        <f t="shared" si="7"/>
        <v>20</v>
      </c>
      <c r="I32" s="33">
        <f t="shared" si="8"/>
        <v>20</v>
      </c>
      <c r="J32" s="33">
        <f t="shared" si="9"/>
        <v>0</v>
      </c>
      <c r="K32" s="33">
        <f t="shared" si="10"/>
        <v>0</v>
      </c>
      <c r="L32" s="34"/>
      <c r="M32" s="37"/>
      <c r="N32" s="37"/>
      <c r="O32" s="37"/>
      <c r="P32" s="22"/>
      <c r="Q32" s="22"/>
      <c r="R32" s="22"/>
      <c r="S32" s="22"/>
      <c r="T32" s="38"/>
      <c r="U32" s="38"/>
      <c r="V32" s="38"/>
      <c r="W32" s="38"/>
      <c r="X32" s="38"/>
      <c r="Y32" s="38"/>
      <c r="Z32" s="28"/>
      <c r="AA32" s="28"/>
      <c r="AB32" s="28"/>
      <c r="AC32" s="28"/>
      <c r="AD32" s="28">
        <f t="shared" si="0"/>
        <v>0</v>
      </c>
      <c r="AE32" s="28">
        <f t="shared" si="1"/>
        <v>0</v>
      </c>
      <c r="AF32" s="28">
        <f t="shared" si="2"/>
        <v>0</v>
      </c>
      <c r="AG32" s="28">
        <f t="shared" si="3"/>
        <v>0</v>
      </c>
      <c r="AH32" s="28">
        <f t="shared" si="4"/>
        <v>0</v>
      </c>
      <c r="AI32" s="28">
        <f t="shared" si="5"/>
        <v>0</v>
      </c>
      <c r="AJ32" s="28">
        <f t="shared" si="6"/>
        <v>0</v>
      </c>
    </row>
    <row r="33" spans="1:36" ht="16" x14ac:dyDescent="0.35">
      <c r="A33" s="35">
        <v>542490600102</v>
      </c>
      <c r="B33" s="32" t="s">
        <v>111</v>
      </c>
      <c r="C33" s="32" t="s">
        <v>112</v>
      </c>
      <c r="D33" s="33">
        <v>50</v>
      </c>
      <c r="E33" s="36">
        <v>0</v>
      </c>
      <c r="F33" s="33">
        <v>40</v>
      </c>
      <c r="G33" s="33"/>
      <c r="H33" s="33">
        <f t="shared" si="7"/>
        <v>10</v>
      </c>
      <c r="I33" s="33">
        <f t="shared" si="8"/>
        <v>10</v>
      </c>
      <c r="J33" s="33">
        <f t="shared" si="9"/>
        <v>0</v>
      </c>
      <c r="K33" s="33">
        <f t="shared" si="10"/>
        <v>0</v>
      </c>
      <c r="L33" s="34"/>
      <c r="M33" s="37"/>
      <c r="N33" s="37"/>
      <c r="O33" s="37"/>
      <c r="P33" s="22"/>
      <c r="Q33" s="22"/>
      <c r="R33" s="22"/>
      <c r="S33" s="22"/>
      <c r="T33" s="38"/>
      <c r="U33" s="38"/>
      <c r="V33" s="38"/>
      <c r="W33" s="38"/>
      <c r="X33" s="38"/>
      <c r="Y33" s="38"/>
      <c r="Z33" s="28"/>
      <c r="AA33" s="28"/>
      <c r="AB33" s="28"/>
      <c r="AC33" s="28"/>
      <c r="AD33" s="28">
        <f t="shared" si="0"/>
        <v>0</v>
      </c>
      <c r="AE33" s="28">
        <f t="shared" si="1"/>
        <v>0</v>
      </c>
      <c r="AF33" s="28">
        <f t="shared" si="2"/>
        <v>0</v>
      </c>
      <c r="AG33" s="28">
        <f t="shared" si="3"/>
        <v>0</v>
      </c>
      <c r="AH33" s="28">
        <f t="shared" si="4"/>
        <v>0</v>
      </c>
      <c r="AI33" s="28">
        <f t="shared" si="5"/>
        <v>0</v>
      </c>
      <c r="AJ33" s="28">
        <f t="shared" si="6"/>
        <v>0</v>
      </c>
    </row>
    <row r="34" spans="1:36" ht="16" x14ac:dyDescent="0.35">
      <c r="A34" s="35">
        <v>542490600101</v>
      </c>
      <c r="B34" s="32" t="s">
        <v>113</v>
      </c>
      <c r="C34" s="32" t="s">
        <v>114</v>
      </c>
      <c r="D34" s="33">
        <v>50</v>
      </c>
      <c r="E34" s="36">
        <v>0</v>
      </c>
      <c r="F34" s="33">
        <v>40</v>
      </c>
      <c r="G34" s="33"/>
      <c r="H34" s="33">
        <f t="shared" si="7"/>
        <v>10</v>
      </c>
      <c r="I34" s="33">
        <f t="shared" si="8"/>
        <v>10</v>
      </c>
      <c r="J34" s="33">
        <f t="shared" si="9"/>
        <v>0</v>
      </c>
      <c r="K34" s="33">
        <f t="shared" si="10"/>
        <v>0</v>
      </c>
      <c r="L34" s="34"/>
      <c r="M34" s="37"/>
      <c r="N34" s="37"/>
      <c r="O34" s="37"/>
      <c r="P34" s="22"/>
      <c r="Q34" s="22"/>
      <c r="R34" s="22"/>
      <c r="S34" s="22"/>
      <c r="T34" s="38"/>
      <c r="U34" s="38"/>
      <c r="V34" s="38"/>
      <c r="W34" s="38"/>
      <c r="X34" s="38"/>
      <c r="Y34" s="38"/>
      <c r="Z34" s="28"/>
      <c r="AA34" s="28"/>
      <c r="AB34" s="28"/>
      <c r="AC34" s="28"/>
      <c r="AD34" s="28">
        <f t="shared" si="0"/>
        <v>0</v>
      </c>
      <c r="AE34" s="28">
        <f t="shared" si="1"/>
        <v>0</v>
      </c>
      <c r="AF34" s="28">
        <f t="shared" si="2"/>
        <v>0</v>
      </c>
      <c r="AG34" s="28">
        <f t="shared" si="3"/>
        <v>0</v>
      </c>
      <c r="AH34" s="28">
        <f t="shared" si="4"/>
        <v>0</v>
      </c>
      <c r="AI34" s="28">
        <f t="shared" si="5"/>
        <v>0</v>
      </c>
      <c r="AJ34" s="28">
        <f t="shared" si="6"/>
        <v>0</v>
      </c>
    </row>
    <row r="35" spans="1:36" ht="16" x14ac:dyDescent="0.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  <c r="M35" s="10">
        <v>0.33333333333333331</v>
      </c>
      <c r="N35" s="10">
        <v>0.41666666666666669</v>
      </c>
      <c r="O35" s="10">
        <v>0.5</v>
      </c>
      <c r="P35" s="10">
        <v>0.58333333333333337</v>
      </c>
      <c r="Q35" s="10">
        <v>0.66666666666666663</v>
      </c>
      <c r="R35" s="17"/>
      <c r="S35" s="8"/>
      <c r="T35" s="11"/>
      <c r="U35" s="11"/>
      <c r="V35" s="11"/>
      <c r="W35" s="11"/>
      <c r="X35" s="11"/>
      <c r="Y35" s="11"/>
      <c r="Z35" s="11"/>
      <c r="AA35" s="11"/>
      <c r="AB35" s="31"/>
      <c r="AC35" s="41"/>
      <c r="AD35" s="31" t="s">
        <v>88</v>
      </c>
      <c r="AE35" s="31">
        <v>0.27083333333333331</v>
      </c>
      <c r="AF35" s="31"/>
      <c r="AG35" s="31"/>
      <c r="AH35" s="31"/>
      <c r="AI35" s="31"/>
      <c r="AJ35" s="31"/>
    </row>
    <row r="36" spans="1:36" ht="21" x14ac:dyDescent="0.35">
      <c r="A36" s="32" t="s">
        <v>62</v>
      </c>
      <c r="B36" s="32" t="s">
        <v>63</v>
      </c>
      <c r="C36" s="32" t="s">
        <v>64</v>
      </c>
      <c r="D36" s="33">
        <v>80</v>
      </c>
      <c r="E36" s="48">
        <v>140</v>
      </c>
      <c r="F36" s="15">
        <v>76</v>
      </c>
      <c r="G36" s="33"/>
      <c r="H36" s="33">
        <f t="shared" si="7"/>
        <v>144</v>
      </c>
      <c r="I36" s="33">
        <f t="shared" si="8"/>
        <v>0</v>
      </c>
      <c r="J36" s="33">
        <f t="shared" si="9"/>
        <v>204</v>
      </c>
      <c r="K36" s="33">
        <f t="shared" si="10"/>
        <v>0</v>
      </c>
      <c r="L36" s="34"/>
      <c r="M36" s="8">
        <v>28</v>
      </c>
      <c r="N36" s="8">
        <v>32</v>
      </c>
      <c r="O36" s="8">
        <v>48</v>
      </c>
      <c r="P36" s="8">
        <v>48</v>
      </c>
      <c r="Q36" s="8">
        <v>48</v>
      </c>
      <c r="R36" s="19"/>
      <c r="S36" s="8"/>
      <c r="T36" s="9"/>
      <c r="U36" s="9"/>
      <c r="V36" s="20"/>
      <c r="W36" s="20"/>
      <c r="X36" s="20"/>
      <c r="Y36" s="20"/>
      <c r="Z36" s="20"/>
      <c r="AA36" s="20"/>
      <c r="AB36" s="42"/>
      <c r="AC36" s="28"/>
      <c r="AD36" s="28">
        <f t="shared" ref="AD36:AD41" si="11">SUM(T36:AC36)</f>
        <v>0</v>
      </c>
      <c r="AE36" s="28">
        <f t="shared" ref="AE36:AE41" si="12">T36-M36</f>
        <v>-28</v>
      </c>
      <c r="AF36" s="28">
        <f t="shared" ref="AF36:AF41" si="13">SUM(T36:U36)-SUM(M36:N36)</f>
        <v>-60</v>
      </c>
      <c r="AG36" s="28">
        <f t="shared" ref="AG36:AG41" si="14">SUM(T36:V36)-SUM(M36:O36)</f>
        <v>-108</v>
      </c>
      <c r="AH36" s="28">
        <f t="shared" ref="AH36:AH41" si="15">SUM(T36:Z36)-SUM(M36:P36)</f>
        <v>-156</v>
      </c>
      <c r="AI36" s="28">
        <f t="shared" ref="AI36:AI41" si="16">SUM(T36:AA36)-SUM(M36:Q36)</f>
        <v>-204</v>
      </c>
      <c r="AJ36" s="28">
        <f t="shared" ref="AJ36:AJ41" si="17">SUM(T36:AB36)-SUM(M36:R36)</f>
        <v>-204</v>
      </c>
    </row>
    <row r="37" spans="1:36" ht="21" x14ac:dyDescent="0.35">
      <c r="A37" s="32" t="s">
        <v>65</v>
      </c>
      <c r="B37" s="32" t="s">
        <v>66</v>
      </c>
      <c r="C37" s="32" t="s">
        <v>67</v>
      </c>
      <c r="D37" s="33">
        <v>32</v>
      </c>
      <c r="E37" s="48">
        <v>16</v>
      </c>
      <c r="F37" s="15">
        <v>40</v>
      </c>
      <c r="G37" s="33"/>
      <c r="H37" s="33">
        <f t="shared" si="7"/>
        <v>8</v>
      </c>
      <c r="I37" s="33">
        <f t="shared" si="8"/>
        <v>8</v>
      </c>
      <c r="J37" s="33">
        <f t="shared" si="9"/>
        <v>0</v>
      </c>
      <c r="K37" s="33">
        <f t="shared" si="10"/>
        <v>0</v>
      </c>
      <c r="L37" s="34"/>
      <c r="M37" s="8"/>
      <c r="N37" s="8"/>
      <c r="O37" s="8"/>
      <c r="P37" s="8"/>
      <c r="Q37" s="8"/>
      <c r="R37" s="22"/>
      <c r="S37" s="8"/>
      <c r="T37" s="9"/>
      <c r="U37" s="9"/>
      <c r="V37" s="9"/>
      <c r="W37" s="9"/>
      <c r="X37" s="9"/>
      <c r="Y37" s="9"/>
      <c r="Z37" s="9"/>
      <c r="AA37" s="9"/>
      <c r="AB37" s="27"/>
      <c r="AC37" s="28"/>
      <c r="AD37" s="28">
        <f t="shared" si="11"/>
        <v>0</v>
      </c>
      <c r="AE37" s="28">
        <f t="shared" si="12"/>
        <v>0</v>
      </c>
      <c r="AF37" s="28">
        <f t="shared" si="13"/>
        <v>0</v>
      </c>
      <c r="AG37" s="28">
        <f t="shared" si="14"/>
        <v>0</v>
      </c>
      <c r="AH37" s="28">
        <f t="shared" si="15"/>
        <v>0</v>
      </c>
      <c r="AI37" s="28">
        <f t="shared" si="16"/>
        <v>0</v>
      </c>
      <c r="AJ37" s="28">
        <f t="shared" si="17"/>
        <v>0</v>
      </c>
    </row>
    <row r="38" spans="1:36" ht="21" x14ac:dyDescent="0.35">
      <c r="A38" s="32" t="s">
        <v>68</v>
      </c>
      <c r="B38" s="32" t="s">
        <v>69</v>
      </c>
      <c r="C38" s="32" t="s">
        <v>70</v>
      </c>
      <c r="D38" s="33">
        <v>64</v>
      </c>
      <c r="E38" s="48">
        <v>140</v>
      </c>
      <c r="F38" s="15">
        <v>140</v>
      </c>
      <c r="G38" s="33"/>
      <c r="H38" s="33">
        <f t="shared" si="7"/>
        <v>64</v>
      </c>
      <c r="I38" s="33">
        <f t="shared" si="8"/>
        <v>0</v>
      </c>
      <c r="J38" s="33">
        <f t="shared" si="9"/>
        <v>156</v>
      </c>
      <c r="K38" s="33">
        <f t="shared" si="10"/>
        <v>0</v>
      </c>
      <c r="L38" s="34"/>
      <c r="M38" s="8">
        <v>12</v>
      </c>
      <c r="N38" s="8">
        <v>32</v>
      </c>
      <c r="O38" s="8">
        <v>32</v>
      </c>
      <c r="P38" s="8">
        <v>48</v>
      </c>
      <c r="Q38" s="8">
        <v>32</v>
      </c>
      <c r="R38" s="22"/>
      <c r="S38" s="8"/>
      <c r="T38" s="9"/>
      <c r="U38" s="9"/>
      <c r="V38" s="9"/>
      <c r="W38" s="9"/>
      <c r="X38" s="9"/>
      <c r="Y38" s="9"/>
      <c r="Z38" s="9"/>
      <c r="AA38" s="9"/>
      <c r="AB38" s="27"/>
      <c r="AC38" s="28"/>
      <c r="AD38" s="28">
        <f t="shared" si="11"/>
        <v>0</v>
      </c>
      <c r="AE38" s="28">
        <f t="shared" si="12"/>
        <v>-12</v>
      </c>
      <c r="AF38" s="28">
        <f t="shared" si="13"/>
        <v>-44</v>
      </c>
      <c r="AG38" s="28">
        <f t="shared" si="14"/>
        <v>-76</v>
      </c>
      <c r="AH38" s="28">
        <f t="shared" si="15"/>
        <v>-124</v>
      </c>
      <c r="AI38" s="28">
        <f t="shared" si="16"/>
        <v>-156</v>
      </c>
      <c r="AJ38" s="28">
        <f t="shared" si="17"/>
        <v>-156</v>
      </c>
    </row>
    <row r="39" spans="1:36" ht="21" x14ac:dyDescent="0.35">
      <c r="A39" s="32" t="s">
        <v>71</v>
      </c>
      <c r="B39" s="32" t="s">
        <v>72</v>
      </c>
      <c r="C39" s="32" t="s">
        <v>73</v>
      </c>
      <c r="D39" s="33">
        <v>32</v>
      </c>
      <c r="E39" s="48">
        <v>30</v>
      </c>
      <c r="F39" s="15">
        <v>40</v>
      </c>
      <c r="G39" s="33"/>
      <c r="H39" s="33">
        <f t="shared" si="7"/>
        <v>22</v>
      </c>
      <c r="I39" s="33">
        <f t="shared" si="8"/>
        <v>6</v>
      </c>
      <c r="J39" s="33">
        <f t="shared" si="9"/>
        <v>16</v>
      </c>
      <c r="K39" s="33">
        <f t="shared" si="10"/>
        <v>0</v>
      </c>
      <c r="L39" s="34"/>
      <c r="M39" s="8">
        <v>16</v>
      </c>
      <c r="N39" s="8"/>
      <c r="O39" s="8"/>
      <c r="P39" s="8"/>
      <c r="Q39" s="8"/>
      <c r="R39" s="23"/>
      <c r="S39" s="8"/>
      <c r="T39" s="9"/>
      <c r="U39" s="9"/>
      <c r="V39" s="9"/>
      <c r="W39" s="9"/>
      <c r="X39" s="9"/>
      <c r="Y39" s="9"/>
      <c r="Z39" s="9"/>
      <c r="AA39" s="9"/>
      <c r="AB39" s="27"/>
      <c r="AC39" s="28"/>
      <c r="AD39" s="28">
        <f t="shared" si="11"/>
        <v>0</v>
      </c>
      <c r="AE39" s="28">
        <f t="shared" si="12"/>
        <v>-16</v>
      </c>
      <c r="AF39" s="28">
        <f t="shared" si="13"/>
        <v>-16</v>
      </c>
      <c r="AG39" s="28">
        <f t="shared" si="14"/>
        <v>-16</v>
      </c>
      <c r="AH39" s="28">
        <f t="shared" si="15"/>
        <v>-16</v>
      </c>
      <c r="AI39" s="28">
        <f t="shared" si="16"/>
        <v>-16</v>
      </c>
      <c r="AJ39" s="28">
        <f t="shared" si="17"/>
        <v>-16</v>
      </c>
    </row>
    <row r="40" spans="1:36" ht="21" x14ac:dyDescent="0.4">
      <c r="A40" s="32" t="s">
        <v>74</v>
      </c>
      <c r="B40" s="32" t="s">
        <v>75</v>
      </c>
      <c r="C40" s="32" t="s">
        <v>76</v>
      </c>
      <c r="D40" s="33">
        <v>32</v>
      </c>
      <c r="E40" s="48">
        <v>11</v>
      </c>
      <c r="F40" s="15">
        <v>32</v>
      </c>
      <c r="G40" s="33"/>
      <c r="H40" s="33">
        <f t="shared" si="7"/>
        <v>11</v>
      </c>
      <c r="I40" s="33">
        <f t="shared" si="8"/>
        <v>0</v>
      </c>
      <c r="J40" s="33">
        <f t="shared" si="9"/>
        <v>32</v>
      </c>
      <c r="K40" s="33">
        <f t="shared" si="10"/>
        <v>0</v>
      </c>
      <c r="L40" s="34" t="s">
        <v>115</v>
      </c>
      <c r="M40" s="8"/>
      <c r="N40" s="8">
        <v>16</v>
      </c>
      <c r="O40" s="8">
        <v>16</v>
      </c>
      <c r="P40" s="8"/>
      <c r="Q40" s="8"/>
      <c r="R40" s="23"/>
      <c r="S40" s="22"/>
      <c r="T40" s="9"/>
      <c r="U40" s="9"/>
      <c r="V40" s="9"/>
      <c r="W40" s="9"/>
      <c r="X40" s="9"/>
      <c r="Y40" s="9"/>
      <c r="Z40" s="6"/>
      <c r="AA40" s="27"/>
      <c r="AB40" s="27"/>
      <c r="AC40" s="28"/>
      <c r="AD40" s="28">
        <f t="shared" si="11"/>
        <v>0</v>
      </c>
      <c r="AE40" s="28">
        <f t="shared" si="12"/>
        <v>0</v>
      </c>
      <c r="AF40" s="28">
        <f t="shared" si="13"/>
        <v>-16</v>
      </c>
      <c r="AG40" s="28">
        <f t="shared" si="14"/>
        <v>-32</v>
      </c>
      <c r="AH40" s="28">
        <f t="shared" si="15"/>
        <v>-32</v>
      </c>
      <c r="AI40" s="28">
        <f t="shared" si="16"/>
        <v>-32</v>
      </c>
      <c r="AJ40" s="28">
        <f t="shared" si="17"/>
        <v>-32</v>
      </c>
    </row>
    <row r="41" spans="1:36" ht="21" x14ac:dyDescent="0.4">
      <c r="A41" s="32" t="s">
        <v>128</v>
      </c>
      <c r="B41" s="32" t="s">
        <v>129</v>
      </c>
      <c r="C41" s="32"/>
      <c r="D41" s="33">
        <v>32</v>
      </c>
      <c r="E41" s="48">
        <v>4</v>
      </c>
      <c r="F41" s="15">
        <v>0</v>
      </c>
      <c r="G41" s="33"/>
      <c r="H41" s="33">
        <f t="shared" ref="H41" si="18">MAX(((D41+E41)-F41),0)</f>
        <v>36</v>
      </c>
      <c r="I41" s="33">
        <f t="shared" ref="I41" si="19">MAX(H41-(SUM(M41:R41)),0)</f>
        <v>4</v>
      </c>
      <c r="J41" s="33">
        <f t="shared" ref="J41" si="20">SUM(M41:S41)</f>
        <v>32</v>
      </c>
      <c r="K41" s="33">
        <f t="shared" ref="K41" si="21">SUM(T41:Z41)</f>
        <v>0</v>
      </c>
      <c r="L41" s="34" t="s">
        <v>115</v>
      </c>
      <c r="M41" s="8"/>
      <c r="N41" s="8">
        <v>16</v>
      </c>
      <c r="O41" s="8"/>
      <c r="P41" s="8"/>
      <c r="Q41" s="8">
        <v>16</v>
      </c>
      <c r="R41" s="23"/>
      <c r="S41" s="22"/>
      <c r="T41" s="9"/>
      <c r="U41" s="9"/>
      <c r="V41" s="9"/>
      <c r="W41" s="9"/>
      <c r="X41" s="9"/>
      <c r="Y41" s="9"/>
      <c r="Z41" s="6"/>
      <c r="AA41" s="27"/>
      <c r="AB41" s="27"/>
      <c r="AC41" s="28"/>
      <c r="AD41" s="28">
        <f t="shared" si="11"/>
        <v>0</v>
      </c>
      <c r="AE41" s="28">
        <f t="shared" si="12"/>
        <v>0</v>
      </c>
      <c r="AF41" s="28">
        <f t="shared" si="13"/>
        <v>-16</v>
      </c>
      <c r="AG41" s="28">
        <f t="shared" si="14"/>
        <v>-16</v>
      </c>
      <c r="AH41" s="28">
        <f t="shared" si="15"/>
        <v>-16</v>
      </c>
      <c r="AI41" s="28">
        <f t="shared" si="16"/>
        <v>-32</v>
      </c>
      <c r="AJ41" s="28">
        <f t="shared" si="17"/>
        <v>-32</v>
      </c>
    </row>
    <row r="45" spans="1:36" x14ac:dyDescent="0.35">
      <c r="A45">
        <v>27</v>
      </c>
    </row>
    <row r="46" spans="1:36" x14ac:dyDescent="0.35">
      <c r="A46">
        <v>32</v>
      </c>
    </row>
    <row r="47" spans="1:36" x14ac:dyDescent="0.35">
      <c r="A47">
        <v>16</v>
      </c>
    </row>
    <row r="48" spans="1:36" x14ac:dyDescent="0.35">
      <c r="A48">
        <v>12</v>
      </c>
    </row>
    <row r="49" spans="1:1" x14ac:dyDescent="0.35">
      <c r="A49">
        <v>21</v>
      </c>
    </row>
  </sheetData>
  <protectedRanges>
    <protectedRange sqref="R40:R41" name="Range1_1_2_1_2_1_1_1_1_1_1_1_1"/>
    <protectedRange sqref="R39" name="Range1_1_2_1_2_1_1_1_1_2_1_1_1"/>
    <protectedRange sqref="R36:R38" name="Range1_1_2_1_2_1_1_1_1_2_1_2_4_1_2"/>
    <protectedRange sqref="F22:F34" name="Range1_2_1"/>
    <protectedRange sqref="F13" name="Range1_5_1_1_1"/>
    <protectedRange sqref="F12" name="Range1_2_3_1_1_1"/>
    <protectedRange sqref="F7:F11" name="Range1_3_2_1"/>
  </protectedRanges>
  <mergeCells count="15">
    <mergeCell ref="M1:S1"/>
    <mergeCell ref="T1:AD1"/>
    <mergeCell ref="AE1:AJ1"/>
    <mergeCell ref="B2:C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</mergeCells>
  <conditionalFormatting sqref="I7:K41">
    <cfRule type="cellIs" dxfId="33" priority="5" operator="greaterThan">
      <formula>0</formula>
    </cfRule>
  </conditionalFormatting>
  <conditionalFormatting sqref="P39:P41">
    <cfRule type="cellIs" dxfId="32" priority="1" operator="lessThan">
      <formula>0</formula>
    </cfRule>
  </conditionalFormatting>
  <conditionalFormatting sqref="R40:R41">
    <cfRule type="cellIs" dxfId="31" priority="4" operator="lessThan">
      <formula>0</formula>
    </cfRule>
  </conditionalFormatting>
  <conditionalFormatting sqref="R36:S39">
    <cfRule type="cellIs" dxfId="30" priority="3" operator="lessThan">
      <formula>0</formula>
    </cfRule>
  </conditionalFormatting>
  <conditionalFormatting sqref="Z39">
    <cfRule type="cellIs" dxfId="29" priority="2" operator="lessThan">
      <formula>0</formula>
    </cfRule>
  </conditionalFormatting>
  <conditionalFormatting sqref="AA36:AA39">
    <cfRule type="cellIs" dxfId="28" priority="6" operator="lessThan">
      <formula>0</formula>
    </cfRule>
  </conditionalFormatting>
  <conditionalFormatting sqref="AE3:AJ3">
    <cfRule type="cellIs" dxfId="27" priority="7" operator="lessThan">
      <formula>0</formula>
    </cfRule>
  </conditionalFormatting>
  <conditionalFormatting sqref="AE7:AJ34 AE36:AJ41">
    <cfRule type="cellIs" dxfId="26" priority="8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98" orientation="landscape" horizontalDpi="200" verticalDpi="200" r:id="rId1"/>
  <headerFooter>
    <oddFooter>&amp;L_x000D_&amp;1#&amp;"Calibri Light"&amp;8&amp;K000000 Classified as Public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2B40-6E45-459E-B2B1-F467E0F8212E}">
  <sheetPr>
    <pageSetUpPr fitToPage="1"/>
  </sheetPr>
  <dimension ref="A1:W30"/>
  <sheetViews>
    <sheetView showZeros="0" zoomScale="70" zoomScaleNormal="70" workbookViewId="0">
      <pane xSplit="5" ySplit="6" topLeftCell="F7" activePane="bottomRight" state="frozen"/>
      <selection activeCell="M7" sqref="M7"/>
      <selection pane="topRight" activeCell="M7" sqref="M7"/>
      <selection pane="bottomLeft" activeCell="M7" sqref="M7"/>
      <selection pane="bottomRight" activeCell="Q8" sqref="Q8"/>
    </sheetView>
  </sheetViews>
  <sheetFormatPr defaultRowHeight="16" x14ac:dyDescent="0.4"/>
  <cols>
    <col min="1" max="1" width="18.26953125" style="1" bestFit="1" customWidth="1"/>
    <col min="2" max="2" width="18.54296875" style="1" bestFit="1" customWidth="1"/>
    <col min="3" max="3" width="17" style="1" customWidth="1"/>
    <col min="4" max="4" width="12.54296875" style="1" bestFit="1" customWidth="1"/>
    <col min="5" max="7" width="12" style="1" customWidth="1"/>
    <col min="8" max="8" width="9.08984375" style="1" customWidth="1"/>
    <col min="9" max="9" width="6.453125" style="1" bestFit="1" customWidth="1"/>
    <col min="10" max="15" width="6.36328125" style="1" customWidth="1"/>
    <col min="16" max="16" width="6.453125" style="1" bestFit="1" customWidth="1"/>
    <col min="17" max="23" width="6.36328125" style="1" customWidth="1"/>
    <col min="24" max="16384" width="8.7265625" style="1"/>
  </cols>
  <sheetData>
    <row r="1" spans="1:23" ht="18.5" x14ac:dyDescent="0.45">
      <c r="C1" s="2">
        <v>45919</v>
      </c>
      <c r="D1" s="60"/>
      <c r="H1" s="62" t="s">
        <v>0</v>
      </c>
      <c r="I1" s="62"/>
      <c r="J1" s="62"/>
      <c r="K1" s="62"/>
      <c r="L1" s="62"/>
      <c r="M1" s="62"/>
      <c r="N1" s="3"/>
      <c r="O1" s="63" t="s">
        <v>1</v>
      </c>
      <c r="P1" s="64"/>
      <c r="Q1" s="64"/>
      <c r="R1" s="64"/>
      <c r="S1" s="64"/>
      <c r="T1" s="64"/>
      <c r="U1" s="64"/>
      <c r="V1" s="64"/>
      <c r="W1" s="64"/>
    </row>
    <row r="2" spans="1:23" x14ac:dyDescent="0.4">
      <c r="B2" s="65"/>
      <c r="C2" s="66"/>
      <c r="D2" s="61"/>
      <c r="E2" s="4"/>
      <c r="F2" s="4"/>
      <c r="G2" s="4"/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O2" s="6" t="s">
        <v>2</v>
      </c>
      <c r="P2" s="6" t="s">
        <v>3</v>
      </c>
      <c r="Q2" s="6" t="s">
        <v>4</v>
      </c>
      <c r="R2" s="6" t="s">
        <v>5</v>
      </c>
      <c r="S2" s="6" t="s">
        <v>6</v>
      </c>
      <c r="T2" s="6" t="s">
        <v>7</v>
      </c>
      <c r="U2" s="6" t="s">
        <v>8</v>
      </c>
      <c r="V2" s="6" t="s">
        <v>9</v>
      </c>
      <c r="W2" s="6"/>
    </row>
    <row r="3" spans="1:23" x14ac:dyDescent="0.4">
      <c r="A3" s="59" t="s">
        <v>10</v>
      </c>
      <c r="B3" s="67" t="s">
        <v>11</v>
      </c>
      <c r="C3" s="67" t="s">
        <v>12</v>
      </c>
      <c r="D3" s="59" t="s">
        <v>13</v>
      </c>
      <c r="E3" s="7" t="s">
        <v>14</v>
      </c>
      <c r="F3" s="68" t="s">
        <v>122</v>
      </c>
      <c r="G3" s="68" t="s">
        <v>123</v>
      </c>
      <c r="H3" s="8">
        <f>'8-Sep'!M4</f>
        <v>0</v>
      </c>
      <c r="I3" s="8">
        <f>'8-Sep'!N4</f>
        <v>0</v>
      </c>
      <c r="J3" s="8">
        <f>'8-Sep'!O4</f>
        <v>0</v>
      </c>
      <c r="K3" s="8">
        <f>'8-Sep'!P4</f>
        <v>0</v>
      </c>
      <c r="L3" s="8">
        <f>'8-Sep'!Q4</f>
        <v>0</v>
      </c>
      <c r="M3" s="8">
        <f>'8-Sep'!R4</f>
        <v>0</v>
      </c>
      <c r="N3" s="8">
        <f>'8-Sep'!S4</f>
        <v>0</v>
      </c>
      <c r="O3" s="9">
        <f>'8-Sep'!T4</f>
        <v>0</v>
      </c>
      <c r="P3" s="9">
        <f>'8-Sep'!U4</f>
        <v>0</v>
      </c>
      <c r="Q3" s="9">
        <f>'8-Sep'!V4</f>
        <v>0</v>
      </c>
      <c r="R3" s="9">
        <f>'8-Sep'!W4</f>
        <v>0</v>
      </c>
      <c r="S3" s="9">
        <f>'8-Sep'!X4</f>
        <v>0</v>
      </c>
      <c r="T3" s="9">
        <f>'8-Sep'!Y4</f>
        <v>0</v>
      </c>
      <c r="U3" s="9">
        <f>'8-Sep'!Z4</f>
        <v>0</v>
      </c>
      <c r="V3" s="9"/>
      <c r="W3" s="9"/>
    </row>
    <row r="4" spans="1:23" x14ac:dyDescent="0.4">
      <c r="A4" s="59"/>
      <c r="B4" s="67"/>
      <c r="C4" s="67"/>
      <c r="D4" s="59"/>
      <c r="E4" s="7" t="s">
        <v>15</v>
      </c>
      <c r="F4" s="69"/>
      <c r="G4" s="69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</row>
    <row r="5" spans="1:23" x14ac:dyDescent="0.4">
      <c r="A5" s="59"/>
      <c r="B5" s="67"/>
      <c r="C5" s="67"/>
      <c r="D5" s="59"/>
      <c r="E5" s="7" t="s">
        <v>16</v>
      </c>
      <c r="F5" s="69"/>
      <c r="G5" s="69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</row>
    <row r="6" spans="1:23" ht="16" customHeight="1" x14ac:dyDescent="0.4">
      <c r="A6" s="59"/>
      <c r="B6" s="67"/>
      <c r="C6" s="67"/>
      <c r="D6" s="59"/>
      <c r="E6" s="7" t="s">
        <v>17</v>
      </c>
      <c r="F6" s="70"/>
      <c r="G6" s="70"/>
      <c r="H6" s="10">
        <v>0.33333333333333331</v>
      </c>
      <c r="I6" s="10">
        <v>0.41666666666666669</v>
      </c>
      <c r="J6" s="10">
        <v>0.625</v>
      </c>
      <c r="K6" s="10">
        <v>0.75</v>
      </c>
      <c r="L6" s="10">
        <v>0.83333333333333337</v>
      </c>
      <c r="M6" s="10"/>
      <c r="N6" s="10"/>
      <c r="O6" s="11">
        <v>0.41666666666666669</v>
      </c>
      <c r="P6" s="11">
        <v>0.44444444444444442</v>
      </c>
      <c r="Q6" s="11">
        <v>0.56944444444444442</v>
      </c>
      <c r="R6" s="11">
        <v>0.76041666666666663</v>
      </c>
      <c r="S6" s="11">
        <f>'8-Sep'!X6</f>
        <v>0</v>
      </c>
      <c r="T6" s="11">
        <f>'8-Sep'!Y6</f>
        <v>0</v>
      </c>
      <c r="U6" s="11">
        <f>'8-Sep'!Z6</f>
        <v>0</v>
      </c>
      <c r="V6" s="11"/>
      <c r="W6" s="12"/>
    </row>
    <row r="7" spans="1:23" ht="17.5" customHeight="1" x14ac:dyDescent="0.4">
      <c r="A7" s="13" t="s">
        <v>18</v>
      </c>
      <c r="B7" s="13" t="s">
        <v>19</v>
      </c>
      <c r="C7" s="13" t="s">
        <v>20</v>
      </c>
      <c r="D7" s="48">
        <v>11</v>
      </c>
      <c r="E7" s="15">
        <v>90</v>
      </c>
      <c r="F7" s="15">
        <f t="shared" ref="F7:F21" si="0">SUM(H7:N7)</f>
        <v>96</v>
      </c>
      <c r="G7" s="15">
        <f t="shared" ref="G7:G21" si="1">SUM(O7:U7)</f>
        <v>0</v>
      </c>
      <c r="H7" s="8"/>
      <c r="I7" s="8"/>
      <c r="J7" s="8"/>
      <c r="K7" s="8">
        <v>96</v>
      </c>
      <c r="L7" s="8"/>
      <c r="M7" s="8"/>
      <c r="N7" s="8">
        <f>'8-Sep'!S7</f>
        <v>0</v>
      </c>
      <c r="O7" s="9"/>
      <c r="P7" s="9"/>
      <c r="Q7" s="9"/>
      <c r="R7" s="9"/>
      <c r="S7" s="9">
        <f>VLOOKUP($A7,'8-Sep'!$A$3:$Z$45,24,0)</f>
        <v>0</v>
      </c>
      <c r="T7" s="9">
        <f>VLOOKUP($A7,'8-Sep'!$A$3:$Z$45,25,0)</f>
        <v>0</v>
      </c>
      <c r="U7" s="9">
        <f>VLOOKUP($A7,'8-Sep'!$A$3:$Z$45,26,0)</f>
        <v>0</v>
      </c>
      <c r="V7" s="9"/>
      <c r="W7" s="9"/>
    </row>
    <row r="8" spans="1:23" ht="17.5" customHeight="1" x14ac:dyDescent="0.4">
      <c r="A8" s="13" t="s">
        <v>21</v>
      </c>
      <c r="B8" s="13" t="s">
        <v>22</v>
      </c>
      <c r="C8" s="13" t="s">
        <v>23</v>
      </c>
      <c r="D8" s="48">
        <v>349</v>
      </c>
      <c r="E8" s="15">
        <v>250</v>
      </c>
      <c r="F8" s="15">
        <f t="shared" si="0"/>
        <v>384</v>
      </c>
      <c r="G8" s="15">
        <f t="shared" si="1"/>
        <v>384</v>
      </c>
      <c r="H8" s="8">
        <v>96</v>
      </c>
      <c r="I8" s="8">
        <v>96</v>
      </c>
      <c r="J8" s="8">
        <v>96</v>
      </c>
      <c r="K8" s="8">
        <v>96</v>
      </c>
      <c r="L8" s="8"/>
      <c r="M8" s="8"/>
      <c r="N8" s="8">
        <f>'8-Sep'!S8</f>
        <v>0</v>
      </c>
      <c r="O8" s="9">
        <v>96</v>
      </c>
      <c r="P8" s="9">
        <v>96</v>
      </c>
      <c r="Q8" s="9">
        <v>96</v>
      </c>
      <c r="R8" s="9">
        <v>96</v>
      </c>
      <c r="S8" s="9">
        <f>VLOOKUP($A8,'8-Sep'!$A$3:$Z$45,24,0)</f>
        <v>0</v>
      </c>
      <c r="T8" s="9">
        <f>VLOOKUP($A8,'8-Sep'!$A$3:$Z$45,25,0)</f>
        <v>0</v>
      </c>
      <c r="U8" s="9">
        <f>VLOOKUP($A8,'8-Sep'!$A$3:$Z$45,26,0)</f>
        <v>0</v>
      </c>
      <c r="V8" s="9"/>
      <c r="W8" s="9"/>
    </row>
    <row r="9" spans="1:23" ht="17.5" customHeight="1" x14ac:dyDescent="0.4">
      <c r="A9" s="13" t="s">
        <v>24</v>
      </c>
      <c r="B9" s="13" t="s">
        <v>25</v>
      </c>
      <c r="C9" s="13" t="s">
        <v>26</v>
      </c>
      <c r="D9" s="48">
        <v>40</v>
      </c>
      <c r="E9" s="15">
        <v>130</v>
      </c>
      <c r="F9" s="15">
        <f t="shared" si="0"/>
        <v>0</v>
      </c>
      <c r="G9" s="15">
        <f t="shared" si="1"/>
        <v>0</v>
      </c>
      <c r="H9" s="8"/>
      <c r="I9" s="8"/>
      <c r="J9" s="8"/>
      <c r="K9" s="8"/>
      <c r="L9" s="8"/>
      <c r="M9" s="8"/>
      <c r="N9" s="8">
        <f>'8-Sep'!S9</f>
        <v>0</v>
      </c>
      <c r="O9" s="9"/>
      <c r="P9" s="9"/>
      <c r="Q9" s="9"/>
      <c r="R9" s="9"/>
      <c r="S9" s="9">
        <f>VLOOKUP($A9,'8-Sep'!$A$3:$Z$45,24,0)</f>
        <v>0</v>
      </c>
      <c r="T9" s="9">
        <f>VLOOKUP($A9,'8-Sep'!$A$3:$Z$45,25,0)</f>
        <v>0</v>
      </c>
      <c r="U9" s="9">
        <f>VLOOKUP($A9,'8-Sep'!$A$3:$Z$45,26,0)</f>
        <v>0</v>
      </c>
      <c r="V9" s="9"/>
      <c r="W9" s="9"/>
    </row>
    <row r="10" spans="1:23" ht="17.5" customHeight="1" x14ac:dyDescent="0.4">
      <c r="A10" s="16" t="s">
        <v>27</v>
      </c>
      <c r="B10" s="13" t="s">
        <v>28</v>
      </c>
      <c r="C10" s="13" t="s">
        <v>29</v>
      </c>
      <c r="D10" s="48">
        <v>17</v>
      </c>
      <c r="E10" s="15">
        <v>140</v>
      </c>
      <c r="F10" s="15">
        <f t="shared" si="0"/>
        <v>0</v>
      </c>
      <c r="G10" s="15">
        <f t="shared" si="1"/>
        <v>0</v>
      </c>
      <c r="H10" s="8"/>
      <c r="I10" s="8"/>
      <c r="J10" s="8"/>
      <c r="K10" s="8"/>
      <c r="L10" s="8"/>
      <c r="M10" s="8"/>
      <c r="N10" s="8">
        <f>'8-Sep'!S10</f>
        <v>0</v>
      </c>
      <c r="O10" s="9"/>
      <c r="P10" s="9"/>
      <c r="Q10" s="9"/>
      <c r="R10" s="9"/>
      <c r="S10" s="9">
        <f>VLOOKUP($A10,'8-Sep'!$A$3:$Z$45,24,0)</f>
        <v>0</v>
      </c>
      <c r="T10" s="9">
        <f>VLOOKUP($A10,'8-Sep'!$A$3:$Z$45,25,0)</f>
        <v>0</v>
      </c>
      <c r="U10" s="9">
        <f>VLOOKUP($A10,'8-Sep'!$A$3:$Z$45,26,0)</f>
        <v>0</v>
      </c>
      <c r="V10" s="9"/>
      <c r="W10" s="9"/>
    </row>
    <row r="11" spans="1:23" ht="17.5" customHeight="1" x14ac:dyDescent="0.4">
      <c r="A11" s="13" t="s">
        <v>30</v>
      </c>
      <c r="B11" s="13" t="s">
        <v>31</v>
      </c>
      <c r="C11" s="13" t="s">
        <v>32</v>
      </c>
      <c r="D11" s="48">
        <v>221</v>
      </c>
      <c r="E11" s="15">
        <v>370</v>
      </c>
      <c r="F11" s="15">
        <f t="shared" si="0"/>
        <v>0</v>
      </c>
      <c r="G11" s="15">
        <f t="shared" si="1"/>
        <v>0</v>
      </c>
      <c r="H11" s="8"/>
      <c r="I11" s="8"/>
      <c r="J11" s="8"/>
      <c r="K11" s="8"/>
      <c r="L11" s="8"/>
      <c r="M11" s="8"/>
      <c r="N11" s="8">
        <f>'8-Sep'!S11</f>
        <v>0</v>
      </c>
      <c r="O11" s="9"/>
      <c r="P11" s="9"/>
      <c r="Q11" s="9"/>
      <c r="R11" s="9"/>
      <c r="S11" s="9">
        <f>VLOOKUP($A11,'8-Sep'!$A$3:$Z$45,24,0)</f>
        <v>0</v>
      </c>
      <c r="T11" s="9">
        <f>VLOOKUP($A11,'8-Sep'!$A$3:$Z$45,25,0)</f>
        <v>0</v>
      </c>
      <c r="U11" s="9">
        <f>VLOOKUP($A11,'8-Sep'!$A$3:$Z$45,26,0)</f>
        <v>0</v>
      </c>
      <c r="V11" s="9"/>
      <c r="W11" s="9"/>
    </row>
    <row r="12" spans="1:23" ht="17.5" customHeight="1" x14ac:dyDescent="0.4">
      <c r="A12" s="13" t="s">
        <v>33</v>
      </c>
      <c r="B12" s="13" t="s">
        <v>34</v>
      </c>
      <c r="C12" s="13" t="s">
        <v>35</v>
      </c>
      <c r="D12" s="48">
        <v>0</v>
      </c>
      <c r="E12" s="15">
        <v>280</v>
      </c>
      <c r="F12" s="15">
        <f t="shared" si="0"/>
        <v>0</v>
      </c>
      <c r="G12" s="15">
        <f t="shared" si="1"/>
        <v>0</v>
      </c>
      <c r="H12" s="8"/>
      <c r="I12" s="8"/>
      <c r="J12" s="8"/>
      <c r="K12" s="8"/>
      <c r="L12" s="8"/>
      <c r="M12" s="8"/>
      <c r="N12" s="8">
        <f>'8-Sep'!S12</f>
        <v>0</v>
      </c>
      <c r="O12" s="9"/>
      <c r="P12" s="9"/>
      <c r="Q12" s="9"/>
      <c r="R12" s="9"/>
      <c r="S12" s="9">
        <f>VLOOKUP($A12,'8-Sep'!$A$3:$Z$45,24,0)</f>
        <v>0</v>
      </c>
      <c r="T12" s="9">
        <f>VLOOKUP($A12,'8-Sep'!$A$3:$Z$45,25,0)</f>
        <v>0</v>
      </c>
      <c r="U12" s="9">
        <f>VLOOKUP($A12,'8-Sep'!$A$3:$Z$45,26,0)</f>
        <v>0</v>
      </c>
      <c r="V12" s="9"/>
      <c r="W12" s="9"/>
    </row>
    <row r="13" spans="1:23" ht="17.5" customHeight="1" x14ac:dyDescent="0.4">
      <c r="A13" s="13" t="s">
        <v>36</v>
      </c>
      <c r="B13" s="13" t="s">
        <v>37</v>
      </c>
      <c r="C13" s="13">
        <v>630131090</v>
      </c>
      <c r="D13" s="48">
        <v>40</v>
      </c>
      <c r="E13" s="15">
        <v>100</v>
      </c>
      <c r="F13" s="15">
        <f t="shared" si="0"/>
        <v>140</v>
      </c>
      <c r="G13" s="15">
        <f t="shared" si="1"/>
        <v>0</v>
      </c>
      <c r="H13" s="8"/>
      <c r="I13" s="8">
        <v>140</v>
      </c>
      <c r="J13" s="8"/>
      <c r="K13" s="8"/>
      <c r="L13" s="8"/>
      <c r="M13" s="8"/>
      <c r="N13" s="8">
        <f>'8-Sep'!S13</f>
        <v>0</v>
      </c>
      <c r="O13" s="9"/>
      <c r="P13" s="9"/>
      <c r="Q13" s="9"/>
      <c r="R13" s="9"/>
      <c r="S13" s="9">
        <f>VLOOKUP($A13,'8-Sep'!$A$3:$Z$45,24,0)</f>
        <v>0</v>
      </c>
      <c r="T13" s="9">
        <f>VLOOKUP($A13,'8-Sep'!$A$3:$Z$45,25,0)</f>
        <v>0</v>
      </c>
      <c r="U13" s="9">
        <f>VLOOKUP($A13,'8-Sep'!$A$3:$Z$45,26,0)</f>
        <v>0</v>
      </c>
      <c r="V13" s="9"/>
      <c r="W13" s="9"/>
    </row>
    <row r="14" spans="1:23" ht="17.5" customHeight="1" x14ac:dyDescent="0.4">
      <c r="A14" s="13" t="s">
        <v>38</v>
      </c>
      <c r="B14" s="13" t="s">
        <v>39</v>
      </c>
      <c r="C14" s="13" t="s">
        <v>40</v>
      </c>
      <c r="D14" s="48">
        <v>49</v>
      </c>
      <c r="E14" s="15">
        <v>40</v>
      </c>
      <c r="F14" s="15">
        <f t="shared" si="0"/>
        <v>56</v>
      </c>
      <c r="G14" s="15">
        <f t="shared" si="1"/>
        <v>28</v>
      </c>
      <c r="H14" s="8">
        <v>14</v>
      </c>
      <c r="I14" s="8"/>
      <c r="J14" s="8">
        <v>14</v>
      </c>
      <c r="K14" s="8"/>
      <c r="L14" s="8">
        <v>28</v>
      </c>
      <c r="M14" s="8"/>
      <c r="N14" s="8">
        <f>'8-Sep'!S14</f>
        <v>0</v>
      </c>
      <c r="O14" s="9">
        <v>14</v>
      </c>
      <c r="P14" s="9"/>
      <c r="Q14" s="9"/>
      <c r="R14" s="9">
        <v>14</v>
      </c>
      <c r="S14" s="9">
        <f>VLOOKUP($A14,'8-Sep'!$A$3:$Z$45,24,0)</f>
        <v>0</v>
      </c>
      <c r="T14" s="9">
        <f>VLOOKUP($A14,'8-Sep'!$A$3:$Z$45,25,0)</f>
        <v>0</v>
      </c>
      <c r="U14" s="9">
        <f>VLOOKUP($A14,'8-Sep'!$A$3:$Z$45,26,0)</f>
        <v>0</v>
      </c>
      <c r="V14" s="9"/>
      <c r="W14" s="9"/>
    </row>
    <row r="15" spans="1:23" ht="17.5" customHeight="1" x14ac:dyDescent="0.4">
      <c r="A15" s="13" t="s">
        <v>41</v>
      </c>
      <c r="B15" s="13" t="s">
        <v>42</v>
      </c>
      <c r="C15" s="13" t="s">
        <v>43</v>
      </c>
      <c r="D15" s="48">
        <v>8</v>
      </c>
      <c r="E15" s="15">
        <v>38</v>
      </c>
      <c r="F15" s="15">
        <f t="shared" si="0"/>
        <v>28</v>
      </c>
      <c r="G15" s="15">
        <f t="shared" si="1"/>
        <v>0</v>
      </c>
      <c r="H15" s="8"/>
      <c r="I15" s="8"/>
      <c r="J15" s="8"/>
      <c r="K15" s="8">
        <v>14</v>
      </c>
      <c r="L15" s="8">
        <v>14</v>
      </c>
      <c r="M15" s="8"/>
      <c r="N15" s="8">
        <f>'8-Sep'!S15</f>
        <v>0</v>
      </c>
      <c r="O15" s="9"/>
      <c r="P15" s="9"/>
      <c r="Q15" s="9"/>
      <c r="R15" s="9"/>
      <c r="S15" s="9">
        <f>VLOOKUP($A15,'8-Sep'!$A$3:$Z$45,24,0)</f>
        <v>0</v>
      </c>
      <c r="T15" s="9">
        <f>VLOOKUP($A15,'8-Sep'!$A$3:$Z$45,25,0)</f>
        <v>0</v>
      </c>
      <c r="U15" s="9">
        <f>VLOOKUP($A15,'8-Sep'!$A$3:$Z$45,26,0)</f>
        <v>0</v>
      </c>
      <c r="V15" s="9"/>
      <c r="W15" s="9"/>
    </row>
    <row r="16" spans="1:23" ht="17.5" customHeight="1" x14ac:dyDescent="0.4">
      <c r="A16" s="13" t="s">
        <v>44</v>
      </c>
      <c r="B16" s="13" t="s">
        <v>45</v>
      </c>
      <c r="C16" s="13" t="s">
        <v>46</v>
      </c>
      <c r="D16" s="48">
        <v>209</v>
      </c>
      <c r="E16" s="15">
        <v>90</v>
      </c>
      <c r="F16" s="15">
        <f t="shared" si="0"/>
        <v>238</v>
      </c>
      <c r="G16" s="15">
        <f t="shared" si="1"/>
        <v>182</v>
      </c>
      <c r="H16" s="8">
        <v>56</v>
      </c>
      <c r="I16" s="8">
        <v>70</v>
      </c>
      <c r="J16" s="8">
        <v>28</v>
      </c>
      <c r="K16" s="8">
        <v>42</v>
      </c>
      <c r="L16" s="8">
        <v>42</v>
      </c>
      <c r="M16" s="8"/>
      <c r="N16" s="8">
        <f>'8-Sep'!S16</f>
        <v>0</v>
      </c>
      <c r="O16" s="9">
        <v>42</v>
      </c>
      <c r="P16" s="9">
        <v>70</v>
      </c>
      <c r="Q16" s="9">
        <v>70</v>
      </c>
      <c r="R16" s="9"/>
      <c r="S16" s="9">
        <f>VLOOKUP($A16,'8-Sep'!$A$3:$Z$45,24,0)</f>
        <v>0</v>
      </c>
      <c r="T16" s="9">
        <f>VLOOKUP($A16,'8-Sep'!$A$3:$Z$45,25,0)</f>
        <v>0</v>
      </c>
      <c r="U16" s="9">
        <f>VLOOKUP($A16,'8-Sep'!$A$3:$Z$45,26,0)</f>
        <v>0</v>
      </c>
      <c r="V16" s="9"/>
      <c r="W16" s="9"/>
    </row>
    <row r="17" spans="1:23" ht="17.5" customHeight="1" x14ac:dyDescent="0.4">
      <c r="A17" s="13" t="s">
        <v>47</v>
      </c>
      <c r="B17" s="13" t="s">
        <v>48</v>
      </c>
      <c r="C17" s="13" t="s">
        <v>49</v>
      </c>
      <c r="D17" s="48">
        <v>44</v>
      </c>
      <c r="E17" s="15">
        <v>38</v>
      </c>
      <c r="F17" s="15">
        <f t="shared" si="0"/>
        <v>42</v>
      </c>
      <c r="G17" s="15">
        <f t="shared" si="1"/>
        <v>28</v>
      </c>
      <c r="H17" s="8">
        <v>14</v>
      </c>
      <c r="I17" s="8"/>
      <c r="J17" s="8">
        <v>14</v>
      </c>
      <c r="K17" s="8">
        <v>14</v>
      </c>
      <c r="L17" s="8"/>
      <c r="M17" s="8"/>
      <c r="N17" s="8">
        <f>'8-Sep'!S17</f>
        <v>0</v>
      </c>
      <c r="O17" s="9"/>
      <c r="P17" s="9"/>
      <c r="Q17" s="9">
        <v>14</v>
      </c>
      <c r="R17" s="9">
        <v>14</v>
      </c>
      <c r="S17" s="9">
        <f>VLOOKUP($A17,'8-Sep'!$A$3:$Z$45,24,0)</f>
        <v>0</v>
      </c>
      <c r="T17" s="9">
        <f>VLOOKUP($A17,'8-Sep'!$A$3:$Z$45,25,0)</f>
        <v>0</v>
      </c>
      <c r="U17" s="9">
        <f>VLOOKUP($A17,'8-Sep'!$A$3:$Z$45,26,0)</f>
        <v>0</v>
      </c>
      <c r="V17" s="9"/>
      <c r="W17" s="9"/>
    </row>
    <row r="18" spans="1:23" ht="17.5" customHeight="1" x14ac:dyDescent="0.4">
      <c r="A18" s="13" t="s">
        <v>50</v>
      </c>
      <c r="B18" s="13" t="s">
        <v>51</v>
      </c>
      <c r="C18" s="13" t="s">
        <v>52</v>
      </c>
      <c r="D18" s="48">
        <v>0</v>
      </c>
      <c r="E18" s="15">
        <v>0</v>
      </c>
      <c r="F18" s="15">
        <f t="shared" si="0"/>
        <v>0</v>
      </c>
      <c r="G18" s="15">
        <f t="shared" si="1"/>
        <v>0</v>
      </c>
      <c r="H18" s="8"/>
      <c r="I18" s="8"/>
      <c r="J18" s="8"/>
      <c r="K18" s="8"/>
      <c r="L18" s="8"/>
      <c r="M18" s="8"/>
      <c r="N18" s="8">
        <f>'8-Sep'!S18</f>
        <v>0</v>
      </c>
      <c r="O18" s="9"/>
      <c r="P18" s="9"/>
      <c r="Q18" s="9"/>
      <c r="R18" s="9"/>
      <c r="S18" s="9">
        <f>VLOOKUP($A18,'8-Sep'!$A$3:$Z$45,24,0)</f>
        <v>0</v>
      </c>
      <c r="T18" s="9">
        <f>VLOOKUP($A18,'8-Sep'!$A$3:$Z$45,25,0)</f>
        <v>0</v>
      </c>
      <c r="U18" s="9">
        <f>VLOOKUP($A18,'8-Sep'!$A$3:$Z$45,26,0)</f>
        <v>0</v>
      </c>
      <c r="V18" s="9"/>
      <c r="W18" s="9"/>
    </row>
    <row r="19" spans="1:23" ht="17.5" customHeight="1" x14ac:dyDescent="0.4">
      <c r="A19" s="13" t="s">
        <v>53</v>
      </c>
      <c r="B19" s="13" t="s">
        <v>54</v>
      </c>
      <c r="C19" s="13" t="s">
        <v>55</v>
      </c>
      <c r="D19" s="48">
        <v>0</v>
      </c>
      <c r="E19" s="15">
        <v>24</v>
      </c>
      <c r="F19" s="15">
        <f t="shared" si="0"/>
        <v>0</v>
      </c>
      <c r="G19" s="15">
        <f t="shared" si="1"/>
        <v>0</v>
      </c>
      <c r="H19" s="8"/>
      <c r="I19" s="8"/>
      <c r="J19" s="8"/>
      <c r="K19" s="8"/>
      <c r="L19" s="8"/>
      <c r="M19" s="8"/>
      <c r="N19" s="8">
        <f>'8-Sep'!S19</f>
        <v>0</v>
      </c>
      <c r="O19" s="9"/>
      <c r="P19" s="9"/>
      <c r="Q19" s="9"/>
      <c r="R19" s="9"/>
      <c r="S19" s="9">
        <f>VLOOKUP($A19,'8-Sep'!$A$3:$Z$45,24,0)</f>
        <v>0</v>
      </c>
      <c r="T19" s="9">
        <f>VLOOKUP($A19,'8-Sep'!$A$3:$Z$45,25,0)</f>
        <v>0</v>
      </c>
      <c r="U19" s="9">
        <f>VLOOKUP($A19,'8-Sep'!$A$3:$Z$45,26,0)</f>
        <v>0</v>
      </c>
      <c r="V19" s="9"/>
      <c r="W19" s="9"/>
    </row>
    <row r="20" spans="1:23" ht="17.5" customHeight="1" x14ac:dyDescent="0.4">
      <c r="A20" s="13" t="s">
        <v>56</v>
      </c>
      <c r="B20" s="13" t="s">
        <v>57</v>
      </c>
      <c r="C20" s="13" t="s">
        <v>58</v>
      </c>
      <c r="D20" s="48">
        <v>38</v>
      </c>
      <c r="E20" s="15">
        <v>38</v>
      </c>
      <c r="F20" s="15">
        <f t="shared" si="0"/>
        <v>42</v>
      </c>
      <c r="G20" s="15">
        <f t="shared" si="1"/>
        <v>14</v>
      </c>
      <c r="H20" s="8"/>
      <c r="I20" s="8">
        <v>14</v>
      </c>
      <c r="J20" s="8">
        <v>14</v>
      </c>
      <c r="K20" s="8">
        <v>14</v>
      </c>
      <c r="L20" s="8"/>
      <c r="M20" s="8"/>
      <c r="N20" s="8">
        <f>'8-Sep'!S20</f>
        <v>0</v>
      </c>
      <c r="O20" s="9"/>
      <c r="P20" s="9"/>
      <c r="Q20" s="9"/>
      <c r="R20" s="9">
        <v>14</v>
      </c>
      <c r="S20" s="9">
        <f>VLOOKUP($A20,'8-Sep'!$A$3:$Z$45,24,0)</f>
        <v>0</v>
      </c>
      <c r="T20" s="9">
        <f>VLOOKUP($A20,'8-Sep'!$A$3:$Z$45,25,0)</f>
        <v>0</v>
      </c>
      <c r="U20" s="9">
        <f>VLOOKUP($A20,'8-Sep'!$A$3:$Z$45,26,0)</f>
        <v>0</v>
      </c>
      <c r="V20" s="9"/>
      <c r="W20" s="9"/>
    </row>
    <row r="21" spans="1:23" ht="17.5" customHeight="1" x14ac:dyDescent="0.4">
      <c r="A21" s="13" t="s">
        <v>59</v>
      </c>
      <c r="B21" s="13" t="s">
        <v>60</v>
      </c>
      <c r="C21" s="13" t="s">
        <v>61</v>
      </c>
      <c r="D21" s="48">
        <v>12</v>
      </c>
      <c r="E21" s="15">
        <v>38</v>
      </c>
      <c r="F21" s="15">
        <f t="shared" si="0"/>
        <v>14</v>
      </c>
      <c r="G21" s="15">
        <f t="shared" si="1"/>
        <v>14</v>
      </c>
      <c r="H21" s="8"/>
      <c r="I21" s="8"/>
      <c r="J21" s="8">
        <v>14</v>
      </c>
      <c r="K21" s="8"/>
      <c r="L21" s="8"/>
      <c r="M21" s="8"/>
      <c r="N21" s="8">
        <f>'8-Sep'!S21</f>
        <v>0</v>
      </c>
      <c r="O21" s="9"/>
      <c r="P21" s="9"/>
      <c r="Q21" s="9"/>
      <c r="R21" s="9">
        <v>14</v>
      </c>
      <c r="S21" s="9">
        <f>VLOOKUP($A21,'8-Sep'!$A$3:$Z$45,24,0)</f>
        <v>0</v>
      </c>
      <c r="T21" s="9">
        <f>VLOOKUP($A21,'8-Sep'!$A$3:$Z$45,25,0)</f>
        <v>0</v>
      </c>
      <c r="U21" s="9">
        <f>VLOOKUP($A21,'8-Sep'!$A$3:$Z$45,26,0)</f>
        <v>0</v>
      </c>
      <c r="V21" s="9"/>
      <c r="W21" s="9"/>
    </row>
    <row r="22" spans="1:23" ht="32" customHeight="1" x14ac:dyDescent="0.4">
      <c r="A22" s="74" t="s">
        <v>10</v>
      </c>
      <c r="B22" s="74" t="s">
        <v>11</v>
      </c>
      <c r="C22" s="74" t="s">
        <v>12</v>
      </c>
      <c r="D22" s="74" t="s">
        <v>13</v>
      </c>
      <c r="E22" s="74" t="s">
        <v>17</v>
      </c>
      <c r="F22" s="68" t="s">
        <v>122</v>
      </c>
      <c r="G22" s="68" t="s">
        <v>123</v>
      </c>
      <c r="H22" s="71" t="s">
        <v>0</v>
      </c>
      <c r="I22" s="72"/>
      <c r="J22" s="72"/>
      <c r="K22" s="72"/>
      <c r="L22" s="72"/>
      <c r="M22" s="73"/>
      <c r="N22" s="8"/>
      <c r="O22" s="63" t="s">
        <v>1</v>
      </c>
      <c r="P22" s="64"/>
      <c r="Q22" s="64"/>
      <c r="R22" s="64"/>
      <c r="S22" s="64"/>
      <c r="T22" s="64"/>
      <c r="U22" s="64"/>
      <c r="V22" s="64"/>
      <c r="W22" s="64"/>
    </row>
    <row r="23" spans="1:23" ht="17.5" customHeight="1" x14ac:dyDescent="0.4">
      <c r="A23" s="75"/>
      <c r="B23" s="75"/>
      <c r="C23" s="75"/>
      <c r="D23" s="75"/>
      <c r="E23" s="75"/>
      <c r="F23" s="69"/>
      <c r="G23" s="69"/>
      <c r="H23" s="5" t="s">
        <v>2</v>
      </c>
      <c r="I23" s="5" t="s">
        <v>3</v>
      </c>
      <c r="J23" s="5" t="s">
        <v>4</v>
      </c>
      <c r="K23" s="5" t="s">
        <v>5</v>
      </c>
      <c r="L23" s="5" t="s">
        <v>6</v>
      </c>
      <c r="M23" s="5" t="s">
        <v>7</v>
      </c>
      <c r="N23" s="5" t="s">
        <v>8</v>
      </c>
      <c r="O23" s="6" t="s">
        <v>2</v>
      </c>
      <c r="P23" s="6" t="s">
        <v>3</v>
      </c>
      <c r="Q23" s="6" t="s">
        <v>4</v>
      </c>
      <c r="R23" s="6" t="s">
        <v>5</v>
      </c>
      <c r="S23" s="6" t="s">
        <v>6</v>
      </c>
      <c r="T23" s="6" t="s">
        <v>7</v>
      </c>
      <c r="U23" s="6" t="s">
        <v>8</v>
      </c>
      <c r="V23" s="11"/>
      <c r="W23" s="11"/>
    </row>
    <row r="24" spans="1:23" ht="17.5" customHeight="1" x14ac:dyDescent="0.4">
      <c r="A24" s="76"/>
      <c r="B24" s="76"/>
      <c r="C24" s="76"/>
      <c r="D24" s="76"/>
      <c r="E24" s="76"/>
      <c r="F24" s="69"/>
      <c r="G24" s="69"/>
      <c r="H24" s="10">
        <v>0.33333333333333331</v>
      </c>
      <c r="I24" s="10">
        <v>0.41666666666666669</v>
      </c>
      <c r="J24" s="10">
        <v>0.54166666666666663</v>
      </c>
      <c r="K24" s="10">
        <v>0.625</v>
      </c>
      <c r="L24" s="10">
        <v>0.70833333333333337</v>
      </c>
      <c r="M24" s="17">
        <v>0.75</v>
      </c>
      <c r="N24" s="8"/>
      <c r="O24" s="11">
        <v>0.39583333333333331</v>
      </c>
      <c r="P24" s="11">
        <v>0.52083333333333337</v>
      </c>
      <c r="Q24" s="11">
        <v>0.6875</v>
      </c>
      <c r="R24" s="11">
        <v>0.79861111111111116</v>
      </c>
      <c r="S24" s="45"/>
      <c r="T24" s="45"/>
      <c r="U24" s="45"/>
      <c r="V24" s="45"/>
      <c r="W24" s="11"/>
    </row>
    <row r="25" spans="1:23" ht="21" x14ac:dyDescent="0.4">
      <c r="A25" s="13" t="s">
        <v>62</v>
      </c>
      <c r="B25" s="13" t="s">
        <v>63</v>
      </c>
      <c r="C25" s="13" t="s">
        <v>64</v>
      </c>
      <c r="D25" s="48">
        <v>162</v>
      </c>
      <c r="E25" s="15">
        <v>96</v>
      </c>
      <c r="F25" s="15">
        <f t="shared" ref="F25" si="2">SUM(H25:N25)</f>
        <v>240</v>
      </c>
      <c r="G25" s="15"/>
      <c r="H25" s="8">
        <v>32</v>
      </c>
      <c r="I25" s="8">
        <v>32</v>
      </c>
      <c r="J25" s="8">
        <v>32</v>
      </c>
      <c r="K25" s="8">
        <v>48</v>
      </c>
      <c r="L25" s="8">
        <v>64</v>
      </c>
      <c r="M25" s="19">
        <v>32</v>
      </c>
      <c r="N25" s="8">
        <f>'8-Sep'!S36</f>
        <v>0</v>
      </c>
      <c r="O25" s="9">
        <v>32</v>
      </c>
      <c r="P25" s="9">
        <v>32</v>
      </c>
      <c r="Q25" s="20">
        <v>44</v>
      </c>
      <c r="R25" s="20">
        <v>24</v>
      </c>
      <c r="S25" s="9">
        <f>VLOOKUP($A25,'8-Sep'!$A$3:$Z$45,24,0)</f>
        <v>0</v>
      </c>
      <c r="T25" s="9">
        <f>VLOOKUP($A25,'8-Sep'!$A$3:$Z$45,25,0)</f>
        <v>0</v>
      </c>
      <c r="U25" s="9">
        <f>VLOOKUP($A25,'8-Sep'!$A$3:$Z$45,26,0)</f>
        <v>0</v>
      </c>
      <c r="V25" s="21"/>
      <c r="W25" s="9">
        <f t="shared" ref="W25:W29" si="3">SUM(O25:V25)</f>
        <v>132</v>
      </c>
    </row>
    <row r="26" spans="1:23" ht="17.5" customHeight="1" x14ac:dyDescent="0.4">
      <c r="A26" s="13" t="s">
        <v>65</v>
      </c>
      <c r="B26" s="13" t="s">
        <v>66</v>
      </c>
      <c r="C26" s="13" t="s">
        <v>67</v>
      </c>
      <c r="D26" s="48">
        <v>9</v>
      </c>
      <c r="E26" s="15">
        <v>28</v>
      </c>
      <c r="F26" s="15">
        <f>SUM(H26:N26)</f>
        <v>16</v>
      </c>
      <c r="G26" s="15">
        <f t="shared" ref="G26:G29" si="4">SUM(O26:U26)</f>
        <v>16</v>
      </c>
      <c r="H26" s="8"/>
      <c r="I26" s="8"/>
      <c r="J26" s="8"/>
      <c r="K26" s="8"/>
      <c r="L26" s="8"/>
      <c r="M26" s="22">
        <v>16</v>
      </c>
      <c r="N26" s="8"/>
      <c r="O26" s="9"/>
      <c r="P26" s="9"/>
      <c r="Q26" s="9"/>
      <c r="R26" s="9">
        <v>16</v>
      </c>
      <c r="S26" s="9">
        <f>VLOOKUP($A26,'8-Sep'!$A$3:$Z$45,24,0)</f>
        <v>0</v>
      </c>
      <c r="T26" s="9">
        <f>VLOOKUP($A26,'8-Sep'!$A$3:$Z$45,25,0)</f>
        <v>0</v>
      </c>
      <c r="U26" s="9">
        <f>VLOOKUP($A26,'8-Sep'!$A$3:$Z$45,26,0)</f>
        <v>0</v>
      </c>
      <c r="V26" s="6"/>
      <c r="W26" s="9">
        <f t="shared" si="3"/>
        <v>16</v>
      </c>
    </row>
    <row r="27" spans="1:23" ht="21" x14ac:dyDescent="0.4">
      <c r="A27" s="13" t="s">
        <v>68</v>
      </c>
      <c r="B27" s="13" t="s">
        <v>69</v>
      </c>
      <c r="C27" s="13" t="s">
        <v>70</v>
      </c>
      <c r="D27" s="48">
        <v>238</v>
      </c>
      <c r="E27" s="15">
        <v>148</v>
      </c>
      <c r="F27" s="15">
        <f>SUM(H27:N27)</f>
        <v>192</v>
      </c>
      <c r="G27" s="15">
        <f t="shared" si="4"/>
        <v>84</v>
      </c>
      <c r="H27" s="8">
        <v>48</v>
      </c>
      <c r="I27" s="8">
        <v>32</v>
      </c>
      <c r="J27" s="8">
        <v>32</v>
      </c>
      <c r="K27" s="8">
        <v>48</v>
      </c>
      <c r="L27" s="8">
        <v>32</v>
      </c>
      <c r="M27" s="22"/>
      <c r="N27" s="8"/>
      <c r="O27" s="9">
        <v>16</v>
      </c>
      <c r="P27" s="9">
        <v>24</v>
      </c>
      <c r="Q27" s="9">
        <v>28</v>
      </c>
      <c r="R27" s="9">
        <v>16</v>
      </c>
      <c r="S27" s="9">
        <f>VLOOKUP($A27,'8-Sep'!$A$3:$Z$45,24,0)</f>
        <v>0</v>
      </c>
      <c r="T27" s="9">
        <f>VLOOKUP($A27,'8-Sep'!$A$3:$Z$45,25,0)</f>
        <v>0</v>
      </c>
      <c r="U27" s="9">
        <f>VLOOKUP($A27,'8-Sep'!$A$3:$Z$45,26,0)</f>
        <v>0</v>
      </c>
      <c r="V27" s="6"/>
      <c r="W27" s="9">
        <f t="shared" si="3"/>
        <v>84</v>
      </c>
    </row>
    <row r="28" spans="1:23" ht="21" x14ac:dyDescent="0.4">
      <c r="A28" s="13" t="s">
        <v>71</v>
      </c>
      <c r="B28" s="13" t="s">
        <v>72</v>
      </c>
      <c r="C28" s="13" t="s">
        <v>73</v>
      </c>
      <c r="D28" s="48">
        <v>26</v>
      </c>
      <c r="E28" s="15">
        <v>46</v>
      </c>
      <c r="F28" s="15">
        <f>SUM(H28:N28)</f>
        <v>16</v>
      </c>
      <c r="G28" s="15">
        <f t="shared" si="4"/>
        <v>16</v>
      </c>
      <c r="H28" s="8"/>
      <c r="I28" s="8"/>
      <c r="J28" s="8"/>
      <c r="K28" s="8"/>
      <c r="L28" s="8"/>
      <c r="M28" s="23">
        <v>16</v>
      </c>
      <c r="N28" s="8"/>
      <c r="O28" s="9">
        <v>16</v>
      </c>
      <c r="P28" s="9"/>
      <c r="Q28" s="9"/>
      <c r="R28" s="9"/>
      <c r="S28" s="9">
        <f>VLOOKUP($A28,'8-Sep'!$A$3:$Z$45,24,0)</f>
        <v>0</v>
      </c>
      <c r="T28" s="9">
        <f>VLOOKUP($A28,'8-Sep'!$A$3:$Z$45,25,0)</f>
        <v>0</v>
      </c>
      <c r="U28" s="9">
        <f>VLOOKUP($A28,'8-Sep'!$A$3:$Z$45,26,0)</f>
        <v>0</v>
      </c>
      <c r="V28" s="6"/>
      <c r="W28" s="9">
        <f t="shared" si="3"/>
        <v>16</v>
      </c>
    </row>
    <row r="29" spans="1:23" ht="21" x14ac:dyDescent="0.4">
      <c r="A29" s="13" t="s">
        <v>74</v>
      </c>
      <c r="B29" s="13" t="s">
        <v>75</v>
      </c>
      <c r="C29" s="13" t="s">
        <v>76</v>
      </c>
      <c r="D29" s="48">
        <v>41</v>
      </c>
      <c r="E29" s="15">
        <v>16</v>
      </c>
      <c r="F29" s="15">
        <f>SUM(H29:N29)</f>
        <v>80</v>
      </c>
      <c r="G29" s="15">
        <f t="shared" si="4"/>
        <v>48</v>
      </c>
      <c r="H29" s="8">
        <v>16</v>
      </c>
      <c r="I29" s="8">
        <v>16</v>
      </c>
      <c r="J29" s="8">
        <v>32</v>
      </c>
      <c r="K29" s="8"/>
      <c r="L29" s="8"/>
      <c r="M29" s="23">
        <v>16</v>
      </c>
      <c r="N29" s="8"/>
      <c r="O29" s="9">
        <v>16</v>
      </c>
      <c r="P29" s="9">
        <v>16</v>
      </c>
      <c r="Q29" s="9"/>
      <c r="R29" s="9">
        <v>16</v>
      </c>
      <c r="S29" s="9">
        <f>VLOOKUP($A29,'8-Sep'!$A$3:$Z$45,24,0)</f>
        <v>0</v>
      </c>
      <c r="T29" s="9">
        <f>VLOOKUP($A29,'8-Sep'!$A$3:$Z$45,25,0)</f>
        <v>0</v>
      </c>
      <c r="U29" s="9">
        <f>VLOOKUP($A29,'8-Sep'!$A$3:$Z$45,26,0)</f>
        <v>0</v>
      </c>
      <c r="V29" s="6"/>
      <c r="W29" s="9">
        <f t="shared" si="3"/>
        <v>48</v>
      </c>
    </row>
    <row r="30" spans="1:23" ht="21" x14ac:dyDescent="0.4">
      <c r="A30" s="13" t="s">
        <v>128</v>
      </c>
      <c r="B30" s="13" t="s">
        <v>129</v>
      </c>
      <c r="C30" s="13" t="s">
        <v>76</v>
      </c>
      <c r="D30" s="48">
        <v>3</v>
      </c>
      <c r="E30" s="15">
        <v>0</v>
      </c>
      <c r="F30" s="15">
        <f>SUM(H30:N30)</f>
        <v>32</v>
      </c>
      <c r="G30" s="15"/>
      <c r="H30" s="8"/>
      <c r="I30" s="8">
        <v>16</v>
      </c>
      <c r="J30" s="8"/>
      <c r="K30" s="8"/>
      <c r="L30" s="8"/>
      <c r="M30" s="23">
        <v>16</v>
      </c>
      <c r="N30" s="8"/>
      <c r="O30" s="9"/>
      <c r="P30" s="9"/>
      <c r="Q30" s="9"/>
      <c r="R30" s="9"/>
      <c r="S30" s="9"/>
      <c r="T30" s="9"/>
      <c r="U30" s="9"/>
      <c r="V30" s="6"/>
      <c r="W30" s="9"/>
    </row>
  </sheetData>
  <protectedRanges>
    <protectedRange sqref="F7:G21 F28:G30 G26:G27 F25:F27" name="Range1_3_2_2"/>
    <protectedRange sqref="E13" name="Range1_5_1_1_1"/>
    <protectedRange sqref="E12" name="Range1_2_3_1_1_1"/>
    <protectedRange sqref="E7:E11" name="Range1_3_2_1"/>
    <protectedRange sqref="M29:M30" name="Range1_1_2_1_2_1_1_1_1_1_1_1_1"/>
    <protectedRange sqref="M28" name="Range1_1_2_1_2_1_1_1_1_2_1_1_1"/>
    <protectedRange sqref="M25:M27" name="Range1_1_2_1_2_1_1_1_1_2_1_2_4_1_2"/>
  </protectedRanges>
  <mergeCells count="19">
    <mergeCell ref="G22:G24"/>
    <mergeCell ref="H22:M22"/>
    <mergeCell ref="O22:W22"/>
    <mergeCell ref="A22:A24"/>
    <mergeCell ref="B22:B24"/>
    <mergeCell ref="C22:C24"/>
    <mergeCell ref="D22:D24"/>
    <mergeCell ref="E22:E24"/>
    <mergeCell ref="F22:F24"/>
    <mergeCell ref="D1:D2"/>
    <mergeCell ref="H1:M1"/>
    <mergeCell ref="O1:W1"/>
    <mergeCell ref="B2:C2"/>
    <mergeCell ref="A3:A6"/>
    <mergeCell ref="B3:B6"/>
    <mergeCell ref="C3:C6"/>
    <mergeCell ref="D3:D6"/>
    <mergeCell ref="F3:F6"/>
    <mergeCell ref="G3:G6"/>
  </mergeCells>
  <conditionalFormatting sqref="K28:K30">
    <cfRule type="cellIs" dxfId="25" priority="1" operator="lessThan">
      <formula>0</formula>
    </cfRule>
  </conditionalFormatting>
  <conditionalFormatting sqref="M25:M30">
    <cfRule type="cellIs" dxfId="24" priority="2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72" orientation="landscape" horizontalDpi="200" verticalDpi="200" r:id="rId1"/>
  <headerFooter>
    <oddFooter>&amp;L_x000D_&amp;1#&amp;"Calibri Light"&amp;8&amp;K000000 Classified as Public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6EE3-B68B-4EB3-8647-EC2DD8C236EE}">
  <dimension ref="A1:AJ49"/>
  <sheetViews>
    <sheetView showZeros="0" zoomScale="70" zoomScaleNormal="70" workbookViewId="0">
      <pane xSplit="12" ySplit="6" topLeftCell="M26" activePane="bottomRight" state="frozen"/>
      <selection activeCell="G18" sqref="G18"/>
      <selection pane="topRight" activeCell="G18" sqref="G18"/>
      <selection pane="bottomLeft" activeCell="G18" sqref="G18"/>
      <selection pane="bottomRight" activeCell="H39" sqref="H39"/>
    </sheetView>
  </sheetViews>
  <sheetFormatPr defaultRowHeight="14.5" x14ac:dyDescent="0.35"/>
  <cols>
    <col min="1" max="1" width="15.453125" bestFit="1" customWidth="1"/>
    <col min="2" max="2" width="17.1796875" bestFit="1" customWidth="1"/>
    <col min="3" max="3" width="13.54296875" bestFit="1" customWidth="1"/>
    <col min="4" max="4" width="13.54296875" style="24" customWidth="1"/>
    <col min="5" max="5" width="14" customWidth="1"/>
    <col min="6" max="6" width="12.7265625" bestFit="1" customWidth="1"/>
    <col min="7" max="7" width="6.81640625" customWidth="1"/>
    <col min="8" max="8" width="14.08984375" customWidth="1"/>
    <col min="9" max="11" width="13" customWidth="1"/>
    <col min="12" max="12" width="13.36328125" customWidth="1"/>
    <col min="13" max="18" width="6.453125" bestFit="1" customWidth="1"/>
    <col min="19" max="19" width="5.6328125" customWidth="1"/>
    <col min="20" max="22" width="6.453125" bestFit="1" customWidth="1"/>
    <col min="23" max="25" width="6.453125" customWidth="1"/>
    <col min="26" max="27" width="6.453125" bestFit="1" customWidth="1"/>
    <col min="28" max="29" width="5.7265625" customWidth="1"/>
    <col min="30" max="30" width="10" bestFit="1" customWidth="1"/>
    <col min="31" max="36" width="5.7265625" customWidth="1"/>
  </cols>
  <sheetData>
    <row r="1" spans="1:36" ht="18.5" x14ac:dyDescent="0.45">
      <c r="F1" s="2">
        <v>45919</v>
      </c>
      <c r="M1" s="54" t="s">
        <v>0</v>
      </c>
      <c r="N1" s="54"/>
      <c r="O1" s="54"/>
      <c r="P1" s="54"/>
      <c r="Q1" s="54"/>
      <c r="R1" s="54"/>
      <c r="S1" s="54"/>
      <c r="T1" s="55" t="s">
        <v>1</v>
      </c>
      <c r="U1" s="56"/>
      <c r="V1" s="56"/>
      <c r="W1" s="56"/>
      <c r="X1" s="56"/>
      <c r="Y1" s="56"/>
      <c r="Z1" s="56"/>
      <c r="AA1" s="56"/>
      <c r="AB1" s="56"/>
      <c r="AC1" s="56"/>
      <c r="AD1" s="56"/>
      <c r="AE1" s="55" t="s">
        <v>77</v>
      </c>
      <c r="AF1" s="56"/>
      <c r="AG1" s="56"/>
      <c r="AH1" s="56"/>
      <c r="AI1" s="56"/>
      <c r="AJ1" s="56"/>
    </row>
    <row r="2" spans="1:36" x14ac:dyDescent="0.35">
      <c r="B2" s="57"/>
      <c r="C2" s="58"/>
      <c r="L2" s="25"/>
      <c r="M2" s="26" t="s">
        <v>2</v>
      </c>
      <c r="N2" s="26" t="s">
        <v>3</v>
      </c>
      <c r="O2" s="26" t="s">
        <v>4</v>
      </c>
      <c r="P2" s="26" t="s">
        <v>5</v>
      </c>
      <c r="Q2" s="26" t="s">
        <v>6</v>
      </c>
      <c r="R2" s="26" t="s">
        <v>7</v>
      </c>
      <c r="S2" s="26"/>
      <c r="T2" s="27" t="s">
        <v>2</v>
      </c>
      <c r="U2" s="27" t="s">
        <v>3</v>
      </c>
      <c r="V2" s="27" t="s">
        <v>4</v>
      </c>
      <c r="W2" s="27" t="s">
        <v>5</v>
      </c>
      <c r="X2" s="27" t="s">
        <v>6</v>
      </c>
      <c r="Y2" s="27" t="s">
        <v>7</v>
      </c>
      <c r="Z2" s="27" t="s">
        <v>8</v>
      </c>
      <c r="AA2" s="27" t="s">
        <v>9</v>
      </c>
      <c r="AB2" s="27" t="s">
        <v>78</v>
      </c>
      <c r="AC2" s="27"/>
      <c r="AD2" s="27" t="s">
        <v>79</v>
      </c>
      <c r="AE2" s="27" t="s">
        <v>2</v>
      </c>
      <c r="AF2" s="27" t="s">
        <v>3</v>
      </c>
      <c r="AG2" s="27" t="s">
        <v>4</v>
      </c>
      <c r="AH2" s="27" t="s">
        <v>5</v>
      </c>
      <c r="AI2" s="27" t="s">
        <v>6</v>
      </c>
      <c r="AJ2" s="27" t="s">
        <v>7</v>
      </c>
    </row>
    <row r="3" spans="1:36" x14ac:dyDescent="0.35">
      <c r="A3" s="49" t="s">
        <v>10</v>
      </c>
      <c r="B3" s="50" t="s">
        <v>11</v>
      </c>
      <c r="C3" s="50" t="s">
        <v>12</v>
      </c>
      <c r="D3" s="50" t="s">
        <v>80</v>
      </c>
      <c r="E3" s="59" t="s">
        <v>13</v>
      </c>
      <c r="F3" s="49" t="s">
        <v>81</v>
      </c>
      <c r="G3" s="49" t="s">
        <v>82</v>
      </c>
      <c r="H3" s="49" t="s">
        <v>83</v>
      </c>
      <c r="I3" s="51" t="s">
        <v>84</v>
      </c>
      <c r="J3" s="49" t="s">
        <v>122</v>
      </c>
      <c r="K3" s="49" t="s">
        <v>123</v>
      </c>
      <c r="L3" s="46" t="s">
        <v>85</v>
      </c>
      <c r="M3" s="22">
        <v>6</v>
      </c>
      <c r="N3" s="22">
        <v>6</v>
      </c>
      <c r="O3" s="22">
        <v>6</v>
      </c>
      <c r="P3" s="22">
        <v>6</v>
      </c>
      <c r="Q3" s="22">
        <v>6</v>
      </c>
      <c r="R3" s="22">
        <v>6</v>
      </c>
      <c r="S3" s="22">
        <f>SUM(M3:R3)</f>
        <v>36</v>
      </c>
      <c r="T3" s="28">
        <v>6</v>
      </c>
      <c r="U3" s="28">
        <v>3</v>
      </c>
      <c r="V3" s="28">
        <v>5</v>
      </c>
      <c r="W3" s="28">
        <v>4</v>
      </c>
      <c r="X3" s="28">
        <v>5</v>
      </c>
      <c r="Y3" s="28">
        <v>5</v>
      </c>
      <c r="Z3" s="28"/>
      <c r="AA3" s="28"/>
      <c r="AB3" s="28"/>
      <c r="AC3" s="28">
        <f>SUM(T3:AB3)</f>
        <v>28</v>
      </c>
      <c r="AD3" s="28"/>
      <c r="AE3" s="28">
        <f>T3-M3</f>
        <v>0</v>
      </c>
      <c r="AF3" s="28">
        <f>SUM(T3:U3)-SUM(M3:N3)</f>
        <v>-3</v>
      </c>
      <c r="AG3" s="28">
        <f>SUM(T3:V3)-SUM(M3:O3)</f>
        <v>-4</v>
      </c>
      <c r="AH3" s="28">
        <f>SUM(T3:Z3)-SUM(M3:P3)</f>
        <v>4</v>
      </c>
      <c r="AI3" s="28">
        <f>SUM(T3:AA3)-SUM(M3:Q3)</f>
        <v>-2</v>
      </c>
      <c r="AJ3" s="28">
        <f>SUM(T3:AB3)-SUM(M3:R3)</f>
        <v>-8</v>
      </c>
    </row>
    <row r="4" spans="1:36" x14ac:dyDescent="0.35">
      <c r="A4" s="49"/>
      <c r="B4" s="50"/>
      <c r="C4" s="50"/>
      <c r="D4" s="50"/>
      <c r="E4" s="59"/>
      <c r="F4" s="49"/>
      <c r="G4" s="50"/>
      <c r="H4" s="50"/>
      <c r="I4" s="52"/>
      <c r="J4" s="49"/>
      <c r="K4" s="49"/>
      <c r="L4" s="46" t="s">
        <v>14</v>
      </c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 t="s">
        <v>16</v>
      </c>
      <c r="AE4" s="27"/>
      <c r="AF4" s="27"/>
      <c r="AG4" s="27"/>
      <c r="AH4" s="27"/>
      <c r="AI4" s="27"/>
      <c r="AJ4" s="27"/>
    </row>
    <row r="5" spans="1:36" x14ac:dyDescent="0.35">
      <c r="A5" s="49"/>
      <c r="B5" s="50"/>
      <c r="C5" s="50"/>
      <c r="D5" s="50"/>
      <c r="E5" s="59"/>
      <c r="F5" s="49"/>
      <c r="G5" s="50"/>
      <c r="H5" s="50"/>
      <c r="I5" s="52"/>
      <c r="J5" s="49"/>
      <c r="K5" s="49"/>
      <c r="L5" s="46"/>
      <c r="M5" s="26"/>
      <c r="N5" s="26"/>
      <c r="O5" s="26"/>
      <c r="P5" s="26"/>
      <c r="Q5" s="26"/>
      <c r="R5" s="26"/>
      <c r="S5" s="26"/>
      <c r="T5" s="29"/>
      <c r="U5" s="27"/>
      <c r="V5" s="27"/>
      <c r="W5" s="27"/>
      <c r="X5" s="27"/>
      <c r="Y5" s="27"/>
      <c r="Z5" s="27"/>
      <c r="AA5" s="27"/>
      <c r="AB5" s="27"/>
      <c r="AC5" s="27"/>
      <c r="AD5" s="30" t="s">
        <v>86</v>
      </c>
      <c r="AE5" s="27"/>
      <c r="AF5" s="27"/>
      <c r="AG5" s="27"/>
      <c r="AH5" s="27"/>
      <c r="AI5" s="27"/>
      <c r="AJ5" s="27"/>
    </row>
    <row r="6" spans="1:36" ht="16" x14ac:dyDescent="0.35">
      <c r="A6" s="49"/>
      <c r="B6" s="50"/>
      <c r="C6" s="50"/>
      <c r="D6" s="50"/>
      <c r="E6" s="59"/>
      <c r="F6" s="49"/>
      <c r="G6" s="50"/>
      <c r="H6" s="50"/>
      <c r="I6" s="53"/>
      <c r="J6" s="49"/>
      <c r="K6" s="49"/>
      <c r="L6" s="46" t="s">
        <v>87</v>
      </c>
      <c r="M6" s="10">
        <v>0.33333333333333331</v>
      </c>
      <c r="N6" s="10">
        <v>0.41666666666666669</v>
      </c>
      <c r="O6" s="10">
        <v>0.625</v>
      </c>
      <c r="P6" s="10">
        <v>0.75</v>
      </c>
      <c r="Q6" s="10">
        <v>0.83333333333333337</v>
      </c>
      <c r="R6" s="10"/>
      <c r="S6" s="10"/>
      <c r="T6" s="11">
        <v>0.41666666666666669</v>
      </c>
      <c r="U6" s="11">
        <v>0.44444444444444442</v>
      </c>
      <c r="V6" s="11">
        <v>0.56944444444444442</v>
      </c>
      <c r="W6" s="11">
        <v>0.76041666666666663</v>
      </c>
      <c r="X6" s="11"/>
      <c r="Y6" s="11"/>
      <c r="Z6" s="11"/>
      <c r="AA6" s="11"/>
      <c r="AB6" s="11"/>
      <c r="AC6" s="27"/>
      <c r="AD6" s="31" t="s">
        <v>88</v>
      </c>
      <c r="AE6" s="31">
        <v>0.27083333333333331</v>
      </c>
      <c r="AF6" s="31">
        <v>0.29166666666666669</v>
      </c>
      <c r="AG6" s="31">
        <v>0.40625</v>
      </c>
      <c r="AH6" s="31">
        <v>0.46875</v>
      </c>
      <c r="AI6" s="31">
        <v>0.61458333333333337</v>
      </c>
      <c r="AJ6" s="31"/>
    </row>
    <row r="7" spans="1:36" ht="21" x14ac:dyDescent="0.35">
      <c r="A7" s="32" t="s">
        <v>18</v>
      </c>
      <c r="B7" s="32" t="s">
        <v>19</v>
      </c>
      <c r="C7" s="32" t="s">
        <v>20</v>
      </c>
      <c r="D7" s="33">
        <v>184</v>
      </c>
      <c r="E7" s="48">
        <v>11</v>
      </c>
      <c r="F7" s="15">
        <v>90</v>
      </c>
      <c r="G7" s="33"/>
      <c r="H7" s="33">
        <f>MAX(((D7+E7)-F7),0)</f>
        <v>105</v>
      </c>
      <c r="I7" s="33">
        <f>MAX(H7-(SUM(M7:R7)),0)</f>
        <v>9</v>
      </c>
      <c r="J7" s="33">
        <f>SUM(M7:S7)</f>
        <v>96</v>
      </c>
      <c r="K7" s="33">
        <f>SUM(T7:Z7)</f>
        <v>0</v>
      </c>
      <c r="L7" s="34"/>
      <c r="M7" s="8"/>
      <c r="N7" s="8"/>
      <c r="O7" s="8"/>
      <c r="P7" s="8">
        <v>96</v>
      </c>
      <c r="Q7" s="8"/>
      <c r="R7" s="8"/>
      <c r="S7" s="8"/>
      <c r="T7" s="9"/>
      <c r="U7" s="9"/>
      <c r="V7" s="9"/>
      <c r="W7" s="9"/>
      <c r="X7" s="9"/>
      <c r="Y7" s="9"/>
      <c r="Z7" s="9"/>
      <c r="AA7" s="9"/>
      <c r="AB7" s="9"/>
      <c r="AC7" s="28"/>
      <c r="AD7" s="28">
        <f t="shared" ref="AD7:AD34" si="0">SUM(T7:AC7)</f>
        <v>0</v>
      </c>
      <c r="AE7" s="28">
        <f t="shared" ref="AE7:AE34" si="1">T7-M7</f>
        <v>0</v>
      </c>
      <c r="AF7" s="28">
        <f t="shared" ref="AF7:AF34" si="2">SUM(T7:U7)-SUM(M7:N7)</f>
        <v>0</v>
      </c>
      <c r="AG7" s="28">
        <f t="shared" ref="AG7:AG34" si="3">SUM(T7:V7)-SUM(M7:O7)</f>
        <v>0</v>
      </c>
      <c r="AH7" s="28">
        <f t="shared" ref="AH7:AH34" si="4">SUM(T7:Z7)-SUM(M7:P7)</f>
        <v>-96</v>
      </c>
      <c r="AI7" s="28">
        <f t="shared" ref="AI7:AI34" si="5">SUM(T7:AA7)-SUM(M7:Q7)</f>
        <v>-96</v>
      </c>
      <c r="AJ7" s="28">
        <f t="shared" ref="AJ7:AJ34" si="6">SUM(T7:AB7)-SUM(M7:R7)</f>
        <v>-96</v>
      </c>
    </row>
    <row r="8" spans="1:36" ht="21" x14ac:dyDescent="0.35">
      <c r="A8" s="32" t="s">
        <v>21</v>
      </c>
      <c r="B8" s="32" t="s">
        <v>22</v>
      </c>
      <c r="C8" s="32" t="s">
        <v>23</v>
      </c>
      <c r="D8" s="33">
        <v>199</v>
      </c>
      <c r="E8" s="48">
        <v>349</v>
      </c>
      <c r="F8" s="15">
        <v>250</v>
      </c>
      <c r="G8" s="33"/>
      <c r="H8" s="33">
        <f t="shared" ref="H8:H41" si="7">MAX(((D8+E8)-F8),0)</f>
        <v>298</v>
      </c>
      <c r="I8" s="33">
        <f t="shared" ref="I8:I41" si="8">MAX(H8-(SUM(M8:R8)),0)</f>
        <v>0</v>
      </c>
      <c r="J8" s="33">
        <f t="shared" ref="J8:J41" si="9">SUM(M8:S8)</f>
        <v>384</v>
      </c>
      <c r="K8" s="33">
        <f t="shared" ref="K8:K41" si="10">SUM(T8:Z8)</f>
        <v>384</v>
      </c>
      <c r="L8" s="34"/>
      <c r="M8" s="8">
        <v>96</v>
      </c>
      <c r="N8" s="8">
        <v>96</v>
      </c>
      <c r="O8" s="8">
        <v>96</v>
      </c>
      <c r="P8" s="8">
        <v>96</v>
      </c>
      <c r="Q8" s="8"/>
      <c r="R8" s="8"/>
      <c r="S8" s="8"/>
      <c r="T8" s="9">
        <v>96</v>
      </c>
      <c r="U8" s="9">
        <v>96</v>
      </c>
      <c r="V8" s="9">
        <v>96</v>
      </c>
      <c r="W8" s="9">
        <v>96</v>
      </c>
      <c r="X8" s="9"/>
      <c r="Y8" s="9"/>
      <c r="Z8" s="9"/>
      <c r="AA8" s="9"/>
      <c r="AB8" s="9"/>
      <c r="AC8" s="28"/>
      <c r="AD8" s="28">
        <f t="shared" si="0"/>
        <v>384</v>
      </c>
      <c r="AE8" s="28">
        <f t="shared" si="1"/>
        <v>0</v>
      </c>
      <c r="AF8" s="28">
        <f t="shared" si="2"/>
        <v>0</v>
      </c>
      <c r="AG8" s="28">
        <f t="shared" si="3"/>
        <v>0</v>
      </c>
      <c r="AH8" s="28">
        <f t="shared" si="4"/>
        <v>0</v>
      </c>
      <c r="AI8" s="28">
        <f t="shared" si="5"/>
        <v>0</v>
      </c>
      <c r="AJ8" s="28">
        <f t="shared" si="6"/>
        <v>0</v>
      </c>
    </row>
    <row r="9" spans="1:36" ht="21" x14ac:dyDescent="0.35">
      <c r="A9" s="32" t="s">
        <v>24</v>
      </c>
      <c r="B9" s="32" t="s">
        <v>25</v>
      </c>
      <c r="C9" s="32" t="s">
        <v>26</v>
      </c>
      <c r="D9" s="33">
        <v>120</v>
      </c>
      <c r="E9" s="48">
        <v>40</v>
      </c>
      <c r="F9" s="15">
        <v>130</v>
      </c>
      <c r="G9" s="33"/>
      <c r="H9" s="33">
        <f t="shared" si="7"/>
        <v>30</v>
      </c>
      <c r="I9" s="33">
        <f t="shared" si="8"/>
        <v>30</v>
      </c>
      <c r="J9" s="33">
        <f t="shared" si="9"/>
        <v>0</v>
      </c>
      <c r="K9" s="33">
        <f t="shared" si="10"/>
        <v>0</v>
      </c>
      <c r="L9" s="34"/>
      <c r="M9" s="8"/>
      <c r="N9" s="8"/>
      <c r="O9" s="8"/>
      <c r="P9" s="8"/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28"/>
      <c r="AD9" s="28">
        <f t="shared" si="0"/>
        <v>0</v>
      </c>
      <c r="AE9" s="28">
        <f t="shared" si="1"/>
        <v>0</v>
      </c>
      <c r="AF9" s="28">
        <f t="shared" si="2"/>
        <v>0</v>
      </c>
      <c r="AG9" s="28">
        <f t="shared" si="3"/>
        <v>0</v>
      </c>
      <c r="AH9" s="28">
        <f t="shared" si="4"/>
        <v>0</v>
      </c>
      <c r="AI9" s="28">
        <f t="shared" si="5"/>
        <v>0</v>
      </c>
      <c r="AJ9" s="28">
        <f t="shared" si="6"/>
        <v>0</v>
      </c>
    </row>
    <row r="10" spans="1:36" ht="21" x14ac:dyDescent="0.35">
      <c r="A10" s="35" t="s">
        <v>27</v>
      </c>
      <c r="B10" s="32" t="s">
        <v>28</v>
      </c>
      <c r="C10" s="32" t="s">
        <v>29</v>
      </c>
      <c r="D10" s="33">
        <v>130</v>
      </c>
      <c r="E10" s="48">
        <v>17</v>
      </c>
      <c r="F10" s="15">
        <v>140</v>
      </c>
      <c r="G10" s="33"/>
      <c r="H10" s="33">
        <f t="shared" si="7"/>
        <v>7</v>
      </c>
      <c r="I10" s="33">
        <f t="shared" si="8"/>
        <v>7</v>
      </c>
      <c r="J10" s="33">
        <f t="shared" si="9"/>
        <v>0</v>
      </c>
      <c r="K10" s="33">
        <f t="shared" si="10"/>
        <v>0</v>
      </c>
      <c r="L10" s="34"/>
      <c r="M10" s="8"/>
      <c r="N10" s="8"/>
      <c r="O10" s="8"/>
      <c r="P10" s="8"/>
      <c r="Q10" s="8"/>
      <c r="R10" s="8"/>
      <c r="S10" s="8"/>
      <c r="T10" s="9"/>
      <c r="U10" s="9"/>
      <c r="V10" s="9"/>
      <c r="W10" s="9"/>
      <c r="X10" s="9"/>
      <c r="Y10" s="9"/>
      <c r="Z10" s="9"/>
      <c r="AA10" s="9"/>
      <c r="AB10" s="9"/>
      <c r="AC10" s="28"/>
      <c r="AD10" s="28">
        <f t="shared" si="0"/>
        <v>0</v>
      </c>
      <c r="AE10" s="28">
        <f t="shared" si="1"/>
        <v>0</v>
      </c>
      <c r="AF10" s="28">
        <f t="shared" si="2"/>
        <v>0</v>
      </c>
      <c r="AG10" s="28">
        <f t="shared" si="3"/>
        <v>0</v>
      </c>
      <c r="AH10" s="28">
        <f t="shared" si="4"/>
        <v>0</v>
      </c>
      <c r="AI10" s="28">
        <f t="shared" si="5"/>
        <v>0</v>
      </c>
      <c r="AJ10" s="28">
        <f t="shared" si="6"/>
        <v>0</v>
      </c>
    </row>
    <row r="11" spans="1:36" ht="21" x14ac:dyDescent="0.35">
      <c r="A11" s="32" t="s">
        <v>30</v>
      </c>
      <c r="B11" s="32" t="s">
        <v>31</v>
      </c>
      <c r="C11" s="32" t="s">
        <v>32</v>
      </c>
      <c r="D11" s="33">
        <v>260</v>
      </c>
      <c r="E11" s="48">
        <v>221</v>
      </c>
      <c r="F11" s="15">
        <v>370</v>
      </c>
      <c r="G11" s="33"/>
      <c r="H11" s="33">
        <f t="shared" si="7"/>
        <v>111</v>
      </c>
      <c r="I11" s="33">
        <f t="shared" si="8"/>
        <v>111</v>
      </c>
      <c r="J11" s="33">
        <f t="shared" si="9"/>
        <v>0</v>
      </c>
      <c r="K11" s="33">
        <f t="shared" si="10"/>
        <v>0</v>
      </c>
      <c r="L11" s="34"/>
      <c r="M11" s="8"/>
      <c r="N11" s="8"/>
      <c r="O11" s="8"/>
      <c r="P11" s="8"/>
      <c r="Q11" s="8"/>
      <c r="R11" s="8"/>
      <c r="S11" s="8"/>
      <c r="T11" s="9"/>
      <c r="U11" s="9"/>
      <c r="V11" s="9"/>
      <c r="W11" s="9"/>
      <c r="X11" s="9"/>
      <c r="Y11" s="9"/>
      <c r="Z11" s="9"/>
      <c r="AA11" s="9"/>
      <c r="AB11" s="9"/>
      <c r="AC11" s="28"/>
      <c r="AD11" s="28">
        <f t="shared" si="0"/>
        <v>0</v>
      </c>
      <c r="AE11" s="28">
        <f t="shared" si="1"/>
        <v>0</v>
      </c>
      <c r="AF11" s="28">
        <f t="shared" si="2"/>
        <v>0</v>
      </c>
      <c r="AG11" s="28">
        <f t="shared" si="3"/>
        <v>0</v>
      </c>
      <c r="AH11" s="28">
        <f t="shared" si="4"/>
        <v>0</v>
      </c>
      <c r="AI11" s="28">
        <f t="shared" si="5"/>
        <v>0</v>
      </c>
      <c r="AJ11" s="28">
        <f t="shared" si="6"/>
        <v>0</v>
      </c>
    </row>
    <row r="12" spans="1:36" ht="21" x14ac:dyDescent="0.35">
      <c r="A12" s="32" t="s">
        <v>33</v>
      </c>
      <c r="B12" s="32" t="s">
        <v>34</v>
      </c>
      <c r="C12" s="32" t="s">
        <v>35</v>
      </c>
      <c r="D12" s="33">
        <v>140</v>
      </c>
      <c r="E12" s="48">
        <v>0</v>
      </c>
      <c r="F12" s="15">
        <v>280</v>
      </c>
      <c r="G12" s="33"/>
      <c r="H12" s="33">
        <f t="shared" si="7"/>
        <v>0</v>
      </c>
      <c r="I12" s="33">
        <f t="shared" si="8"/>
        <v>0</v>
      </c>
      <c r="J12" s="33">
        <f t="shared" si="9"/>
        <v>0</v>
      </c>
      <c r="K12" s="33">
        <f t="shared" si="10"/>
        <v>0</v>
      </c>
      <c r="L12" s="34"/>
      <c r="M12" s="8"/>
      <c r="N12" s="8"/>
      <c r="O12" s="8"/>
      <c r="P12" s="8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28"/>
      <c r="AD12" s="28">
        <f t="shared" si="0"/>
        <v>0</v>
      </c>
      <c r="AE12" s="28">
        <f t="shared" si="1"/>
        <v>0</v>
      </c>
      <c r="AF12" s="28">
        <f t="shared" si="2"/>
        <v>0</v>
      </c>
      <c r="AG12" s="28">
        <f t="shared" si="3"/>
        <v>0</v>
      </c>
      <c r="AH12" s="28">
        <f t="shared" si="4"/>
        <v>0</v>
      </c>
      <c r="AI12" s="28">
        <f t="shared" si="5"/>
        <v>0</v>
      </c>
      <c r="AJ12" s="28">
        <f t="shared" si="6"/>
        <v>0</v>
      </c>
    </row>
    <row r="13" spans="1:36" ht="21" x14ac:dyDescent="0.35">
      <c r="A13" s="32" t="s">
        <v>36</v>
      </c>
      <c r="B13" s="32" t="s">
        <v>37</v>
      </c>
      <c r="C13" s="32">
        <v>630131090</v>
      </c>
      <c r="D13" s="33">
        <v>140</v>
      </c>
      <c r="E13" s="48">
        <v>40</v>
      </c>
      <c r="F13" s="15">
        <v>100</v>
      </c>
      <c r="G13" s="33"/>
      <c r="H13" s="33">
        <f t="shared" si="7"/>
        <v>80</v>
      </c>
      <c r="I13" s="33">
        <f t="shared" si="8"/>
        <v>0</v>
      </c>
      <c r="J13" s="33">
        <f t="shared" si="9"/>
        <v>140</v>
      </c>
      <c r="K13" s="33">
        <f t="shared" si="10"/>
        <v>0</v>
      </c>
      <c r="L13" s="34"/>
      <c r="M13" s="8"/>
      <c r="N13" s="8">
        <v>140</v>
      </c>
      <c r="O13" s="8"/>
      <c r="P13" s="8"/>
      <c r="Q13" s="8"/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28"/>
      <c r="AD13" s="28">
        <f t="shared" si="0"/>
        <v>0</v>
      </c>
      <c r="AE13" s="28">
        <f t="shared" si="1"/>
        <v>0</v>
      </c>
      <c r="AF13" s="28">
        <f t="shared" si="2"/>
        <v>-140</v>
      </c>
      <c r="AG13" s="28">
        <f t="shared" si="3"/>
        <v>-140</v>
      </c>
      <c r="AH13" s="28">
        <f t="shared" si="4"/>
        <v>-140</v>
      </c>
      <c r="AI13" s="28">
        <f t="shared" si="5"/>
        <v>-140</v>
      </c>
      <c r="AJ13" s="28">
        <f t="shared" si="6"/>
        <v>-140</v>
      </c>
    </row>
    <row r="14" spans="1:36" ht="21" x14ac:dyDescent="0.35">
      <c r="A14" s="32" t="s">
        <v>38</v>
      </c>
      <c r="B14" s="32" t="s">
        <v>39</v>
      </c>
      <c r="C14" s="32" t="s">
        <v>40</v>
      </c>
      <c r="D14" s="33">
        <v>42</v>
      </c>
      <c r="E14" s="48">
        <v>49</v>
      </c>
      <c r="F14" s="15">
        <v>40</v>
      </c>
      <c r="G14" s="33"/>
      <c r="H14" s="33">
        <f t="shared" si="7"/>
        <v>51</v>
      </c>
      <c r="I14" s="33">
        <f t="shared" si="8"/>
        <v>0</v>
      </c>
      <c r="J14" s="33">
        <f t="shared" si="9"/>
        <v>56</v>
      </c>
      <c r="K14" s="33">
        <f t="shared" si="10"/>
        <v>28</v>
      </c>
      <c r="L14" s="34"/>
      <c r="M14" s="8">
        <v>14</v>
      </c>
      <c r="N14" s="8"/>
      <c r="O14" s="8">
        <v>14</v>
      </c>
      <c r="P14" s="8"/>
      <c r="Q14" s="8">
        <v>28</v>
      </c>
      <c r="R14" s="8"/>
      <c r="S14" s="8"/>
      <c r="T14" s="9">
        <v>14</v>
      </c>
      <c r="U14" s="9"/>
      <c r="V14" s="9"/>
      <c r="W14" s="9">
        <v>14</v>
      </c>
      <c r="X14" s="9"/>
      <c r="Y14" s="9"/>
      <c r="Z14" s="9"/>
      <c r="AA14" s="9"/>
      <c r="AB14" s="9"/>
      <c r="AC14" s="28"/>
      <c r="AD14" s="28">
        <f t="shared" si="0"/>
        <v>28</v>
      </c>
      <c r="AE14" s="28">
        <f t="shared" si="1"/>
        <v>0</v>
      </c>
      <c r="AF14" s="28">
        <f t="shared" si="2"/>
        <v>0</v>
      </c>
      <c r="AG14" s="28">
        <f t="shared" si="3"/>
        <v>-14</v>
      </c>
      <c r="AH14" s="28">
        <f t="shared" si="4"/>
        <v>0</v>
      </c>
      <c r="AI14" s="28">
        <f t="shared" si="5"/>
        <v>-28</v>
      </c>
      <c r="AJ14" s="28">
        <f t="shared" si="6"/>
        <v>-28</v>
      </c>
    </row>
    <row r="15" spans="1:36" ht="21" x14ac:dyDescent="0.35">
      <c r="A15" s="32" t="s">
        <v>41</v>
      </c>
      <c r="B15" s="32" t="s">
        <v>42</v>
      </c>
      <c r="C15" s="32" t="s">
        <v>43</v>
      </c>
      <c r="D15" s="33">
        <v>28</v>
      </c>
      <c r="E15" s="48">
        <v>8</v>
      </c>
      <c r="F15" s="15">
        <v>38</v>
      </c>
      <c r="G15" s="33"/>
      <c r="H15" s="33">
        <f t="shared" si="7"/>
        <v>0</v>
      </c>
      <c r="I15" s="33">
        <f t="shared" si="8"/>
        <v>0</v>
      </c>
      <c r="J15" s="33">
        <f t="shared" si="9"/>
        <v>28</v>
      </c>
      <c r="K15" s="33">
        <f t="shared" si="10"/>
        <v>0</v>
      </c>
      <c r="L15" s="34"/>
      <c r="M15" s="8"/>
      <c r="N15" s="8"/>
      <c r="O15" s="8"/>
      <c r="P15" s="8">
        <v>14</v>
      </c>
      <c r="Q15" s="8">
        <v>14</v>
      </c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28"/>
      <c r="AD15" s="28">
        <f t="shared" si="0"/>
        <v>0</v>
      </c>
      <c r="AE15" s="28">
        <f t="shared" si="1"/>
        <v>0</v>
      </c>
      <c r="AF15" s="28">
        <f t="shared" si="2"/>
        <v>0</v>
      </c>
      <c r="AG15" s="28">
        <f t="shared" si="3"/>
        <v>0</v>
      </c>
      <c r="AH15" s="28">
        <f t="shared" si="4"/>
        <v>-14</v>
      </c>
      <c r="AI15" s="28">
        <f t="shared" si="5"/>
        <v>-28</v>
      </c>
      <c r="AJ15" s="28">
        <f t="shared" si="6"/>
        <v>-28</v>
      </c>
    </row>
    <row r="16" spans="1:36" ht="21" x14ac:dyDescent="0.35">
      <c r="A16" s="32" t="s">
        <v>44</v>
      </c>
      <c r="B16" s="32" t="s">
        <v>45</v>
      </c>
      <c r="C16" s="32" t="s">
        <v>46</v>
      </c>
      <c r="D16" s="33">
        <v>84</v>
      </c>
      <c r="E16" s="48">
        <v>209</v>
      </c>
      <c r="F16" s="15">
        <v>90</v>
      </c>
      <c r="G16" s="33"/>
      <c r="H16" s="33">
        <f t="shared" si="7"/>
        <v>203</v>
      </c>
      <c r="I16" s="33">
        <f t="shared" si="8"/>
        <v>0</v>
      </c>
      <c r="J16" s="33">
        <f t="shared" si="9"/>
        <v>238</v>
      </c>
      <c r="K16" s="33">
        <f t="shared" si="10"/>
        <v>182</v>
      </c>
      <c r="L16" s="34"/>
      <c r="M16" s="8">
        <v>56</v>
      </c>
      <c r="N16" s="8">
        <v>70</v>
      </c>
      <c r="O16" s="8">
        <v>28</v>
      </c>
      <c r="P16" s="8">
        <v>42</v>
      </c>
      <c r="Q16" s="8">
        <v>42</v>
      </c>
      <c r="R16" s="8"/>
      <c r="S16" s="8"/>
      <c r="T16" s="9">
        <v>42</v>
      </c>
      <c r="U16" s="9">
        <v>70</v>
      </c>
      <c r="V16" s="9">
        <v>70</v>
      </c>
      <c r="W16" s="9"/>
      <c r="X16" s="9"/>
      <c r="Y16" s="9"/>
      <c r="Z16" s="9"/>
      <c r="AA16" s="9"/>
      <c r="AB16" s="9"/>
      <c r="AC16" s="28"/>
      <c r="AD16" s="28">
        <f t="shared" si="0"/>
        <v>182</v>
      </c>
      <c r="AE16" s="28">
        <f t="shared" si="1"/>
        <v>-14</v>
      </c>
      <c r="AF16" s="28">
        <f t="shared" si="2"/>
        <v>-14</v>
      </c>
      <c r="AG16" s="28">
        <f t="shared" si="3"/>
        <v>28</v>
      </c>
      <c r="AH16" s="28">
        <f t="shared" si="4"/>
        <v>-14</v>
      </c>
      <c r="AI16" s="28">
        <f t="shared" si="5"/>
        <v>-56</v>
      </c>
      <c r="AJ16" s="28">
        <f t="shared" si="6"/>
        <v>-56</v>
      </c>
    </row>
    <row r="17" spans="1:36" ht="21" x14ac:dyDescent="0.35">
      <c r="A17" s="32" t="s">
        <v>47</v>
      </c>
      <c r="B17" s="32" t="s">
        <v>48</v>
      </c>
      <c r="C17" s="32" t="s">
        <v>49</v>
      </c>
      <c r="D17" s="33">
        <v>28</v>
      </c>
      <c r="E17" s="48">
        <v>44</v>
      </c>
      <c r="F17" s="15">
        <v>38</v>
      </c>
      <c r="G17" s="33"/>
      <c r="H17" s="33">
        <f t="shared" si="7"/>
        <v>34</v>
      </c>
      <c r="I17" s="33">
        <f t="shared" si="8"/>
        <v>0</v>
      </c>
      <c r="J17" s="33">
        <f t="shared" si="9"/>
        <v>42</v>
      </c>
      <c r="K17" s="33">
        <f t="shared" si="10"/>
        <v>28</v>
      </c>
      <c r="L17" s="34"/>
      <c r="M17" s="8">
        <v>14</v>
      </c>
      <c r="N17" s="8"/>
      <c r="O17" s="8">
        <v>14</v>
      </c>
      <c r="P17" s="8">
        <v>14</v>
      </c>
      <c r="Q17" s="8"/>
      <c r="R17" s="8"/>
      <c r="S17" s="8"/>
      <c r="T17" s="9"/>
      <c r="U17" s="9"/>
      <c r="V17" s="9">
        <v>14</v>
      </c>
      <c r="W17" s="9">
        <v>14</v>
      </c>
      <c r="X17" s="9"/>
      <c r="Y17" s="9"/>
      <c r="Z17" s="9"/>
      <c r="AA17" s="9"/>
      <c r="AB17" s="9"/>
      <c r="AC17" s="28"/>
      <c r="AD17" s="28">
        <f t="shared" si="0"/>
        <v>28</v>
      </c>
      <c r="AE17" s="28">
        <f t="shared" si="1"/>
        <v>-14</v>
      </c>
      <c r="AF17" s="28">
        <f t="shared" si="2"/>
        <v>-14</v>
      </c>
      <c r="AG17" s="28">
        <f t="shared" si="3"/>
        <v>-14</v>
      </c>
      <c r="AH17" s="28">
        <f t="shared" si="4"/>
        <v>-14</v>
      </c>
      <c r="AI17" s="28">
        <f t="shared" si="5"/>
        <v>-14</v>
      </c>
      <c r="AJ17" s="28">
        <f t="shared" si="6"/>
        <v>-14</v>
      </c>
    </row>
    <row r="18" spans="1:36" ht="21" x14ac:dyDescent="0.35">
      <c r="A18" s="32" t="s">
        <v>50</v>
      </c>
      <c r="B18" s="32" t="s">
        <v>51</v>
      </c>
      <c r="C18" s="32" t="s">
        <v>52</v>
      </c>
      <c r="D18" s="33">
        <v>0</v>
      </c>
      <c r="E18" s="48">
        <v>0</v>
      </c>
      <c r="F18" s="15">
        <v>0</v>
      </c>
      <c r="G18" s="33"/>
      <c r="H18" s="33">
        <f t="shared" si="7"/>
        <v>0</v>
      </c>
      <c r="I18" s="33">
        <f t="shared" si="8"/>
        <v>0</v>
      </c>
      <c r="J18" s="33">
        <f t="shared" si="9"/>
        <v>0</v>
      </c>
      <c r="K18" s="33">
        <f t="shared" si="10"/>
        <v>0</v>
      </c>
      <c r="L18" s="34"/>
      <c r="M18" s="8"/>
      <c r="N18" s="8"/>
      <c r="O18" s="8"/>
      <c r="P18" s="8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28"/>
      <c r="AD18" s="28">
        <f t="shared" si="0"/>
        <v>0</v>
      </c>
      <c r="AE18" s="28">
        <f t="shared" si="1"/>
        <v>0</v>
      </c>
      <c r="AF18" s="28">
        <f t="shared" si="2"/>
        <v>0</v>
      </c>
      <c r="AG18" s="28">
        <f t="shared" si="3"/>
        <v>0</v>
      </c>
      <c r="AH18" s="28">
        <f t="shared" si="4"/>
        <v>0</v>
      </c>
      <c r="AI18" s="28">
        <f t="shared" si="5"/>
        <v>0</v>
      </c>
      <c r="AJ18" s="28">
        <f t="shared" si="6"/>
        <v>0</v>
      </c>
    </row>
    <row r="19" spans="1:36" ht="21" x14ac:dyDescent="0.35">
      <c r="A19" s="32" t="s">
        <v>53</v>
      </c>
      <c r="B19" s="32" t="s">
        <v>54</v>
      </c>
      <c r="C19" s="32" t="s">
        <v>55</v>
      </c>
      <c r="D19" s="33">
        <v>28</v>
      </c>
      <c r="E19" s="48">
        <v>0</v>
      </c>
      <c r="F19" s="15">
        <v>24</v>
      </c>
      <c r="G19" s="33"/>
      <c r="H19" s="33">
        <f t="shared" si="7"/>
        <v>4</v>
      </c>
      <c r="I19" s="33">
        <f t="shared" si="8"/>
        <v>4</v>
      </c>
      <c r="J19" s="33">
        <f t="shared" si="9"/>
        <v>0</v>
      </c>
      <c r="K19" s="33">
        <f t="shared" si="10"/>
        <v>0</v>
      </c>
      <c r="L19" s="34"/>
      <c r="M19" s="8"/>
      <c r="N19" s="8"/>
      <c r="O19" s="8"/>
      <c r="P19" s="8"/>
      <c r="Q19" s="8"/>
      <c r="R19" s="8"/>
      <c r="S19" s="8"/>
      <c r="T19" s="9"/>
      <c r="U19" s="9"/>
      <c r="V19" s="9"/>
      <c r="W19" s="9"/>
      <c r="X19" s="9"/>
      <c r="Y19" s="9"/>
      <c r="Z19" s="9"/>
      <c r="AA19" s="9"/>
      <c r="AB19" s="9"/>
      <c r="AC19" s="28"/>
      <c r="AD19" s="28">
        <f t="shared" si="0"/>
        <v>0</v>
      </c>
      <c r="AE19" s="28">
        <f t="shared" si="1"/>
        <v>0</v>
      </c>
      <c r="AF19" s="28">
        <f t="shared" si="2"/>
        <v>0</v>
      </c>
      <c r="AG19" s="28">
        <f t="shared" si="3"/>
        <v>0</v>
      </c>
      <c r="AH19" s="28">
        <f t="shared" si="4"/>
        <v>0</v>
      </c>
      <c r="AI19" s="28">
        <f t="shared" si="5"/>
        <v>0</v>
      </c>
      <c r="AJ19" s="28">
        <f t="shared" si="6"/>
        <v>0</v>
      </c>
    </row>
    <row r="20" spans="1:36" ht="21" x14ac:dyDescent="0.35">
      <c r="A20" s="32" t="s">
        <v>56</v>
      </c>
      <c r="B20" s="32" t="s">
        <v>57</v>
      </c>
      <c r="C20" s="32" t="s">
        <v>58</v>
      </c>
      <c r="D20" s="33">
        <v>28</v>
      </c>
      <c r="E20" s="48">
        <v>38</v>
      </c>
      <c r="F20" s="15">
        <v>38</v>
      </c>
      <c r="G20" s="33"/>
      <c r="H20" s="33">
        <f t="shared" si="7"/>
        <v>28</v>
      </c>
      <c r="I20" s="33">
        <f t="shared" si="8"/>
        <v>0</v>
      </c>
      <c r="J20" s="33">
        <f t="shared" si="9"/>
        <v>42</v>
      </c>
      <c r="K20" s="33">
        <f t="shared" si="10"/>
        <v>14</v>
      </c>
      <c r="L20" s="34"/>
      <c r="M20" s="8"/>
      <c r="N20" s="8">
        <v>14</v>
      </c>
      <c r="O20" s="8">
        <v>14</v>
      </c>
      <c r="P20" s="8">
        <v>14</v>
      </c>
      <c r="Q20" s="8"/>
      <c r="R20" s="8"/>
      <c r="S20" s="8"/>
      <c r="T20" s="9"/>
      <c r="U20" s="9"/>
      <c r="V20" s="9"/>
      <c r="W20" s="9">
        <v>14</v>
      </c>
      <c r="X20" s="9"/>
      <c r="Y20" s="9"/>
      <c r="Z20" s="9"/>
      <c r="AA20" s="9"/>
      <c r="AB20" s="9"/>
      <c r="AC20" s="28"/>
      <c r="AD20" s="28">
        <f t="shared" si="0"/>
        <v>14</v>
      </c>
      <c r="AE20" s="28">
        <f t="shared" si="1"/>
        <v>0</v>
      </c>
      <c r="AF20" s="28">
        <f t="shared" si="2"/>
        <v>-14</v>
      </c>
      <c r="AG20" s="28">
        <f t="shared" si="3"/>
        <v>-28</v>
      </c>
      <c r="AH20" s="28">
        <f t="shared" si="4"/>
        <v>-28</v>
      </c>
      <c r="AI20" s="28">
        <f t="shared" si="5"/>
        <v>-28</v>
      </c>
      <c r="AJ20" s="28">
        <f t="shared" si="6"/>
        <v>-28</v>
      </c>
    </row>
    <row r="21" spans="1:36" ht="21" x14ac:dyDescent="0.35">
      <c r="A21" s="32" t="s">
        <v>59</v>
      </c>
      <c r="B21" s="32" t="s">
        <v>60</v>
      </c>
      <c r="C21" s="32" t="s">
        <v>61</v>
      </c>
      <c r="D21" s="33">
        <v>28</v>
      </c>
      <c r="E21" s="48">
        <v>12</v>
      </c>
      <c r="F21" s="15">
        <v>38</v>
      </c>
      <c r="G21" s="33"/>
      <c r="H21" s="33">
        <f t="shared" si="7"/>
        <v>2</v>
      </c>
      <c r="I21" s="33">
        <f t="shared" si="8"/>
        <v>0</v>
      </c>
      <c r="J21" s="33">
        <f t="shared" si="9"/>
        <v>14</v>
      </c>
      <c r="K21" s="33">
        <f t="shared" si="10"/>
        <v>14</v>
      </c>
      <c r="L21" s="34"/>
      <c r="M21" s="8"/>
      <c r="N21" s="8"/>
      <c r="O21" s="8">
        <v>14</v>
      </c>
      <c r="P21" s="8"/>
      <c r="Q21" s="8"/>
      <c r="R21" s="8"/>
      <c r="S21" s="8"/>
      <c r="T21" s="9"/>
      <c r="U21" s="9"/>
      <c r="V21" s="9"/>
      <c r="W21" s="9">
        <v>14</v>
      </c>
      <c r="X21" s="9"/>
      <c r="Y21" s="9"/>
      <c r="Z21" s="9"/>
      <c r="AA21" s="9"/>
      <c r="AB21" s="9"/>
      <c r="AC21" s="28"/>
      <c r="AD21" s="28">
        <f t="shared" si="0"/>
        <v>14</v>
      </c>
      <c r="AE21" s="28">
        <f t="shared" si="1"/>
        <v>0</v>
      </c>
      <c r="AF21" s="28">
        <f t="shared" si="2"/>
        <v>0</v>
      </c>
      <c r="AG21" s="28">
        <f t="shared" si="3"/>
        <v>-14</v>
      </c>
      <c r="AH21" s="28">
        <f t="shared" si="4"/>
        <v>0</v>
      </c>
      <c r="AI21" s="28">
        <f t="shared" si="5"/>
        <v>0</v>
      </c>
      <c r="AJ21" s="28">
        <f t="shared" si="6"/>
        <v>0</v>
      </c>
    </row>
    <row r="22" spans="1:36" ht="16" x14ac:dyDescent="0.35">
      <c r="A22" s="35">
        <v>542474700122</v>
      </c>
      <c r="B22" s="32" t="s">
        <v>89</v>
      </c>
      <c r="C22" s="32" t="s">
        <v>90</v>
      </c>
      <c r="D22" s="33">
        <v>50</v>
      </c>
      <c r="E22" s="36">
        <v>0</v>
      </c>
      <c r="F22" s="33">
        <v>55</v>
      </c>
      <c r="G22" s="33"/>
      <c r="H22" s="33">
        <f t="shared" si="7"/>
        <v>0</v>
      </c>
      <c r="I22" s="33">
        <f t="shared" si="8"/>
        <v>0</v>
      </c>
      <c r="J22" s="33">
        <f t="shared" si="9"/>
        <v>0</v>
      </c>
      <c r="K22" s="33">
        <f t="shared" si="10"/>
        <v>0</v>
      </c>
      <c r="L22" s="34"/>
      <c r="M22" s="37"/>
      <c r="N22" s="37"/>
      <c r="O22" s="37"/>
      <c r="P22" s="22"/>
      <c r="Q22" s="22"/>
      <c r="R22" s="22"/>
      <c r="S22" s="22"/>
      <c r="T22" s="38"/>
      <c r="U22" s="38"/>
      <c r="V22" s="38"/>
      <c r="W22" s="38"/>
      <c r="X22" s="38"/>
      <c r="Y22" s="38"/>
      <c r="Z22" s="28"/>
      <c r="AA22" s="28"/>
      <c r="AB22" s="28"/>
      <c r="AC22" s="28"/>
      <c r="AD22" s="28">
        <f t="shared" si="0"/>
        <v>0</v>
      </c>
      <c r="AE22" s="28">
        <f t="shared" si="1"/>
        <v>0</v>
      </c>
      <c r="AF22" s="28">
        <f t="shared" si="2"/>
        <v>0</v>
      </c>
      <c r="AG22" s="28">
        <f t="shared" si="3"/>
        <v>0</v>
      </c>
      <c r="AH22" s="28">
        <f t="shared" si="4"/>
        <v>0</v>
      </c>
      <c r="AI22" s="28">
        <f t="shared" si="5"/>
        <v>0</v>
      </c>
      <c r="AJ22" s="28">
        <f t="shared" si="6"/>
        <v>0</v>
      </c>
    </row>
    <row r="23" spans="1:36" ht="16" x14ac:dyDescent="0.35">
      <c r="A23" s="35">
        <v>542463700115</v>
      </c>
      <c r="B23" s="32" t="s">
        <v>91</v>
      </c>
      <c r="C23" s="32" t="s">
        <v>92</v>
      </c>
      <c r="D23" s="33">
        <v>50</v>
      </c>
      <c r="E23" s="36">
        <v>0</v>
      </c>
      <c r="F23" s="33">
        <v>60</v>
      </c>
      <c r="G23" s="33"/>
      <c r="H23" s="33">
        <f t="shared" si="7"/>
        <v>0</v>
      </c>
      <c r="I23" s="33">
        <f t="shared" si="8"/>
        <v>0</v>
      </c>
      <c r="J23" s="33">
        <f t="shared" si="9"/>
        <v>0</v>
      </c>
      <c r="K23" s="33">
        <f t="shared" si="10"/>
        <v>0</v>
      </c>
      <c r="L23" s="34"/>
      <c r="M23" s="37"/>
      <c r="N23" s="37"/>
      <c r="O23" s="37"/>
      <c r="P23" s="22"/>
      <c r="Q23" s="22"/>
      <c r="R23" s="22"/>
      <c r="S23" s="22"/>
      <c r="T23" s="38"/>
      <c r="U23" s="38"/>
      <c r="V23" s="38"/>
      <c r="W23" s="38"/>
      <c r="X23" s="38"/>
      <c r="Y23" s="38"/>
      <c r="Z23" s="28"/>
      <c r="AA23" s="28"/>
      <c r="AB23" s="28"/>
      <c r="AC23" s="28"/>
      <c r="AD23" s="28">
        <f t="shared" si="0"/>
        <v>0</v>
      </c>
      <c r="AE23" s="28">
        <f t="shared" si="1"/>
        <v>0</v>
      </c>
      <c r="AF23" s="28">
        <f t="shared" si="2"/>
        <v>0</v>
      </c>
      <c r="AG23" s="28">
        <f t="shared" si="3"/>
        <v>0</v>
      </c>
      <c r="AH23" s="28">
        <f t="shared" si="4"/>
        <v>0</v>
      </c>
      <c r="AI23" s="28">
        <f t="shared" si="5"/>
        <v>0</v>
      </c>
      <c r="AJ23" s="28">
        <f t="shared" si="6"/>
        <v>0</v>
      </c>
    </row>
    <row r="24" spans="1:36" ht="16" x14ac:dyDescent="0.35">
      <c r="A24" s="35">
        <v>542463700114</v>
      </c>
      <c r="B24" s="32" t="s">
        <v>93</v>
      </c>
      <c r="C24" s="32" t="s">
        <v>94</v>
      </c>
      <c r="D24" s="33">
        <v>50</v>
      </c>
      <c r="E24" s="36">
        <v>0</v>
      </c>
      <c r="F24" s="33">
        <v>42</v>
      </c>
      <c r="G24" s="33"/>
      <c r="H24" s="33">
        <f t="shared" si="7"/>
        <v>8</v>
      </c>
      <c r="I24" s="33">
        <f t="shared" si="8"/>
        <v>8</v>
      </c>
      <c r="J24" s="33">
        <f t="shared" si="9"/>
        <v>0</v>
      </c>
      <c r="K24" s="33">
        <f t="shared" si="10"/>
        <v>0</v>
      </c>
      <c r="L24" s="34"/>
      <c r="M24" s="37"/>
      <c r="N24" s="37"/>
      <c r="O24" s="37"/>
      <c r="P24" s="22"/>
      <c r="Q24" s="22"/>
      <c r="R24" s="22"/>
      <c r="S24" s="22"/>
      <c r="T24" s="38"/>
      <c r="U24" s="38"/>
      <c r="V24" s="38"/>
      <c r="W24" s="38"/>
      <c r="X24" s="38"/>
      <c r="Y24" s="38"/>
      <c r="Z24" s="28"/>
      <c r="AA24" s="28"/>
      <c r="AB24" s="28"/>
      <c r="AC24" s="28"/>
      <c r="AD24" s="28">
        <f t="shared" si="0"/>
        <v>0</v>
      </c>
      <c r="AE24" s="28">
        <f t="shared" si="1"/>
        <v>0</v>
      </c>
      <c r="AF24" s="28">
        <f t="shared" si="2"/>
        <v>0</v>
      </c>
      <c r="AG24" s="28">
        <f t="shared" si="3"/>
        <v>0</v>
      </c>
      <c r="AH24" s="28">
        <f t="shared" si="4"/>
        <v>0</v>
      </c>
      <c r="AI24" s="28">
        <f t="shared" si="5"/>
        <v>0</v>
      </c>
      <c r="AJ24" s="28">
        <f t="shared" si="6"/>
        <v>0</v>
      </c>
    </row>
    <row r="25" spans="1:36" ht="16" x14ac:dyDescent="0.35">
      <c r="A25" s="35">
        <v>542472700140</v>
      </c>
      <c r="B25" s="32" t="s">
        <v>95</v>
      </c>
      <c r="C25" s="32" t="s">
        <v>96</v>
      </c>
      <c r="D25" s="33">
        <v>50</v>
      </c>
      <c r="E25" s="36">
        <v>0</v>
      </c>
      <c r="F25" s="33">
        <v>60</v>
      </c>
      <c r="G25" s="33"/>
      <c r="H25" s="33">
        <f t="shared" si="7"/>
        <v>0</v>
      </c>
      <c r="I25" s="33">
        <f t="shared" si="8"/>
        <v>0</v>
      </c>
      <c r="J25" s="33">
        <f t="shared" si="9"/>
        <v>0</v>
      </c>
      <c r="K25" s="33">
        <f t="shared" si="10"/>
        <v>0</v>
      </c>
      <c r="L25" s="34"/>
      <c r="M25" s="37"/>
      <c r="N25" s="37"/>
      <c r="O25" s="37"/>
      <c r="P25" s="22"/>
      <c r="Q25" s="22"/>
      <c r="R25" s="22"/>
      <c r="S25" s="22"/>
      <c r="T25" s="38"/>
      <c r="U25" s="38"/>
      <c r="V25" s="38"/>
      <c r="W25" s="38"/>
      <c r="X25" s="38"/>
      <c r="Y25" s="38"/>
      <c r="Z25" s="28"/>
      <c r="AA25" s="28"/>
      <c r="AB25" s="28"/>
      <c r="AC25" s="28"/>
      <c r="AD25" s="28">
        <f t="shared" si="0"/>
        <v>0</v>
      </c>
      <c r="AE25" s="28">
        <f t="shared" si="1"/>
        <v>0</v>
      </c>
      <c r="AF25" s="28">
        <f t="shared" si="2"/>
        <v>0</v>
      </c>
      <c r="AG25" s="28">
        <f t="shared" si="3"/>
        <v>0</v>
      </c>
      <c r="AH25" s="28">
        <f t="shared" si="4"/>
        <v>0</v>
      </c>
      <c r="AI25" s="28">
        <f t="shared" si="5"/>
        <v>0</v>
      </c>
      <c r="AJ25" s="28">
        <f t="shared" si="6"/>
        <v>0</v>
      </c>
    </row>
    <row r="26" spans="1:36" ht="16" x14ac:dyDescent="0.35">
      <c r="A26" s="35">
        <v>542472700139</v>
      </c>
      <c r="B26" s="32" t="s">
        <v>97</v>
      </c>
      <c r="C26" s="32" t="s">
        <v>98</v>
      </c>
      <c r="D26" s="33">
        <v>50</v>
      </c>
      <c r="E26" s="36">
        <v>0</v>
      </c>
      <c r="F26" s="33">
        <v>40</v>
      </c>
      <c r="G26" s="33"/>
      <c r="H26" s="33">
        <f t="shared" si="7"/>
        <v>10</v>
      </c>
      <c r="I26" s="33">
        <f t="shared" si="8"/>
        <v>10</v>
      </c>
      <c r="J26" s="33">
        <f t="shared" si="9"/>
        <v>0</v>
      </c>
      <c r="K26" s="33">
        <f t="shared" si="10"/>
        <v>0</v>
      </c>
      <c r="L26" s="34"/>
      <c r="M26" s="37"/>
      <c r="N26" s="37"/>
      <c r="O26" s="37"/>
      <c r="P26" s="22"/>
      <c r="Q26" s="22"/>
      <c r="R26" s="22"/>
      <c r="S26" s="22"/>
      <c r="T26" s="38"/>
      <c r="U26" s="38"/>
      <c r="V26" s="38"/>
      <c r="W26" s="38"/>
      <c r="X26" s="38"/>
      <c r="Y26" s="38"/>
      <c r="Z26" s="28"/>
      <c r="AA26" s="28"/>
      <c r="AB26" s="28"/>
      <c r="AC26" s="28"/>
      <c r="AD26" s="28">
        <f t="shared" si="0"/>
        <v>0</v>
      </c>
      <c r="AE26" s="28">
        <f t="shared" si="1"/>
        <v>0</v>
      </c>
      <c r="AF26" s="28">
        <f t="shared" si="2"/>
        <v>0</v>
      </c>
      <c r="AG26" s="28">
        <f t="shared" si="3"/>
        <v>0</v>
      </c>
      <c r="AH26" s="28">
        <f t="shared" si="4"/>
        <v>0</v>
      </c>
      <c r="AI26" s="28">
        <f t="shared" si="5"/>
        <v>0</v>
      </c>
      <c r="AJ26" s="28">
        <f t="shared" si="6"/>
        <v>0</v>
      </c>
    </row>
    <row r="27" spans="1:36" ht="16" x14ac:dyDescent="0.35">
      <c r="A27" s="35">
        <v>542473700124</v>
      </c>
      <c r="B27" s="32" t="s">
        <v>99</v>
      </c>
      <c r="C27" s="32" t="s">
        <v>100</v>
      </c>
      <c r="D27" s="33">
        <v>50</v>
      </c>
      <c r="E27" s="36">
        <v>0</v>
      </c>
      <c r="F27" s="33">
        <v>35</v>
      </c>
      <c r="G27" s="33"/>
      <c r="H27" s="33">
        <f t="shared" si="7"/>
        <v>15</v>
      </c>
      <c r="I27" s="33">
        <f t="shared" si="8"/>
        <v>15</v>
      </c>
      <c r="J27" s="33">
        <f t="shared" si="9"/>
        <v>0</v>
      </c>
      <c r="K27" s="33">
        <f t="shared" si="10"/>
        <v>0</v>
      </c>
      <c r="L27" s="34"/>
      <c r="M27" s="37"/>
      <c r="N27" s="37"/>
      <c r="O27" s="37"/>
      <c r="P27" s="22"/>
      <c r="Q27" s="22"/>
      <c r="R27" s="22"/>
      <c r="S27" s="22"/>
      <c r="T27" s="38"/>
      <c r="U27" s="38"/>
      <c r="V27" s="38"/>
      <c r="W27" s="38"/>
      <c r="X27" s="38"/>
      <c r="Y27" s="38"/>
      <c r="Z27" s="28"/>
      <c r="AA27" s="28"/>
      <c r="AB27" s="28"/>
      <c r="AC27" s="28"/>
      <c r="AD27" s="28">
        <f t="shared" si="0"/>
        <v>0</v>
      </c>
      <c r="AE27" s="28">
        <f t="shared" si="1"/>
        <v>0</v>
      </c>
      <c r="AF27" s="28">
        <f t="shared" si="2"/>
        <v>0</v>
      </c>
      <c r="AG27" s="28">
        <f t="shared" si="3"/>
        <v>0</v>
      </c>
      <c r="AH27" s="28">
        <f t="shared" si="4"/>
        <v>0</v>
      </c>
      <c r="AI27" s="28">
        <f t="shared" si="5"/>
        <v>0</v>
      </c>
      <c r="AJ27" s="28">
        <f t="shared" si="6"/>
        <v>0</v>
      </c>
    </row>
    <row r="28" spans="1:36" ht="16" x14ac:dyDescent="0.35">
      <c r="A28" s="35">
        <v>542473700123</v>
      </c>
      <c r="B28" s="32" t="s">
        <v>101</v>
      </c>
      <c r="C28" s="32" t="s">
        <v>102</v>
      </c>
      <c r="D28" s="33">
        <v>50</v>
      </c>
      <c r="E28" s="36">
        <v>0</v>
      </c>
      <c r="F28" s="33">
        <v>36</v>
      </c>
      <c r="G28" s="33"/>
      <c r="H28" s="33">
        <f t="shared" si="7"/>
        <v>14</v>
      </c>
      <c r="I28" s="33">
        <f t="shared" si="8"/>
        <v>14</v>
      </c>
      <c r="J28" s="33">
        <f t="shared" si="9"/>
        <v>0</v>
      </c>
      <c r="K28" s="33">
        <f t="shared" si="10"/>
        <v>0</v>
      </c>
      <c r="L28" s="34"/>
      <c r="M28" s="37"/>
      <c r="N28" s="37"/>
      <c r="O28" s="37"/>
      <c r="P28" s="22"/>
      <c r="Q28" s="22"/>
      <c r="R28" s="22"/>
      <c r="S28" s="22"/>
      <c r="T28" s="38"/>
      <c r="U28" s="38"/>
      <c r="V28" s="38"/>
      <c r="W28" s="38"/>
      <c r="X28" s="38"/>
      <c r="Y28" s="38"/>
      <c r="Z28" s="28"/>
      <c r="AA28" s="28"/>
      <c r="AB28" s="28"/>
      <c r="AC28" s="28"/>
      <c r="AD28" s="28">
        <f t="shared" si="0"/>
        <v>0</v>
      </c>
      <c r="AE28" s="28">
        <f t="shared" si="1"/>
        <v>0</v>
      </c>
      <c r="AF28" s="28">
        <f t="shared" si="2"/>
        <v>0</v>
      </c>
      <c r="AG28" s="28">
        <f t="shared" si="3"/>
        <v>0</v>
      </c>
      <c r="AH28" s="28">
        <f t="shared" si="4"/>
        <v>0</v>
      </c>
      <c r="AI28" s="28">
        <f t="shared" si="5"/>
        <v>0</v>
      </c>
      <c r="AJ28" s="28">
        <f t="shared" si="6"/>
        <v>0</v>
      </c>
    </row>
    <row r="29" spans="1:36" ht="16" x14ac:dyDescent="0.35">
      <c r="A29" s="39">
        <v>542488100121</v>
      </c>
      <c r="B29" s="40" t="s">
        <v>103</v>
      </c>
      <c r="C29" s="40" t="s">
        <v>104</v>
      </c>
      <c r="D29" s="33">
        <v>50</v>
      </c>
      <c r="E29" s="36">
        <v>0</v>
      </c>
      <c r="F29" s="8">
        <v>250</v>
      </c>
      <c r="G29" s="33"/>
      <c r="H29" s="33">
        <f t="shared" si="7"/>
        <v>0</v>
      </c>
      <c r="I29" s="33">
        <f t="shared" si="8"/>
        <v>0</v>
      </c>
      <c r="J29" s="33">
        <f t="shared" si="9"/>
        <v>0</v>
      </c>
      <c r="K29" s="33">
        <f t="shared" si="10"/>
        <v>0</v>
      </c>
      <c r="L29" s="34"/>
      <c r="M29" s="37"/>
      <c r="N29" s="37"/>
      <c r="O29" s="37"/>
      <c r="P29" s="22"/>
      <c r="Q29" s="22"/>
      <c r="R29" s="22"/>
      <c r="S29" s="22"/>
      <c r="T29" s="38"/>
      <c r="U29" s="38"/>
      <c r="V29" s="38"/>
      <c r="W29" s="38"/>
      <c r="X29" s="38"/>
      <c r="Y29" s="38"/>
      <c r="Z29" s="28"/>
      <c r="AA29" s="28"/>
      <c r="AB29" s="28"/>
      <c r="AC29" s="28"/>
      <c r="AD29" s="28">
        <f t="shared" si="0"/>
        <v>0</v>
      </c>
      <c r="AE29" s="28">
        <f t="shared" si="1"/>
        <v>0</v>
      </c>
      <c r="AF29" s="28">
        <f t="shared" si="2"/>
        <v>0</v>
      </c>
      <c r="AG29" s="28">
        <f t="shared" si="3"/>
        <v>0</v>
      </c>
      <c r="AH29" s="28">
        <f t="shared" si="4"/>
        <v>0</v>
      </c>
      <c r="AI29" s="28">
        <f t="shared" si="5"/>
        <v>0</v>
      </c>
      <c r="AJ29" s="28">
        <f t="shared" si="6"/>
        <v>0</v>
      </c>
    </row>
    <row r="30" spans="1:36" ht="16" x14ac:dyDescent="0.35">
      <c r="A30" s="39">
        <v>542488100120</v>
      </c>
      <c r="B30" s="40" t="s">
        <v>105</v>
      </c>
      <c r="C30" s="40" t="s">
        <v>106</v>
      </c>
      <c r="D30" s="33">
        <v>50</v>
      </c>
      <c r="E30" s="36">
        <v>0</v>
      </c>
      <c r="F30" s="8">
        <v>50</v>
      </c>
      <c r="G30" s="33"/>
      <c r="H30" s="33">
        <f t="shared" si="7"/>
        <v>0</v>
      </c>
      <c r="I30" s="33">
        <f t="shared" si="8"/>
        <v>0</v>
      </c>
      <c r="J30" s="33">
        <f t="shared" si="9"/>
        <v>0</v>
      </c>
      <c r="K30" s="33">
        <f t="shared" si="10"/>
        <v>0</v>
      </c>
      <c r="L30" s="34"/>
      <c r="M30" s="37"/>
      <c r="N30" s="37"/>
      <c r="O30" s="37"/>
      <c r="P30" s="22"/>
      <c r="Q30" s="22"/>
      <c r="R30" s="22"/>
      <c r="S30" s="22"/>
      <c r="T30" s="38"/>
      <c r="U30" s="38"/>
      <c r="V30" s="38"/>
      <c r="W30" s="38"/>
      <c r="X30" s="38"/>
      <c r="Y30" s="38"/>
      <c r="Z30" s="28"/>
      <c r="AA30" s="28"/>
      <c r="AB30" s="28"/>
      <c r="AC30" s="28"/>
      <c r="AD30" s="28">
        <f t="shared" si="0"/>
        <v>0</v>
      </c>
      <c r="AE30" s="28">
        <f t="shared" si="1"/>
        <v>0</v>
      </c>
      <c r="AF30" s="28">
        <f t="shared" si="2"/>
        <v>0</v>
      </c>
      <c r="AG30" s="28">
        <f t="shared" si="3"/>
        <v>0</v>
      </c>
      <c r="AH30" s="28">
        <f t="shared" si="4"/>
        <v>0</v>
      </c>
      <c r="AI30" s="28">
        <f t="shared" si="5"/>
        <v>0</v>
      </c>
      <c r="AJ30" s="28">
        <f t="shared" si="6"/>
        <v>0</v>
      </c>
    </row>
    <row r="31" spans="1:36" ht="16" x14ac:dyDescent="0.35">
      <c r="A31" s="39">
        <v>542488100123</v>
      </c>
      <c r="B31" s="40" t="s">
        <v>107</v>
      </c>
      <c r="C31" s="40" t="s">
        <v>108</v>
      </c>
      <c r="D31" s="33">
        <v>50</v>
      </c>
      <c r="E31" s="36">
        <v>0</v>
      </c>
      <c r="F31" s="8">
        <v>70</v>
      </c>
      <c r="G31" s="33"/>
      <c r="H31" s="33">
        <f t="shared" si="7"/>
        <v>0</v>
      </c>
      <c r="I31" s="33">
        <f t="shared" si="8"/>
        <v>0</v>
      </c>
      <c r="J31" s="33">
        <f t="shared" si="9"/>
        <v>0</v>
      </c>
      <c r="K31" s="33">
        <f t="shared" si="10"/>
        <v>0</v>
      </c>
      <c r="L31" s="34"/>
      <c r="M31" s="37"/>
      <c r="N31" s="37"/>
      <c r="O31" s="37"/>
      <c r="P31" s="22"/>
      <c r="Q31" s="22"/>
      <c r="R31" s="22"/>
      <c r="S31" s="22"/>
      <c r="T31" s="38"/>
      <c r="U31" s="38"/>
      <c r="V31" s="38"/>
      <c r="W31" s="38"/>
      <c r="X31" s="38"/>
      <c r="Y31" s="38"/>
      <c r="Z31" s="28"/>
      <c r="AA31" s="28"/>
      <c r="AB31" s="28"/>
      <c r="AC31" s="28"/>
      <c r="AD31" s="28">
        <f t="shared" si="0"/>
        <v>0</v>
      </c>
      <c r="AE31" s="28">
        <f t="shared" si="1"/>
        <v>0</v>
      </c>
      <c r="AF31" s="28">
        <f t="shared" si="2"/>
        <v>0</v>
      </c>
      <c r="AG31" s="28">
        <f t="shared" si="3"/>
        <v>0</v>
      </c>
      <c r="AH31" s="28">
        <f t="shared" si="4"/>
        <v>0</v>
      </c>
      <c r="AI31" s="28">
        <f t="shared" si="5"/>
        <v>0</v>
      </c>
      <c r="AJ31" s="28">
        <f t="shared" si="6"/>
        <v>0</v>
      </c>
    </row>
    <row r="32" spans="1:36" ht="16" x14ac:dyDescent="0.35">
      <c r="A32" s="39">
        <v>542488100122</v>
      </c>
      <c r="B32" s="40" t="s">
        <v>109</v>
      </c>
      <c r="C32" s="40" t="s">
        <v>110</v>
      </c>
      <c r="D32" s="33">
        <v>50</v>
      </c>
      <c r="E32" s="36">
        <v>0</v>
      </c>
      <c r="F32" s="8">
        <v>30</v>
      </c>
      <c r="G32" s="33"/>
      <c r="H32" s="33">
        <f t="shared" si="7"/>
        <v>20</v>
      </c>
      <c r="I32" s="33">
        <f t="shared" si="8"/>
        <v>20</v>
      </c>
      <c r="J32" s="33">
        <f t="shared" si="9"/>
        <v>0</v>
      </c>
      <c r="K32" s="33">
        <f t="shared" si="10"/>
        <v>0</v>
      </c>
      <c r="L32" s="34"/>
      <c r="M32" s="37"/>
      <c r="N32" s="37"/>
      <c r="O32" s="37"/>
      <c r="P32" s="22"/>
      <c r="Q32" s="22"/>
      <c r="R32" s="22"/>
      <c r="S32" s="22"/>
      <c r="T32" s="38"/>
      <c r="U32" s="38"/>
      <c r="V32" s="38"/>
      <c r="W32" s="38"/>
      <c r="X32" s="38"/>
      <c r="Y32" s="38"/>
      <c r="Z32" s="28"/>
      <c r="AA32" s="28"/>
      <c r="AB32" s="28"/>
      <c r="AC32" s="28"/>
      <c r="AD32" s="28">
        <f t="shared" si="0"/>
        <v>0</v>
      </c>
      <c r="AE32" s="28">
        <f t="shared" si="1"/>
        <v>0</v>
      </c>
      <c r="AF32" s="28">
        <f t="shared" si="2"/>
        <v>0</v>
      </c>
      <c r="AG32" s="28">
        <f t="shared" si="3"/>
        <v>0</v>
      </c>
      <c r="AH32" s="28">
        <f t="shared" si="4"/>
        <v>0</v>
      </c>
      <c r="AI32" s="28">
        <f t="shared" si="5"/>
        <v>0</v>
      </c>
      <c r="AJ32" s="28">
        <f t="shared" si="6"/>
        <v>0</v>
      </c>
    </row>
    <row r="33" spans="1:36" ht="16" x14ac:dyDescent="0.35">
      <c r="A33" s="35">
        <v>542490600102</v>
      </c>
      <c r="B33" s="32" t="s">
        <v>111</v>
      </c>
      <c r="C33" s="32" t="s">
        <v>112</v>
      </c>
      <c r="D33" s="33">
        <v>50</v>
      </c>
      <c r="E33" s="36">
        <v>0</v>
      </c>
      <c r="F33" s="33">
        <v>40</v>
      </c>
      <c r="G33" s="33"/>
      <c r="H33" s="33">
        <f t="shared" si="7"/>
        <v>10</v>
      </c>
      <c r="I33" s="33">
        <f t="shared" si="8"/>
        <v>10</v>
      </c>
      <c r="J33" s="33">
        <f t="shared" si="9"/>
        <v>0</v>
      </c>
      <c r="K33" s="33">
        <f t="shared" si="10"/>
        <v>0</v>
      </c>
      <c r="L33" s="34"/>
      <c r="M33" s="37"/>
      <c r="N33" s="37"/>
      <c r="O33" s="37"/>
      <c r="P33" s="22"/>
      <c r="Q33" s="22"/>
      <c r="R33" s="22"/>
      <c r="S33" s="22"/>
      <c r="T33" s="38"/>
      <c r="U33" s="38"/>
      <c r="V33" s="38"/>
      <c r="W33" s="38"/>
      <c r="X33" s="38"/>
      <c r="Y33" s="38"/>
      <c r="Z33" s="28"/>
      <c r="AA33" s="28"/>
      <c r="AB33" s="28"/>
      <c r="AC33" s="28"/>
      <c r="AD33" s="28">
        <f t="shared" si="0"/>
        <v>0</v>
      </c>
      <c r="AE33" s="28">
        <f t="shared" si="1"/>
        <v>0</v>
      </c>
      <c r="AF33" s="28">
        <f t="shared" si="2"/>
        <v>0</v>
      </c>
      <c r="AG33" s="28">
        <f t="shared" si="3"/>
        <v>0</v>
      </c>
      <c r="AH33" s="28">
        <f t="shared" si="4"/>
        <v>0</v>
      </c>
      <c r="AI33" s="28">
        <f t="shared" si="5"/>
        <v>0</v>
      </c>
      <c r="AJ33" s="28">
        <f t="shared" si="6"/>
        <v>0</v>
      </c>
    </row>
    <row r="34" spans="1:36" ht="16" x14ac:dyDescent="0.35">
      <c r="A34" s="35">
        <v>542490600101</v>
      </c>
      <c r="B34" s="32" t="s">
        <v>113</v>
      </c>
      <c r="C34" s="32" t="s">
        <v>114</v>
      </c>
      <c r="D34" s="33">
        <v>50</v>
      </c>
      <c r="E34" s="36">
        <v>0</v>
      </c>
      <c r="F34" s="33">
        <v>40</v>
      </c>
      <c r="G34" s="33"/>
      <c r="H34" s="33">
        <f t="shared" si="7"/>
        <v>10</v>
      </c>
      <c r="I34" s="33">
        <f t="shared" si="8"/>
        <v>10</v>
      </c>
      <c r="J34" s="33">
        <f t="shared" si="9"/>
        <v>0</v>
      </c>
      <c r="K34" s="33">
        <f t="shared" si="10"/>
        <v>0</v>
      </c>
      <c r="L34" s="34"/>
      <c r="M34" s="37"/>
      <c r="N34" s="37"/>
      <c r="O34" s="37"/>
      <c r="P34" s="22"/>
      <c r="Q34" s="22"/>
      <c r="R34" s="22"/>
      <c r="S34" s="22"/>
      <c r="T34" s="38"/>
      <c r="U34" s="38"/>
      <c r="V34" s="38"/>
      <c r="W34" s="38"/>
      <c r="X34" s="38"/>
      <c r="Y34" s="38"/>
      <c r="Z34" s="28"/>
      <c r="AA34" s="28"/>
      <c r="AB34" s="28"/>
      <c r="AC34" s="28"/>
      <c r="AD34" s="28">
        <f t="shared" si="0"/>
        <v>0</v>
      </c>
      <c r="AE34" s="28">
        <f t="shared" si="1"/>
        <v>0</v>
      </c>
      <c r="AF34" s="28">
        <f t="shared" si="2"/>
        <v>0</v>
      </c>
      <c r="AG34" s="28">
        <f t="shared" si="3"/>
        <v>0</v>
      </c>
      <c r="AH34" s="28">
        <f t="shared" si="4"/>
        <v>0</v>
      </c>
      <c r="AI34" s="28">
        <f t="shared" si="5"/>
        <v>0</v>
      </c>
      <c r="AJ34" s="28">
        <f t="shared" si="6"/>
        <v>0</v>
      </c>
    </row>
    <row r="35" spans="1:36" ht="16" x14ac:dyDescent="0.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  <c r="M35" s="10">
        <v>0.33333333333333331</v>
      </c>
      <c r="N35" s="10">
        <v>0.41666666666666669</v>
      </c>
      <c r="O35" s="10">
        <v>0.54166666666666663</v>
      </c>
      <c r="P35" s="10">
        <v>0.625</v>
      </c>
      <c r="Q35" s="10">
        <v>0.70833333333333337</v>
      </c>
      <c r="R35" s="17">
        <v>0.75</v>
      </c>
      <c r="S35" s="8"/>
      <c r="T35" s="11">
        <v>0.39583333333333331</v>
      </c>
      <c r="U35" s="11">
        <v>0.52083333333333337</v>
      </c>
      <c r="V35" s="11">
        <v>0.6875</v>
      </c>
      <c r="W35" s="11">
        <v>0.79861111111111116</v>
      </c>
      <c r="X35" s="11"/>
      <c r="Y35" s="11"/>
      <c r="Z35" s="11"/>
      <c r="AA35" s="11"/>
      <c r="AB35" s="31"/>
      <c r="AC35" s="41"/>
      <c r="AD35" s="31" t="s">
        <v>88</v>
      </c>
      <c r="AE35" s="31">
        <v>0.27083333333333331</v>
      </c>
      <c r="AF35" s="31"/>
      <c r="AG35" s="31"/>
      <c r="AH35" s="31"/>
      <c r="AI35" s="31"/>
      <c r="AJ35" s="31"/>
    </row>
    <row r="36" spans="1:36" ht="21" x14ac:dyDescent="0.35">
      <c r="A36" s="32" t="s">
        <v>62</v>
      </c>
      <c r="B36" s="32" t="s">
        <v>63</v>
      </c>
      <c r="C36" s="32" t="s">
        <v>64</v>
      </c>
      <c r="D36" s="33">
        <v>80</v>
      </c>
      <c r="E36" s="48">
        <v>162</v>
      </c>
      <c r="F36" s="15">
        <v>96</v>
      </c>
      <c r="G36" s="33"/>
      <c r="H36" s="33">
        <f t="shared" si="7"/>
        <v>146</v>
      </c>
      <c r="I36" s="33">
        <f t="shared" si="8"/>
        <v>0</v>
      </c>
      <c r="J36" s="33">
        <f t="shared" si="9"/>
        <v>240</v>
      </c>
      <c r="K36" s="33">
        <f t="shared" si="10"/>
        <v>132</v>
      </c>
      <c r="L36" s="34"/>
      <c r="M36" s="8">
        <v>32</v>
      </c>
      <c r="N36" s="8">
        <v>32</v>
      </c>
      <c r="O36" s="8">
        <v>32</v>
      </c>
      <c r="P36" s="8">
        <v>48</v>
      </c>
      <c r="Q36" s="8">
        <v>64</v>
      </c>
      <c r="R36" s="19">
        <v>32</v>
      </c>
      <c r="S36" s="8"/>
      <c r="T36" s="9">
        <v>32</v>
      </c>
      <c r="U36" s="9">
        <v>32</v>
      </c>
      <c r="V36" s="20">
        <v>44</v>
      </c>
      <c r="W36" s="20">
        <v>24</v>
      </c>
      <c r="X36" s="20"/>
      <c r="Y36" s="20"/>
      <c r="Z36" s="20"/>
      <c r="AA36" s="20"/>
      <c r="AB36" s="42"/>
      <c r="AC36" s="28"/>
      <c r="AD36" s="28">
        <f t="shared" ref="AD36:AD41" si="11">SUM(T36:AC36)</f>
        <v>132</v>
      </c>
      <c r="AE36" s="28">
        <f t="shared" ref="AE36:AE41" si="12">T36-M36</f>
        <v>0</v>
      </c>
      <c r="AF36" s="28">
        <f t="shared" ref="AF36:AF41" si="13">SUM(T36:U36)-SUM(M36:N36)</f>
        <v>0</v>
      </c>
      <c r="AG36" s="28">
        <f t="shared" ref="AG36:AG41" si="14">SUM(T36:V36)-SUM(M36:O36)</f>
        <v>12</v>
      </c>
      <c r="AH36" s="28">
        <f t="shared" ref="AH36:AH41" si="15">SUM(T36:Z36)-SUM(M36:P36)</f>
        <v>-12</v>
      </c>
      <c r="AI36" s="28">
        <f t="shared" ref="AI36:AI41" si="16">SUM(T36:AA36)-SUM(M36:Q36)</f>
        <v>-76</v>
      </c>
      <c r="AJ36" s="28">
        <f t="shared" ref="AJ36:AJ41" si="17">SUM(T36:AB36)-SUM(M36:R36)</f>
        <v>-108</v>
      </c>
    </row>
    <row r="37" spans="1:36" ht="21" x14ac:dyDescent="0.35">
      <c r="A37" s="32" t="s">
        <v>65</v>
      </c>
      <c r="B37" s="32" t="s">
        <v>66</v>
      </c>
      <c r="C37" s="32" t="s">
        <v>67</v>
      </c>
      <c r="D37" s="33">
        <v>32</v>
      </c>
      <c r="E37" s="48">
        <v>9</v>
      </c>
      <c r="F37" s="15">
        <v>28</v>
      </c>
      <c r="G37" s="33"/>
      <c r="H37" s="33">
        <f t="shared" si="7"/>
        <v>13</v>
      </c>
      <c r="I37" s="33">
        <f t="shared" si="8"/>
        <v>0</v>
      </c>
      <c r="J37" s="33">
        <f t="shared" si="9"/>
        <v>16</v>
      </c>
      <c r="K37" s="33">
        <f t="shared" si="10"/>
        <v>16</v>
      </c>
      <c r="L37" s="34"/>
      <c r="M37" s="8"/>
      <c r="N37" s="8"/>
      <c r="O37" s="8"/>
      <c r="P37" s="8"/>
      <c r="Q37" s="8"/>
      <c r="R37" s="22">
        <v>16</v>
      </c>
      <c r="S37" s="8"/>
      <c r="T37" s="9"/>
      <c r="U37" s="9"/>
      <c r="V37" s="9"/>
      <c r="W37" s="9">
        <v>16</v>
      </c>
      <c r="X37" s="9"/>
      <c r="Y37" s="9"/>
      <c r="Z37" s="9"/>
      <c r="AA37" s="9"/>
      <c r="AB37" s="27"/>
      <c r="AC37" s="28"/>
      <c r="AD37" s="28">
        <f t="shared" si="11"/>
        <v>16</v>
      </c>
      <c r="AE37" s="28">
        <f t="shared" si="12"/>
        <v>0</v>
      </c>
      <c r="AF37" s="28">
        <f t="shared" si="13"/>
        <v>0</v>
      </c>
      <c r="AG37" s="28">
        <f t="shared" si="14"/>
        <v>0</v>
      </c>
      <c r="AH37" s="28">
        <f t="shared" si="15"/>
        <v>16</v>
      </c>
      <c r="AI37" s="28">
        <f t="shared" si="16"/>
        <v>16</v>
      </c>
      <c r="AJ37" s="28">
        <f t="shared" si="17"/>
        <v>0</v>
      </c>
    </row>
    <row r="38" spans="1:36" ht="21" x14ac:dyDescent="0.35">
      <c r="A38" s="32" t="s">
        <v>68</v>
      </c>
      <c r="B38" s="32" t="s">
        <v>69</v>
      </c>
      <c r="C38" s="32" t="s">
        <v>70</v>
      </c>
      <c r="D38" s="33">
        <v>64</v>
      </c>
      <c r="E38" s="48">
        <v>238</v>
      </c>
      <c r="F38" s="15">
        <v>148</v>
      </c>
      <c r="G38" s="33"/>
      <c r="H38" s="33">
        <f t="shared" si="7"/>
        <v>154</v>
      </c>
      <c r="I38" s="33">
        <f t="shared" si="8"/>
        <v>0</v>
      </c>
      <c r="J38" s="33">
        <f t="shared" si="9"/>
        <v>192</v>
      </c>
      <c r="K38" s="33">
        <f t="shared" si="10"/>
        <v>84</v>
      </c>
      <c r="L38" s="34"/>
      <c r="M38" s="8">
        <v>48</v>
      </c>
      <c r="N38" s="8">
        <v>32</v>
      </c>
      <c r="O38" s="8">
        <v>32</v>
      </c>
      <c r="P38" s="8">
        <v>48</v>
      </c>
      <c r="Q38" s="8">
        <v>32</v>
      </c>
      <c r="R38" s="22"/>
      <c r="S38" s="8"/>
      <c r="T38" s="9">
        <v>16</v>
      </c>
      <c r="U38" s="9">
        <v>24</v>
      </c>
      <c r="V38" s="9">
        <v>28</v>
      </c>
      <c r="W38" s="9">
        <v>16</v>
      </c>
      <c r="X38" s="9"/>
      <c r="Y38" s="9"/>
      <c r="Z38" s="9"/>
      <c r="AA38" s="9"/>
      <c r="AB38" s="27"/>
      <c r="AC38" s="28"/>
      <c r="AD38" s="28">
        <f t="shared" si="11"/>
        <v>84</v>
      </c>
      <c r="AE38" s="28">
        <f t="shared" si="12"/>
        <v>-32</v>
      </c>
      <c r="AF38" s="28">
        <f t="shared" si="13"/>
        <v>-40</v>
      </c>
      <c r="AG38" s="28">
        <f t="shared" si="14"/>
        <v>-44</v>
      </c>
      <c r="AH38" s="28">
        <f t="shared" si="15"/>
        <v>-76</v>
      </c>
      <c r="AI38" s="28">
        <f t="shared" si="16"/>
        <v>-108</v>
      </c>
      <c r="AJ38" s="28">
        <f t="shared" si="17"/>
        <v>-108</v>
      </c>
    </row>
    <row r="39" spans="1:36" ht="21" x14ac:dyDescent="0.35">
      <c r="A39" s="32" t="s">
        <v>71</v>
      </c>
      <c r="B39" s="32" t="s">
        <v>72</v>
      </c>
      <c r="C39" s="32" t="s">
        <v>73</v>
      </c>
      <c r="D39" s="33">
        <v>32</v>
      </c>
      <c r="E39" s="48">
        <v>26</v>
      </c>
      <c r="F39" s="15">
        <v>46</v>
      </c>
      <c r="G39" s="33"/>
      <c r="H39" s="33">
        <f t="shared" si="7"/>
        <v>12</v>
      </c>
      <c r="I39" s="33">
        <f t="shared" si="8"/>
        <v>0</v>
      </c>
      <c r="J39" s="33">
        <f t="shared" si="9"/>
        <v>16</v>
      </c>
      <c r="K39" s="33">
        <f t="shared" si="10"/>
        <v>16</v>
      </c>
      <c r="L39" s="34"/>
      <c r="M39" s="8"/>
      <c r="N39" s="8"/>
      <c r="O39" s="8"/>
      <c r="P39" s="8"/>
      <c r="Q39" s="8"/>
      <c r="R39" s="23">
        <v>16</v>
      </c>
      <c r="S39" s="8"/>
      <c r="T39" s="9">
        <v>16</v>
      </c>
      <c r="U39" s="9"/>
      <c r="V39" s="9"/>
      <c r="W39" s="9"/>
      <c r="X39" s="9"/>
      <c r="Y39" s="9"/>
      <c r="Z39" s="9"/>
      <c r="AA39" s="9"/>
      <c r="AB39" s="27"/>
      <c r="AC39" s="28"/>
      <c r="AD39" s="28">
        <f t="shared" si="11"/>
        <v>16</v>
      </c>
      <c r="AE39" s="28">
        <f t="shared" si="12"/>
        <v>16</v>
      </c>
      <c r="AF39" s="28">
        <f t="shared" si="13"/>
        <v>16</v>
      </c>
      <c r="AG39" s="28">
        <f t="shared" si="14"/>
        <v>16</v>
      </c>
      <c r="AH39" s="28">
        <f t="shared" si="15"/>
        <v>16</v>
      </c>
      <c r="AI39" s="28">
        <f t="shared" si="16"/>
        <v>16</v>
      </c>
      <c r="AJ39" s="28">
        <f t="shared" si="17"/>
        <v>0</v>
      </c>
    </row>
    <row r="40" spans="1:36" ht="21" x14ac:dyDescent="0.4">
      <c r="A40" s="32" t="s">
        <v>74</v>
      </c>
      <c r="B40" s="32" t="s">
        <v>75</v>
      </c>
      <c r="C40" s="32" t="s">
        <v>76</v>
      </c>
      <c r="D40" s="33">
        <v>32</v>
      </c>
      <c r="E40" s="48">
        <v>41</v>
      </c>
      <c r="F40" s="15">
        <v>16</v>
      </c>
      <c r="G40" s="33"/>
      <c r="H40" s="33">
        <f t="shared" si="7"/>
        <v>57</v>
      </c>
      <c r="I40" s="33">
        <f t="shared" si="8"/>
        <v>0</v>
      </c>
      <c r="J40" s="33">
        <f t="shared" si="9"/>
        <v>80</v>
      </c>
      <c r="K40" s="33">
        <f t="shared" si="10"/>
        <v>48</v>
      </c>
      <c r="L40" s="34" t="s">
        <v>115</v>
      </c>
      <c r="M40" s="8">
        <v>16</v>
      </c>
      <c r="N40" s="8">
        <v>16</v>
      </c>
      <c r="O40" s="8">
        <v>32</v>
      </c>
      <c r="P40" s="8"/>
      <c r="Q40" s="8"/>
      <c r="R40" s="23">
        <v>16</v>
      </c>
      <c r="S40" s="22"/>
      <c r="T40" s="9">
        <v>16</v>
      </c>
      <c r="U40" s="9">
        <v>16</v>
      </c>
      <c r="V40" s="9"/>
      <c r="W40" s="9">
        <v>16</v>
      </c>
      <c r="X40" s="9"/>
      <c r="Y40" s="9"/>
      <c r="Z40" s="6"/>
      <c r="AA40" s="27"/>
      <c r="AB40" s="27"/>
      <c r="AC40" s="28"/>
      <c r="AD40" s="28">
        <f t="shared" si="11"/>
        <v>48</v>
      </c>
      <c r="AE40" s="28">
        <f t="shared" si="12"/>
        <v>0</v>
      </c>
      <c r="AF40" s="28">
        <f t="shared" si="13"/>
        <v>0</v>
      </c>
      <c r="AG40" s="28">
        <f t="shared" si="14"/>
        <v>-32</v>
      </c>
      <c r="AH40" s="28">
        <f t="shared" si="15"/>
        <v>-16</v>
      </c>
      <c r="AI40" s="28">
        <f t="shared" si="16"/>
        <v>-16</v>
      </c>
      <c r="AJ40" s="28">
        <f t="shared" si="17"/>
        <v>-32</v>
      </c>
    </row>
    <row r="41" spans="1:36" ht="21" x14ac:dyDescent="0.4">
      <c r="A41" s="32" t="s">
        <v>128</v>
      </c>
      <c r="B41" s="32" t="s">
        <v>129</v>
      </c>
      <c r="C41" s="32"/>
      <c r="D41" s="33">
        <v>32</v>
      </c>
      <c r="E41" s="48">
        <v>3</v>
      </c>
      <c r="F41" s="15">
        <v>0</v>
      </c>
      <c r="G41" s="33"/>
      <c r="H41" s="33">
        <f t="shared" si="7"/>
        <v>35</v>
      </c>
      <c r="I41" s="33">
        <f t="shared" si="8"/>
        <v>3</v>
      </c>
      <c r="J41" s="33">
        <f t="shared" si="9"/>
        <v>32</v>
      </c>
      <c r="K41" s="33">
        <f t="shared" si="10"/>
        <v>0</v>
      </c>
      <c r="L41" s="34" t="s">
        <v>115</v>
      </c>
      <c r="M41" s="8"/>
      <c r="N41" s="8">
        <v>16</v>
      </c>
      <c r="O41" s="8"/>
      <c r="P41" s="8"/>
      <c r="Q41" s="8"/>
      <c r="R41" s="23">
        <v>16</v>
      </c>
      <c r="S41" s="22"/>
      <c r="T41" s="9"/>
      <c r="U41" s="9"/>
      <c r="V41" s="9"/>
      <c r="W41" s="9"/>
      <c r="X41" s="9"/>
      <c r="Y41" s="9"/>
      <c r="Z41" s="6"/>
      <c r="AA41" s="27"/>
      <c r="AB41" s="27"/>
      <c r="AC41" s="28"/>
      <c r="AD41" s="28">
        <f t="shared" si="11"/>
        <v>0</v>
      </c>
      <c r="AE41" s="28">
        <f t="shared" si="12"/>
        <v>0</v>
      </c>
      <c r="AF41" s="28">
        <f t="shared" si="13"/>
        <v>-16</v>
      </c>
      <c r="AG41" s="28">
        <f t="shared" si="14"/>
        <v>-16</v>
      </c>
      <c r="AH41" s="28">
        <f t="shared" si="15"/>
        <v>-16</v>
      </c>
      <c r="AI41" s="28">
        <f t="shared" si="16"/>
        <v>-16</v>
      </c>
      <c r="AJ41" s="28">
        <f t="shared" si="17"/>
        <v>-32</v>
      </c>
    </row>
    <row r="45" spans="1:36" x14ac:dyDescent="0.35">
      <c r="A45">
        <v>27</v>
      </c>
    </row>
    <row r="46" spans="1:36" x14ac:dyDescent="0.35">
      <c r="A46">
        <v>32</v>
      </c>
    </row>
    <row r="47" spans="1:36" x14ac:dyDescent="0.35">
      <c r="A47">
        <v>16</v>
      </c>
    </row>
    <row r="48" spans="1:36" x14ac:dyDescent="0.35">
      <c r="A48">
        <v>12</v>
      </c>
    </row>
    <row r="49" spans="1:1" x14ac:dyDescent="0.35">
      <c r="A49">
        <v>21</v>
      </c>
    </row>
  </sheetData>
  <protectedRanges>
    <protectedRange sqref="R40:R41" name="Range1_1_2_1_2_1_1_1_1_1_1_1_1"/>
    <protectedRange sqref="R39" name="Range1_1_2_1_2_1_1_1_1_2_1_1_1"/>
    <protectedRange sqref="R36:R38" name="Range1_1_2_1_2_1_1_1_1_2_1_2_4_1_2"/>
    <protectedRange sqref="F22:F34" name="Range1_2_1"/>
    <protectedRange sqref="F13" name="Range1_5_1_1"/>
    <protectedRange sqref="F12" name="Range1_2_3_1_1"/>
    <protectedRange sqref="F7:F11" name="Range1_3_2"/>
  </protectedRanges>
  <mergeCells count="15">
    <mergeCell ref="M1:S1"/>
    <mergeCell ref="T1:AD1"/>
    <mergeCell ref="AE1:AJ1"/>
    <mergeCell ref="B2:C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</mergeCells>
  <conditionalFormatting sqref="I7:K41">
    <cfRule type="cellIs" dxfId="23" priority="5" operator="greaterThan">
      <formula>0</formula>
    </cfRule>
  </conditionalFormatting>
  <conditionalFormatting sqref="P39:P41">
    <cfRule type="cellIs" dxfId="22" priority="1" operator="lessThan">
      <formula>0</formula>
    </cfRule>
  </conditionalFormatting>
  <conditionalFormatting sqref="R40:R41">
    <cfRule type="cellIs" dxfId="21" priority="4" operator="lessThan">
      <formula>0</formula>
    </cfRule>
  </conditionalFormatting>
  <conditionalFormatting sqref="R36:S39">
    <cfRule type="cellIs" dxfId="20" priority="3" operator="lessThan">
      <formula>0</formula>
    </cfRule>
  </conditionalFormatting>
  <conditionalFormatting sqref="Z39">
    <cfRule type="cellIs" dxfId="19" priority="2" operator="lessThan">
      <formula>0</formula>
    </cfRule>
  </conditionalFormatting>
  <conditionalFormatting sqref="AA36:AA39">
    <cfRule type="cellIs" dxfId="18" priority="6" operator="lessThan">
      <formula>0</formula>
    </cfRule>
  </conditionalFormatting>
  <conditionalFormatting sqref="AE3:AJ3">
    <cfRule type="cellIs" dxfId="17" priority="7" operator="lessThan">
      <formula>0</formula>
    </cfRule>
  </conditionalFormatting>
  <conditionalFormatting sqref="AE7:AJ34 AE36:AJ41">
    <cfRule type="cellIs" dxfId="16" priority="8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98" orientation="landscape" horizontalDpi="200" verticalDpi="200" r:id="rId1"/>
  <headerFooter>
    <oddFooter>&amp;L_x000D_&amp;1#&amp;"Calibri Light"&amp;8&amp;K000000 Classified as Public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32B7-273B-4555-896F-1BC9BF9F20CF}">
  <sheetPr>
    <pageSetUpPr fitToPage="1"/>
  </sheetPr>
  <dimension ref="A1:W30"/>
  <sheetViews>
    <sheetView showZeros="0" zoomScale="70" zoomScaleNormal="70" workbookViewId="0">
      <pane xSplit="5" ySplit="6" topLeftCell="F7" activePane="bottomRight" state="frozen"/>
      <selection activeCell="M7" sqref="M7"/>
      <selection pane="topRight" activeCell="M7" sqref="M7"/>
      <selection pane="bottomLeft" activeCell="M7" sqref="M7"/>
      <selection pane="bottomRight" activeCell="O15" sqref="O15"/>
    </sheetView>
  </sheetViews>
  <sheetFormatPr defaultRowHeight="16" x14ac:dyDescent="0.4"/>
  <cols>
    <col min="1" max="1" width="18.26953125" style="1" bestFit="1" customWidth="1"/>
    <col min="2" max="2" width="18.54296875" style="1" bestFit="1" customWidth="1"/>
    <col min="3" max="3" width="17" style="1" customWidth="1"/>
    <col min="4" max="4" width="12.54296875" style="1" bestFit="1" customWidth="1"/>
    <col min="5" max="7" width="12" style="1" customWidth="1"/>
    <col min="8" max="8" width="9.08984375" style="1" customWidth="1"/>
    <col min="9" max="9" width="6.453125" style="1" bestFit="1" customWidth="1"/>
    <col min="10" max="15" width="6.36328125" style="1" customWidth="1"/>
    <col min="16" max="16" width="6.453125" style="1" bestFit="1" customWidth="1"/>
    <col min="17" max="23" width="6.36328125" style="1" customWidth="1"/>
    <col min="24" max="16384" width="8.7265625" style="1"/>
  </cols>
  <sheetData>
    <row r="1" spans="1:23" ht="18.5" x14ac:dyDescent="0.45">
      <c r="C1" s="2">
        <v>45920</v>
      </c>
      <c r="D1" s="60"/>
      <c r="H1" s="62" t="s">
        <v>0</v>
      </c>
      <c r="I1" s="62"/>
      <c r="J1" s="62"/>
      <c r="K1" s="62"/>
      <c r="L1" s="62"/>
      <c r="M1" s="62"/>
      <c r="N1" s="3"/>
      <c r="O1" s="63" t="s">
        <v>1</v>
      </c>
      <c r="P1" s="64"/>
      <c r="Q1" s="64"/>
      <c r="R1" s="64"/>
      <c r="S1" s="64"/>
      <c r="T1" s="64"/>
      <c r="U1" s="64"/>
      <c r="V1" s="64"/>
      <c r="W1" s="64"/>
    </row>
    <row r="2" spans="1:23" x14ac:dyDescent="0.4">
      <c r="B2" s="65"/>
      <c r="C2" s="66"/>
      <c r="D2" s="61"/>
      <c r="E2" s="4"/>
      <c r="F2" s="4"/>
      <c r="G2" s="4"/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O2" s="6" t="s">
        <v>2</v>
      </c>
      <c r="P2" s="6" t="s">
        <v>3</v>
      </c>
      <c r="Q2" s="6" t="s">
        <v>4</v>
      </c>
      <c r="R2" s="6" t="s">
        <v>5</v>
      </c>
      <c r="S2" s="6" t="s">
        <v>6</v>
      </c>
      <c r="T2" s="6" t="s">
        <v>7</v>
      </c>
      <c r="U2" s="6" t="s">
        <v>8</v>
      </c>
      <c r="V2" s="6" t="s">
        <v>9</v>
      </c>
      <c r="W2" s="6"/>
    </row>
    <row r="3" spans="1:23" x14ac:dyDescent="0.4">
      <c r="A3" s="59" t="s">
        <v>10</v>
      </c>
      <c r="B3" s="67" t="s">
        <v>11</v>
      </c>
      <c r="C3" s="67" t="s">
        <v>12</v>
      </c>
      <c r="D3" s="59" t="s">
        <v>13</v>
      </c>
      <c r="E3" s="7" t="s">
        <v>14</v>
      </c>
      <c r="F3" s="68" t="s">
        <v>122</v>
      </c>
      <c r="G3" s="68" t="s">
        <v>123</v>
      </c>
      <c r="H3" s="8">
        <f>'8-Sep'!M4</f>
        <v>0</v>
      </c>
      <c r="I3" s="8">
        <f>'8-Sep'!N4</f>
        <v>0</v>
      </c>
      <c r="J3" s="8">
        <f>'8-Sep'!O4</f>
        <v>0</v>
      </c>
      <c r="K3" s="8">
        <f>'8-Sep'!P4</f>
        <v>0</v>
      </c>
      <c r="L3" s="8">
        <f>'8-Sep'!Q4</f>
        <v>0</v>
      </c>
      <c r="M3" s="8">
        <f>'8-Sep'!R4</f>
        <v>0</v>
      </c>
      <c r="N3" s="8">
        <f>'8-Sep'!S4</f>
        <v>0</v>
      </c>
      <c r="O3" s="9">
        <f>'8-Sep'!T4</f>
        <v>0</v>
      </c>
      <c r="P3" s="9">
        <f>'8-Sep'!U4</f>
        <v>0</v>
      </c>
      <c r="Q3" s="9">
        <f>'8-Sep'!V4</f>
        <v>0</v>
      </c>
      <c r="R3" s="9">
        <f>'8-Sep'!W4</f>
        <v>0</v>
      </c>
      <c r="S3" s="9">
        <f>'8-Sep'!X4</f>
        <v>0</v>
      </c>
      <c r="T3" s="9">
        <f>'8-Sep'!Y4</f>
        <v>0</v>
      </c>
      <c r="U3" s="9">
        <f>'8-Sep'!Z4</f>
        <v>0</v>
      </c>
      <c r="V3" s="9"/>
      <c r="W3" s="9"/>
    </row>
    <row r="4" spans="1:23" x14ac:dyDescent="0.4">
      <c r="A4" s="59"/>
      <c r="B4" s="67"/>
      <c r="C4" s="67"/>
      <c r="D4" s="59"/>
      <c r="E4" s="7" t="s">
        <v>15</v>
      </c>
      <c r="F4" s="69"/>
      <c r="G4" s="69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</row>
    <row r="5" spans="1:23" x14ac:dyDescent="0.4">
      <c r="A5" s="59"/>
      <c r="B5" s="67"/>
      <c r="C5" s="67"/>
      <c r="D5" s="59"/>
      <c r="E5" s="7" t="s">
        <v>16</v>
      </c>
      <c r="F5" s="69"/>
      <c r="G5" s="69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</row>
    <row r="6" spans="1:23" ht="16" customHeight="1" x14ac:dyDescent="0.4">
      <c r="A6" s="59"/>
      <c r="B6" s="67"/>
      <c r="C6" s="67"/>
      <c r="D6" s="59"/>
      <c r="E6" s="7" t="s">
        <v>17</v>
      </c>
      <c r="F6" s="70"/>
      <c r="G6" s="70"/>
      <c r="H6" s="10">
        <v>0.25</v>
      </c>
      <c r="I6" s="10">
        <v>0.3125</v>
      </c>
      <c r="J6" s="10">
        <v>0.3888888888888889</v>
      </c>
      <c r="K6" s="10">
        <v>0.5</v>
      </c>
      <c r="L6" s="10">
        <v>0.625</v>
      </c>
      <c r="M6" s="10">
        <v>0.75</v>
      </c>
      <c r="N6" s="10"/>
      <c r="O6" s="11"/>
      <c r="P6" s="11"/>
      <c r="Q6" s="11"/>
      <c r="R6" s="11"/>
      <c r="S6" s="11"/>
      <c r="T6" s="11"/>
      <c r="U6" s="11"/>
      <c r="V6" s="11"/>
      <c r="W6" s="12"/>
    </row>
    <row r="7" spans="1:23" ht="17.5" customHeight="1" x14ac:dyDescent="0.4">
      <c r="A7" s="13" t="s">
        <v>18</v>
      </c>
      <c r="B7" s="13" t="s">
        <v>19</v>
      </c>
      <c r="C7" s="13" t="s">
        <v>20</v>
      </c>
      <c r="D7" s="48">
        <v>40</v>
      </c>
      <c r="E7" s="15">
        <v>76</v>
      </c>
      <c r="F7" s="15">
        <f t="shared" ref="F7:F21" si="0">SUM(H7:N7)</f>
        <v>96</v>
      </c>
      <c r="G7" s="15">
        <f t="shared" ref="G7:G21" si="1">SUM(O7:U7)</f>
        <v>0</v>
      </c>
      <c r="H7" s="8"/>
      <c r="I7" s="8"/>
      <c r="J7" s="8"/>
      <c r="K7" s="8">
        <v>96</v>
      </c>
      <c r="L7" s="8"/>
      <c r="M7" s="8"/>
      <c r="N7" s="8"/>
      <c r="O7" s="9"/>
      <c r="P7" s="9"/>
      <c r="Q7" s="9"/>
      <c r="R7" s="9"/>
      <c r="S7" s="9"/>
      <c r="T7" s="9"/>
      <c r="U7" s="9"/>
      <c r="V7" s="9"/>
      <c r="W7" s="9"/>
    </row>
    <row r="8" spans="1:23" ht="17.5" customHeight="1" x14ac:dyDescent="0.4">
      <c r="A8" s="13" t="s">
        <v>21</v>
      </c>
      <c r="B8" s="13" t="s">
        <v>22</v>
      </c>
      <c r="C8" s="13" t="s">
        <v>23</v>
      </c>
      <c r="D8" s="48">
        <v>285</v>
      </c>
      <c r="E8" s="15">
        <v>320</v>
      </c>
      <c r="F8" s="15">
        <f t="shared" si="0"/>
        <v>96</v>
      </c>
      <c r="G8" s="15">
        <f t="shared" si="1"/>
        <v>0</v>
      </c>
      <c r="H8" s="8"/>
      <c r="I8" s="8"/>
      <c r="J8" s="8">
        <v>96</v>
      </c>
      <c r="K8" s="8"/>
      <c r="L8" s="8"/>
      <c r="M8" s="8"/>
      <c r="N8" s="8"/>
      <c r="O8" s="9"/>
      <c r="P8" s="9"/>
      <c r="Q8" s="9"/>
      <c r="R8" s="9"/>
      <c r="S8" s="9"/>
      <c r="T8" s="9"/>
      <c r="U8" s="9"/>
      <c r="V8" s="9"/>
      <c r="W8" s="9"/>
    </row>
    <row r="9" spans="1:23" ht="17.5" customHeight="1" x14ac:dyDescent="0.4">
      <c r="A9" s="13" t="s">
        <v>24</v>
      </c>
      <c r="B9" s="13" t="s">
        <v>25</v>
      </c>
      <c r="C9" s="13" t="s">
        <v>26</v>
      </c>
      <c r="D9" s="48">
        <v>48</v>
      </c>
      <c r="E9" s="15">
        <v>86</v>
      </c>
      <c r="F9" s="15">
        <f t="shared" si="0"/>
        <v>0</v>
      </c>
      <c r="G9" s="15">
        <f t="shared" si="1"/>
        <v>0</v>
      </c>
      <c r="H9" s="8"/>
      <c r="I9" s="8"/>
      <c r="J9" s="8"/>
      <c r="K9" s="8"/>
      <c r="L9" s="8"/>
      <c r="M9" s="8"/>
      <c r="N9" s="8"/>
      <c r="O9" s="9"/>
      <c r="P9" s="9"/>
      <c r="Q9" s="9"/>
      <c r="R9" s="9"/>
      <c r="S9" s="9"/>
      <c r="T9" s="9"/>
      <c r="U9" s="9"/>
      <c r="V9" s="9"/>
      <c r="W9" s="9"/>
    </row>
    <row r="10" spans="1:23" ht="17.5" customHeight="1" x14ac:dyDescent="0.4">
      <c r="A10" s="16" t="s">
        <v>27</v>
      </c>
      <c r="B10" s="13" t="s">
        <v>28</v>
      </c>
      <c r="C10" s="13" t="s">
        <v>29</v>
      </c>
      <c r="D10" s="48">
        <v>21</v>
      </c>
      <c r="E10" s="15">
        <v>121</v>
      </c>
      <c r="F10" s="15">
        <f t="shared" si="0"/>
        <v>0</v>
      </c>
      <c r="G10" s="15">
        <f t="shared" si="1"/>
        <v>0</v>
      </c>
      <c r="H10" s="8"/>
      <c r="I10" s="8"/>
      <c r="J10" s="8"/>
      <c r="K10" s="8"/>
      <c r="L10" s="8"/>
      <c r="M10" s="8"/>
      <c r="N10" s="8"/>
      <c r="O10" s="9"/>
      <c r="P10" s="9"/>
      <c r="Q10" s="9"/>
      <c r="R10" s="9"/>
      <c r="S10" s="9"/>
      <c r="T10" s="9"/>
      <c r="U10" s="9"/>
      <c r="V10" s="9"/>
      <c r="W10" s="9"/>
    </row>
    <row r="11" spans="1:23" ht="17.5" customHeight="1" x14ac:dyDescent="0.4">
      <c r="A11" s="13" t="s">
        <v>30</v>
      </c>
      <c r="B11" s="13" t="s">
        <v>31</v>
      </c>
      <c r="C11" s="13" t="s">
        <v>32</v>
      </c>
      <c r="D11" s="48">
        <v>92</v>
      </c>
      <c r="E11" s="15">
        <v>188</v>
      </c>
      <c r="F11" s="15">
        <f t="shared" si="0"/>
        <v>130</v>
      </c>
      <c r="G11" s="15">
        <f t="shared" si="1"/>
        <v>0</v>
      </c>
      <c r="H11" s="8"/>
      <c r="I11" s="8"/>
      <c r="J11" s="8">
        <v>130</v>
      </c>
      <c r="K11" s="8"/>
      <c r="L11" s="8"/>
      <c r="M11" s="8"/>
      <c r="N11" s="8"/>
      <c r="O11" s="9"/>
      <c r="P11" s="9"/>
      <c r="Q11" s="9"/>
      <c r="R11" s="9"/>
      <c r="S11" s="9"/>
      <c r="T11" s="9"/>
      <c r="U11" s="9"/>
      <c r="V11" s="9"/>
      <c r="W11" s="9"/>
    </row>
    <row r="12" spans="1:23" ht="17.5" customHeight="1" x14ac:dyDescent="0.4">
      <c r="A12" s="13" t="s">
        <v>33</v>
      </c>
      <c r="B12" s="13" t="s">
        <v>34</v>
      </c>
      <c r="C12" s="13" t="s">
        <v>35</v>
      </c>
      <c r="D12" s="48">
        <v>20</v>
      </c>
      <c r="E12" s="15">
        <v>280</v>
      </c>
      <c r="F12" s="15">
        <f t="shared" si="0"/>
        <v>0</v>
      </c>
      <c r="G12" s="15">
        <f t="shared" si="1"/>
        <v>0</v>
      </c>
      <c r="H12" s="8"/>
      <c r="I12" s="8"/>
      <c r="J12" s="8"/>
      <c r="K12" s="8"/>
      <c r="L12" s="8"/>
      <c r="M12" s="8"/>
      <c r="N12" s="8"/>
      <c r="O12" s="9"/>
      <c r="P12" s="9"/>
      <c r="Q12" s="9"/>
      <c r="R12" s="9"/>
      <c r="S12" s="9"/>
      <c r="T12" s="9"/>
      <c r="U12" s="9"/>
      <c r="V12" s="9"/>
      <c r="W12" s="9"/>
    </row>
    <row r="13" spans="1:23" ht="17.5" customHeight="1" x14ac:dyDescent="0.4">
      <c r="A13" s="13" t="s">
        <v>36</v>
      </c>
      <c r="B13" s="13" t="s">
        <v>37</v>
      </c>
      <c r="C13" s="13">
        <v>630131090</v>
      </c>
      <c r="D13" s="48">
        <v>48</v>
      </c>
      <c r="E13" s="15">
        <v>56</v>
      </c>
      <c r="F13" s="15">
        <f t="shared" si="0"/>
        <v>140</v>
      </c>
      <c r="G13" s="15">
        <f t="shared" si="1"/>
        <v>0</v>
      </c>
      <c r="H13" s="8"/>
      <c r="I13" s="8"/>
      <c r="J13" s="8">
        <v>140</v>
      </c>
      <c r="K13" s="8"/>
      <c r="L13" s="8"/>
      <c r="M13" s="8"/>
      <c r="N13" s="8"/>
      <c r="O13" s="9"/>
      <c r="P13" s="9"/>
      <c r="Q13" s="9"/>
      <c r="R13" s="9"/>
      <c r="S13" s="9"/>
      <c r="T13" s="9"/>
      <c r="U13" s="9"/>
      <c r="V13" s="9"/>
      <c r="W13" s="9"/>
    </row>
    <row r="14" spans="1:23" ht="17.5" customHeight="1" x14ac:dyDescent="0.4">
      <c r="A14" s="13" t="s">
        <v>38</v>
      </c>
      <c r="B14" s="13" t="s">
        <v>39</v>
      </c>
      <c r="C14" s="13" t="s">
        <v>40</v>
      </c>
      <c r="D14" s="48">
        <v>10</v>
      </c>
      <c r="E14" s="15">
        <v>25</v>
      </c>
      <c r="F14" s="15">
        <f t="shared" si="0"/>
        <v>42</v>
      </c>
      <c r="G14" s="15">
        <f t="shared" si="1"/>
        <v>0</v>
      </c>
      <c r="H14" s="8"/>
      <c r="I14" s="8">
        <v>14</v>
      </c>
      <c r="J14" s="8"/>
      <c r="K14" s="8"/>
      <c r="L14" s="8">
        <v>14</v>
      </c>
      <c r="M14" s="8">
        <v>14</v>
      </c>
      <c r="N14" s="8"/>
      <c r="O14" s="9"/>
      <c r="P14" s="9"/>
      <c r="Q14" s="9"/>
      <c r="R14" s="9"/>
      <c r="S14" s="9"/>
      <c r="T14" s="9"/>
      <c r="U14" s="9"/>
      <c r="V14" s="9"/>
      <c r="W14" s="9"/>
    </row>
    <row r="15" spans="1:23" ht="17.5" customHeight="1" x14ac:dyDescent="0.4">
      <c r="A15" s="13" t="s">
        <v>41</v>
      </c>
      <c r="B15" s="13" t="s">
        <v>42</v>
      </c>
      <c r="C15" s="13" t="s">
        <v>43</v>
      </c>
      <c r="D15" s="48">
        <v>59</v>
      </c>
      <c r="E15" s="15">
        <v>31</v>
      </c>
      <c r="F15" s="15">
        <f t="shared" si="0"/>
        <v>56</v>
      </c>
      <c r="G15" s="15">
        <f t="shared" si="1"/>
        <v>0</v>
      </c>
      <c r="H15" s="8"/>
      <c r="I15" s="8"/>
      <c r="J15" s="8">
        <v>14</v>
      </c>
      <c r="K15" s="8">
        <v>14</v>
      </c>
      <c r="L15" s="8">
        <v>14</v>
      </c>
      <c r="M15" s="8">
        <v>14</v>
      </c>
      <c r="N15" s="8"/>
      <c r="O15" s="9"/>
      <c r="P15" s="9"/>
      <c r="Q15" s="9"/>
      <c r="R15" s="9"/>
      <c r="S15" s="9"/>
      <c r="T15" s="9"/>
      <c r="U15" s="9"/>
      <c r="V15" s="9"/>
      <c r="W15" s="9"/>
    </row>
    <row r="16" spans="1:23" ht="17.5" customHeight="1" x14ac:dyDescent="0.4">
      <c r="A16" s="13" t="s">
        <v>44</v>
      </c>
      <c r="B16" s="13" t="s">
        <v>45</v>
      </c>
      <c r="C16" s="13" t="s">
        <v>46</v>
      </c>
      <c r="D16" s="48">
        <v>111</v>
      </c>
      <c r="E16" s="15">
        <v>101</v>
      </c>
      <c r="F16" s="15">
        <f t="shared" si="0"/>
        <v>182</v>
      </c>
      <c r="G16" s="15">
        <f t="shared" si="1"/>
        <v>0</v>
      </c>
      <c r="H16" s="8">
        <v>28</v>
      </c>
      <c r="I16" s="8">
        <v>28</v>
      </c>
      <c r="J16" s="8">
        <v>28</v>
      </c>
      <c r="K16" s="8">
        <v>28</v>
      </c>
      <c r="L16" s="8">
        <v>42</v>
      </c>
      <c r="M16" s="8">
        <v>28</v>
      </c>
      <c r="N16" s="8"/>
      <c r="O16" s="9"/>
      <c r="P16" s="9"/>
      <c r="Q16" s="9"/>
      <c r="R16" s="9"/>
      <c r="S16" s="9"/>
      <c r="T16" s="9"/>
      <c r="U16" s="9"/>
      <c r="V16" s="9"/>
      <c r="W16" s="9"/>
    </row>
    <row r="17" spans="1:23" ht="17.5" customHeight="1" x14ac:dyDescent="0.4">
      <c r="A17" s="13" t="s">
        <v>47</v>
      </c>
      <c r="B17" s="13" t="s">
        <v>48</v>
      </c>
      <c r="C17" s="13" t="s">
        <v>49</v>
      </c>
      <c r="D17" s="48">
        <v>22</v>
      </c>
      <c r="E17" s="15">
        <v>23</v>
      </c>
      <c r="F17" s="15">
        <f t="shared" si="0"/>
        <v>28</v>
      </c>
      <c r="G17" s="15">
        <f t="shared" si="1"/>
        <v>0</v>
      </c>
      <c r="H17" s="8">
        <v>14</v>
      </c>
      <c r="I17" s="8"/>
      <c r="J17" s="8"/>
      <c r="K17" s="8"/>
      <c r="L17" s="8"/>
      <c r="M17" s="8">
        <v>14</v>
      </c>
      <c r="N17" s="8"/>
      <c r="O17" s="9"/>
      <c r="P17" s="9"/>
      <c r="Q17" s="9"/>
      <c r="R17" s="9"/>
      <c r="S17" s="9"/>
      <c r="T17" s="9"/>
      <c r="U17" s="9"/>
      <c r="V17" s="9"/>
      <c r="W17" s="9"/>
    </row>
    <row r="18" spans="1:23" ht="17.5" customHeight="1" x14ac:dyDescent="0.4">
      <c r="A18" s="13" t="s">
        <v>50</v>
      </c>
      <c r="B18" s="13" t="s">
        <v>51</v>
      </c>
      <c r="C18" s="13" t="s">
        <v>52</v>
      </c>
      <c r="D18" s="48">
        <v>0</v>
      </c>
      <c r="E18" s="15">
        <v>0</v>
      </c>
      <c r="F18" s="15">
        <f t="shared" si="0"/>
        <v>0</v>
      </c>
      <c r="G18" s="15">
        <f t="shared" si="1"/>
        <v>0</v>
      </c>
      <c r="H18" s="8"/>
      <c r="I18" s="8"/>
      <c r="J18" s="8"/>
      <c r="K18" s="8"/>
      <c r="L18" s="8"/>
      <c r="M18" s="8"/>
      <c r="N18" s="8"/>
      <c r="O18" s="9"/>
      <c r="P18" s="9"/>
      <c r="Q18" s="9"/>
      <c r="R18" s="9"/>
      <c r="S18" s="9"/>
      <c r="T18" s="9"/>
      <c r="U18" s="9"/>
      <c r="V18" s="9"/>
      <c r="W18" s="9"/>
    </row>
    <row r="19" spans="1:23" ht="17.5" customHeight="1" x14ac:dyDescent="0.4">
      <c r="A19" s="13" t="s">
        <v>53</v>
      </c>
      <c r="B19" s="13" t="s">
        <v>54</v>
      </c>
      <c r="C19" s="13" t="s">
        <v>55</v>
      </c>
      <c r="D19" s="48">
        <v>14</v>
      </c>
      <c r="E19" s="15">
        <v>24</v>
      </c>
      <c r="F19" s="15">
        <f t="shared" si="0"/>
        <v>14</v>
      </c>
      <c r="G19" s="15">
        <f t="shared" si="1"/>
        <v>0</v>
      </c>
      <c r="H19" s="8"/>
      <c r="I19" s="8"/>
      <c r="J19" s="8"/>
      <c r="K19" s="8">
        <v>14</v>
      </c>
      <c r="L19" s="8"/>
      <c r="M19" s="8"/>
      <c r="N19" s="8"/>
      <c r="O19" s="9"/>
      <c r="P19" s="9"/>
      <c r="Q19" s="9"/>
      <c r="R19" s="9"/>
      <c r="S19" s="9"/>
      <c r="T19" s="9"/>
      <c r="U19" s="9"/>
      <c r="V19" s="9"/>
      <c r="W19" s="9"/>
    </row>
    <row r="20" spans="1:23" ht="17.5" customHeight="1" x14ac:dyDescent="0.4">
      <c r="A20" s="13" t="s">
        <v>56</v>
      </c>
      <c r="B20" s="13" t="s">
        <v>57</v>
      </c>
      <c r="C20" s="13" t="s">
        <v>58</v>
      </c>
      <c r="D20" s="48">
        <v>74</v>
      </c>
      <c r="E20" s="15">
        <v>2</v>
      </c>
      <c r="F20" s="15">
        <f t="shared" si="0"/>
        <v>98</v>
      </c>
      <c r="G20" s="15">
        <f t="shared" si="1"/>
        <v>0</v>
      </c>
      <c r="H20" s="8">
        <v>14</v>
      </c>
      <c r="I20" s="8">
        <v>28</v>
      </c>
      <c r="J20" s="8">
        <v>14</v>
      </c>
      <c r="K20" s="8">
        <v>14</v>
      </c>
      <c r="L20" s="8">
        <v>14</v>
      </c>
      <c r="M20" s="8">
        <v>14</v>
      </c>
      <c r="N20" s="8"/>
      <c r="O20" s="9"/>
      <c r="P20" s="9"/>
      <c r="Q20" s="9"/>
      <c r="R20" s="9"/>
      <c r="S20" s="9"/>
      <c r="T20" s="9"/>
      <c r="U20" s="9"/>
      <c r="V20" s="9"/>
      <c r="W20" s="9"/>
    </row>
    <row r="21" spans="1:23" ht="17.5" customHeight="1" x14ac:dyDescent="0.4">
      <c r="A21" s="13" t="s">
        <v>59</v>
      </c>
      <c r="B21" s="13" t="s">
        <v>60</v>
      </c>
      <c r="C21" s="13" t="s">
        <v>61</v>
      </c>
      <c r="D21" s="48">
        <v>35</v>
      </c>
      <c r="E21" s="15">
        <v>38</v>
      </c>
      <c r="F21" s="15">
        <f t="shared" si="0"/>
        <v>28</v>
      </c>
      <c r="G21" s="15">
        <f t="shared" si="1"/>
        <v>0</v>
      </c>
      <c r="H21" s="8"/>
      <c r="I21" s="8"/>
      <c r="J21" s="8">
        <v>14</v>
      </c>
      <c r="K21" s="8">
        <v>14</v>
      </c>
      <c r="L21" s="8"/>
      <c r="M21" s="8"/>
      <c r="N21" s="8"/>
      <c r="O21" s="9"/>
      <c r="P21" s="9"/>
      <c r="Q21" s="9"/>
      <c r="R21" s="9"/>
      <c r="S21" s="9"/>
      <c r="T21" s="9"/>
      <c r="U21" s="9"/>
      <c r="V21" s="9"/>
      <c r="W21" s="9"/>
    </row>
    <row r="22" spans="1:23" ht="32" customHeight="1" x14ac:dyDescent="0.4">
      <c r="A22" s="74" t="s">
        <v>10</v>
      </c>
      <c r="B22" s="74" t="s">
        <v>11</v>
      </c>
      <c r="C22" s="74" t="s">
        <v>12</v>
      </c>
      <c r="D22" s="74" t="s">
        <v>13</v>
      </c>
      <c r="E22" s="74" t="s">
        <v>17</v>
      </c>
      <c r="F22" s="68" t="s">
        <v>122</v>
      </c>
      <c r="G22" s="68" t="s">
        <v>123</v>
      </c>
      <c r="H22" s="71" t="s">
        <v>0</v>
      </c>
      <c r="I22" s="72"/>
      <c r="J22" s="72"/>
      <c r="K22" s="72"/>
      <c r="L22" s="72"/>
      <c r="M22" s="73"/>
      <c r="N22" s="8"/>
      <c r="O22" s="63" t="s">
        <v>1</v>
      </c>
      <c r="P22" s="64"/>
      <c r="Q22" s="64"/>
      <c r="R22" s="64"/>
      <c r="S22" s="64"/>
      <c r="T22" s="64"/>
      <c r="U22" s="64"/>
      <c r="V22" s="64"/>
      <c r="W22" s="64"/>
    </row>
    <row r="23" spans="1:23" ht="17.5" customHeight="1" x14ac:dyDescent="0.4">
      <c r="A23" s="75"/>
      <c r="B23" s="75"/>
      <c r="C23" s="75"/>
      <c r="D23" s="75"/>
      <c r="E23" s="75"/>
      <c r="F23" s="69"/>
      <c r="G23" s="69"/>
      <c r="H23" s="5" t="s">
        <v>2</v>
      </c>
      <c r="I23" s="5" t="s">
        <v>3</v>
      </c>
      <c r="J23" s="5" t="s">
        <v>4</v>
      </c>
      <c r="K23" s="5" t="s">
        <v>5</v>
      </c>
      <c r="L23" s="5" t="s">
        <v>6</v>
      </c>
      <c r="M23" s="5" t="s">
        <v>7</v>
      </c>
      <c r="N23" s="5" t="s">
        <v>8</v>
      </c>
      <c r="O23" s="6" t="s">
        <v>2</v>
      </c>
      <c r="P23" s="6" t="s">
        <v>3</v>
      </c>
      <c r="Q23" s="6" t="s">
        <v>4</v>
      </c>
      <c r="R23" s="6" t="s">
        <v>5</v>
      </c>
      <c r="S23" s="6" t="s">
        <v>6</v>
      </c>
      <c r="T23" s="6" t="s">
        <v>7</v>
      </c>
      <c r="U23" s="6" t="s">
        <v>8</v>
      </c>
      <c r="V23" s="11"/>
      <c r="W23" s="11"/>
    </row>
    <row r="24" spans="1:23" ht="17.5" customHeight="1" x14ac:dyDescent="0.4">
      <c r="A24" s="76"/>
      <c r="B24" s="76"/>
      <c r="C24" s="76"/>
      <c r="D24" s="76"/>
      <c r="E24" s="76"/>
      <c r="F24" s="69"/>
      <c r="G24" s="69"/>
      <c r="H24" s="10">
        <v>0.33333333333333331</v>
      </c>
      <c r="I24" s="10">
        <v>0.41666666666666669</v>
      </c>
      <c r="J24" s="10">
        <v>0.5</v>
      </c>
      <c r="K24" s="10">
        <v>0.58333333333333337</v>
      </c>
      <c r="L24" s="10">
        <v>0.66666666666666663</v>
      </c>
      <c r="M24" s="17"/>
      <c r="N24" s="8"/>
      <c r="O24" s="11"/>
      <c r="P24" s="11"/>
      <c r="Q24" s="11"/>
      <c r="R24" s="11"/>
      <c r="S24" s="45"/>
      <c r="T24" s="45"/>
      <c r="U24" s="45"/>
      <c r="V24" s="45"/>
      <c r="W24" s="11"/>
    </row>
    <row r="25" spans="1:23" ht="21" x14ac:dyDescent="0.4">
      <c r="A25" s="13" t="s">
        <v>62</v>
      </c>
      <c r="B25" s="13" t="s">
        <v>63</v>
      </c>
      <c r="C25" s="13" t="s">
        <v>64</v>
      </c>
      <c r="D25" s="48">
        <v>169</v>
      </c>
      <c r="E25" s="15">
        <v>98</v>
      </c>
      <c r="F25" s="15">
        <f t="shared" ref="F25" si="2">SUM(H25:N25)</f>
        <v>176</v>
      </c>
      <c r="G25" s="15"/>
      <c r="H25" s="8">
        <v>48</v>
      </c>
      <c r="I25" s="8">
        <v>32</v>
      </c>
      <c r="J25" s="8">
        <v>32</v>
      </c>
      <c r="K25" s="8">
        <v>48</v>
      </c>
      <c r="L25" s="8">
        <v>16</v>
      </c>
      <c r="M25" s="19"/>
      <c r="N25" s="8"/>
      <c r="O25" s="9"/>
      <c r="P25" s="9"/>
      <c r="Q25" s="20"/>
      <c r="R25" s="20"/>
      <c r="S25" s="9"/>
      <c r="T25" s="9">
        <f>VLOOKUP($A25,'8-Sep'!$A$3:$Z$45,25,0)</f>
        <v>0</v>
      </c>
      <c r="U25" s="9">
        <f>VLOOKUP($A25,'8-Sep'!$A$3:$Z$45,26,0)</f>
        <v>0</v>
      </c>
      <c r="V25" s="21"/>
      <c r="W25" s="9">
        <f t="shared" ref="W25:W29" si="3">SUM(O25:V25)</f>
        <v>0</v>
      </c>
    </row>
    <row r="26" spans="1:23" ht="17.5" customHeight="1" x14ac:dyDescent="0.4">
      <c r="A26" s="13" t="s">
        <v>65</v>
      </c>
      <c r="B26" s="13" t="s">
        <v>66</v>
      </c>
      <c r="C26" s="13" t="s">
        <v>67</v>
      </c>
      <c r="D26" s="48">
        <v>42</v>
      </c>
      <c r="E26" s="15">
        <v>44</v>
      </c>
      <c r="F26" s="15">
        <f>SUM(H26:N26)</f>
        <v>16</v>
      </c>
      <c r="G26" s="15">
        <f t="shared" ref="G26:G29" si="4">SUM(O26:U26)</f>
        <v>0</v>
      </c>
      <c r="H26" s="8"/>
      <c r="I26" s="8"/>
      <c r="J26" s="8">
        <v>16</v>
      </c>
      <c r="K26" s="8"/>
      <c r="L26" s="8"/>
      <c r="M26" s="22"/>
      <c r="N26" s="8"/>
      <c r="O26" s="9"/>
      <c r="P26" s="9"/>
      <c r="Q26" s="9"/>
      <c r="R26" s="9"/>
      <c r="S26" s="9"/>
      <c r="T26" s="9">
        <f>VLOOKUP($A26,'8-Sep'!$A$3:$Z$45,25,0)</f>
        <v>0</v>
      </c>
      <c r="U26" s="9">
        <f>VLOOKUP($A26,'8-Sep'!$A$3:$Z$45,26,0)</f>
        <v>0</v>
      </c>
      <c r="V26" s="6"/>
      <c r="W26" s="9">
        <f t="shared" si="3"/>
        <v>0</v>
      </c>
    </row>
    <row r="27" spans="1:23" ht="21" x14ac:dyDescent="0.4">
      <c r="A27" s="13" t="s">
        <v>68</v>
      </c>
      <c r="B27" s="13" t="s">
        <v>69</v>
      </c>
      <c r="C27" s="13" t="s">
        <v>70</v>
      </c>
      <c r="D27" s="48">
        <v>185</v>
      </c>
      <c r="E27" s="15">
        <v>124</v>
      </c>
      <c r="F27" s="15">
        <f>SUM(H27:N27)</f>
        <v>160</v>
      </c>
      <c r="G27" s="15">
        <f t="shared" si="4"/>
        <v>0</v>
      </c>
      <c r="H27" s="8">
        <v>48</v>
      </c>
      <c r="I27" s="8">
        <v>32</v>
      </c>
      <c r="J27" s="8">
        <v>32</v>
      </c>
      <c r="K27" s="8">
        <v>16</v>
      </c>
      <c r="L27" s="8">
        <v>32</v>
      </c>
      <c r="M27" s="22"/>
      <c r="N27" s="8"/>
      <c r="O27" s="9"/>
      <c r="P27" s="9"/>
      <c r="Q27" s="9"/>
      <c r="R27" s="9"/>
      <c r="S27" s="9"/>
      <c r="T27" s="9">
        <f>VLOOKUP($A27,'8-Sep'!$A$3:$Z$45,25,0)</f>
        <v>0</v>
      </c>
      <c r="U27" s="9">
        <f>VLOOKUP($A27,'8-Sep'!$A$3:$Z$45,26,0)</f>
        <v>0</v>
      </c>
      <c r="V27" s="6"/>
      <c r="W27" s="9">
        <f t="shared" si="3"/>
        <v>0</v>
      </c>
    </row>
    <row r="28" spans="1:23" ht="21" x14ac:dyDescent="0.4">
      <c r="A28" s="13" t="s">
        <v>71</v>
      </c>
      <c r="B28" s="13" t="s">
        <v>72</v>
      </c>
      <c r="C28" s="13" t="s">
        <v>73</v>
      </c>
      <c r="D28" s="48">
        <v>25</v>
      </c>
      <c r="E28" s="15">
        <v>44</v>
      </c>
      <c r="F28" s="15">
        <f>SUM(H28:N28)</f>
        <v>64</v>
      </c>
      <c r="G28" s="15">
        <f t="shared" si="4"/>
        <v>0</v>
      </c>
      <c r="H28" s="8"/>
      <c r="I28" s="8"/>
      <c r="J28" s="8">
        <v>32</v>
      </c>
      <c r="K28" s="8">
        <v>32</v>
      </c>
      <c r="L28" s="8"/>
      <c r="M28" s="23"/>
      <c r="N28" s="8"/>
      <c r="O28" s="9"/>
      <c r="P28" s="9"/>
      <c r="Q28" s="9"/>
      <c r="R28" s="9"/>
      <c r="S28" s="9"/>
      <c r="T28" s="9">
        <f>VLOOKUP($A28,'8-Sep'!$A$3:$Z$45,25,0)</f>
        <v>0</v>
      </c>
      <c r="U28" s="9">
        <f>VLOOKUP($A28,'8-Sep'!$A$3:$Z$45,26,0)</f>
        <v>0</v>
      </c>
      <c r="V28" s="6"/>
      <c r="W28" s="9">
        <f t="shared" si="3"/>
        <v>0</v>
      </c>
    </row>
    <row r="29" spans="1:23" ht="21" x14ac:dyDescent="0.4">
      <c r="A29" s="13" t="s">
        <v>74</v>
      </c>
      <c r="B29" s="13" t="s">
        <v>75</v>
      </c>
      <c r="C29" s="13" t="s">
        <v>76</v>
      </c>
      <c r="D29" s="48">
        <v>60</v>
      </c>
      <c r="E29" s="15">
        <v>53</v>
      </c>
      <c r="F29" s="15">
        <f>SUM(H29:N29)</f>
        <v>64</v>
      </c>
      <c r="G29" s="15">
        <f t="shared" si="4"/>
        <v>0</v>
      </c>
      <c r="H29" s="8"/>
      <c r="I29" s="8">
        <v>16</v>
      </c>
      <c r="J29" s="8"/>
      <c r="K29" s="8">
        <v>16</v>
      </c>
      <c r="L29" s="8">
        <v>32</v>
      </c>
      <c r="M29" s="23"/>
      <c r="N29" s="8"/>
      <c r="O29" s="9"/>
      <c r="P29" s="9"/>
      <c r="Q29" s="9"/>
      <c r="R29" s="9"/>
      <c r="S29" s="9"/>
      <c r="T29" s="9">
        <f>VLOOKUP($A29,'8-Sep'!$A$3:$Z$45,25,0)</f>
        <v>0</v>
      </c>
      <c r="U29" s="9">
        <f>VLOOKUP($A29,'8-Sep'!$A$3:$Z$45,26,0)</f>
        <v>0</v>
      </c>
      <c r="V29" s="6"/>
      <c r="W29" s="9">
        <f t="shared" si="3"/>
        <v>0</v>
      </c>
    </row>
    <row r="30" spans="1:23" ht="21" x14ac:dyDescent="0.4">
      <c r="A30" s="13" t="s">
        <v>128</v>
      </c>
      <c r="B30" s="13" t="s">
        <v>129</v>
      </c>
      <c r="C30" s="13" t="s">
        <v>76</v>
      </c>
      <c r="D30" s="48">
        <v>3</v>
      </c>
      <c r="E30" s="15">
        <v>0</v>
      </c>
      <c r="F30" s="15">
        <f>SUM(H30:N30)</f>
        <v>32</v>
      </c>
      <c r="G30" s="15"/>
      <c r="H30" s="8"/>
      <c r="I30" s="8">
        <v>16</v>
      </c>
      <c r="J30" s="8"/>
      <c r="K30" s="8"/>
      <c r="L30" s="8">
        <v>16</v>
      </c>
      <c r="M30" s="23"/>
      <c r="N30" s="8"/>
      <c r="O30" s="9"/>
      <c r="P30" s="9"/>
      <c r="Q30" s="9"/>
      <c r="R30" s="9"/>
      <c r="S30" s="9"/>
      <c r="T30" s="9"/>
      <c r="U30" s="9"/>
      <c r="V30" s="6"/>
      <c r="W30" s="9"/>
    </row>
  </sheetData>
  <protectedRanges>
    <protectedRange sqref="F7:G21 F28:G30 G26:G27 F25:F27" name="Range1_3_2_2"/>
    <protectedRange sqref="M29:M30" name="Range1_1_2_1_2_1_1_1_1_1_1_1_1"/>
    <protectedRange sqref="M28" name="Range1_1_2_1_2_1_1_1_1_2_1_1_1"/>
    <protectedRange sqref="M25:M27" name="Range1_1_2_1_2_1_1_1_1_2_1_2_4_1_2"/>
    <protectedRange sqref="E13" name="Range1_5_1_1"/>
    <protectedRange sqref="E12" name="Range1_2_3_1_1"/>
    <protectedRange sqref="E7:E11" name="Range1_3_2"/>
  </protectedRanges>
  <mergeCells count="19">
    <mergeCell ref="D1:D2"/>
    <mergeCell ref="H1:M1"/>
    <mergeCell ref="O1:W1"/>
    <mergeCell ref="B2:C2"/>
    <mergeCell ref="A3:A6"/>
    <mergeCell ref="B3:B6"/>
    <mergeCell ref="C3:C6"/>
    <mergeCell ref="D3:D6"/>
    <mergeCell ref="F3:F6"/>
    <mergeCell ref="G3:G6"/>
    <mergeCell ref="G22:G24"/>
    <mergeCell ref="H22:M22"/>
    <mergeCell ref="O22:W22"/>
    <mergeCell ref="A22:A24"/>
    <mergeCell ref="B22:B24"/>
    <mergeCell ref="C22:C24"/>
    <mergeCell ref="D22:D24"/>
    <mergeCell ref="E22:E24"/>
    <mergeCell ref="F22:F24"/>
  </mergeCells>
  <conditionalFormatting sqref="K28:K30">
    <cfRule type="cellIs" dxfId="15" priority="1" operator="lessThan">
      <formula>0</formula>
    </cfRule>
  </conditionalFormatting>
  <conditionalFormatting sqref="M25:M30">
    <cfRule type="cellIs" dxfId="14" priority="3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72" orientation="landscape" horizontalDpi="200" verticalDpi="200" r:id="rId1"/>
  <headerFooter>
    <oddFooter>&amp;L_x000D_&amp;1#&amp;"Calibri Light"&amp;8&amp;K000000 Classified as Public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E197-B627-45B7-BDC7-CC374C4F6FFC}">
  <dimension ref="A1:AJ49"/>
  <sheetViews>
    <sheetView showZeros="0" tabSelected="1" zoomScale="70" zoomScaleNormal="70" workbookViewId="0">
      <pane xSplit="12" ySplit="6" topLeftCell="M7" activePane="bottomRight" state="frozen"/>
      <selection activeCell="G18" sqref="G18"/>
      <selection pane="topRight" activeCell="G18" sqref="G18"/>
      <selection pane="bottomLeft" activeCell="G18" sqref="G18"/>
      <selection pane="bottomRight" activeCell="D7" sqref="D7"/>
    </sheetView>
  </sheetViews>
  <sheetFormatPr defaultRowHeight="14.5" x14ac:dyDescent="0.35"/>
  <cols>
    <col min="1" max="1" width="15.453125" bestFit="1" customWidth="1"/>
    <col min="2" max="2" width="17.1796875" bestFit="1" customWidth="1"/>
    <col min="3" max="3" width="13.54296875" bestFit="1" customWidth="1"/>
    <col min="4" max="4" width="13.54296875" style="24" customWidth="1"/>
    <col min="5" max="5" width="14" customWidth="1"/>
    <col min="6" max="6" width="12.7265625" bestFit="1" customWidth="1"/>
    <col min="7" max="7" width="6.81640625" customWidth="1"/>
    <col min="8" max="8" width="14.08984375" customWidth="1"/>
    <col min="9" max="11" width="13" customWidth="1"/>
    <col min="12" max="12" width="13.36328125" customWidth="1"/>
    <col min="13" max="18" width="6.453125" bestFit="1" customWidth="1"/>
    <col min="19" max="19" width="5.6328125" customWidth="1"/>
    <col min="20" max="22" width="6.453125" bestFit="1" customWidth="1"/>
    <col min="23" max="25" width="6.453125" customWidth="1"/>
    <col min="26" max="27" width="6.453125" bestFit="1" customWidth="1"/>
    <col min="28" max="29" width="5.7265625" customWidth="1"/>
    <col min="30" max="30" width="10" bestFit="1" customWidth="1"/>
    <col min="31" max="36" width="5.7265625" customWidth="1"/>
  </cols>
  <sheetData>
    <row r="1" spans="1:36" ht="18.5" x14ac:dyDescent="0.45">
      <c r="F1" s="2">
        <v>45920</v>
      </c>
      <c r="M1" s="54" t="s">
        <v>0</v>
      </c>
      <c r="N1" s="54"/>
      <c r="O1" s="54"/>
      <c r="P1" s="54"/>
      <c r="Q1" s="54"/>
      <c r="R1" s="54"/>
      <c r="S1" s="54"/>
      <c r="T1" s="55" t="s">
        <v>1</v>
      </c>
      <c r="U1" s="56"/>
      <c r="V1" s="56"/>
      <c r="W1" s="56"/>
      <c r="X1" s="56"/>
      <c r="Y1" s="56"/>
      <c r="Z1" s="56"/>
      <c r="AA1" s="56"/>
      <c r="AB1" s="56"/>
      <c r="AC1" s="56"/>
      <c r="AD1" s="56"/>
      <c r="AE1" s="55" t="s">
        <v>77</v>
      </c>
      <c r="AF1" s="56"/>
      <c r="AG1" s="56"/>
      <c r="AH1" s="56"/>
      <c r="AI1" s="56"/>
      <c r="AJ1" s="56"/>
    </row>
    <row r="2" spans="1:36" x14ac:dyDescent="0.35">
      <c r="B2" s="57"/>
      <c r="C2" s="58"/>
      <c r="L2" s="25"/>
      <c r="M2" s="26" t="s">
        <v>2</v>
      </c>
      <c r="N2" s="26" t="s">
        <v>3</v>
      </c>
      <c r="O2" s="26" t="s">
        <v>4</v>
      </c>
      <c r="P2" s="26" t="s">
        <v>5</v>
      </c>
      <c r="Q2" s="26" t="s">
        <v>6</v>
      </c>
      <c r="R2" s="26" t="s">
        <v>7</v>
      </c>
      <c r="S2" s="26"/>
      <c r="T2" s="27" t="s">
        <v>2</v>
      </c>
      <c r="U2" s="27" t="s">
        <v>3</v>
      </c>
      <c r="V2" s="27" t="s">
        <v>4</v>
      </c>
      <c r="W2" s="27" t="s">
        <v>5</v>
      </c>
      <c r="X2" s="27" t="s">
        <v>6</v>
      </c>
      <c r="Y2" s="27" t="s">
        <v>7</v>
      </c>
      <c r="Z2" s="27" t="s">
        <v>8</v>
      </c>
      <c r="AA2" s="27" t="s">
        <v>9</v>
      </c>
      <c r="AB2" s="27" t="s">
        <v>78</v>
      </c>
      <c r="AC2" s="27"/>
      <c r="AD2" s="27" t="s">
        <v>79</v>
      </c>
      <c r="AE2" s="27" t="s">
        <v>2</v>
      </c>
      <c r="AF2" s="27" t="s">
        <v>3</v>
      </c>
      <c r="AG2" s="27" t="s">
        <v>4</v>
      </c>
      <c r="AH2" s="27" t="s">
        <v>5</v>
      </c>
      <c r="AI2" s="27" t="s">
        <v>6</v>
      </c>
      <c r="AJ2" s="27" t="s">
        <v>7</v>
      </c>
    </row>
    <row r="3" spans="1:36" x14ac:dyDescent="0.35">
      <c r="A3" s="49" t="s">
        <v>10</v>
      </c>
      <c r="B3" s="50" t="s">
        <v>11</v>
      </c>
      <c r="C3" s="50" t="s">
        <v>12</v>
      </c>
      <c r="D3" s="50" t="s">
        <v>80</v>
      </c>
      <c r="E3" s="59" t="s">
        <v>13</v>
      </c>
      <c r="F3" s="49" t="s">
        <v>81</v>
      </c>
      <c r="G3" s="49" t="s">
        <v>82</v>
      </c>
      <c r="H3" s="49" t="s">
        <v>83</v>
      </c>
      <c r="I3" s="51" t="s">
        <v>84</v>
      </c>
      <c r="J3" s="49" t="s">
        <v>122</v>
      </c>
      <c r="K3" s="49" t="s">
        <v>123</v>
      </c>
      <c r="L3" s="46" t="s">
        <v>85</v>
      </c>
      <c r="M3" s="22">
        <v>6</v>
      </c>
      <c r="N3" s="22">
        <v>6</v>
      </c>
      <c r="O3" s="22">
        <v>6</v>
      </c>
      <c r="P3" s="22">
        <v>6</v>
      </c>
      <c r="Q3" s="22">
        <v>6</v>
      </c>
      <c r="R3" s="22">
        <v>6</v>
      </c>
      <c r="S3" s="22">
        <f>SUM(M3:R3)</f>
        <v>36</v>
      </c>
      <c r="T3" s="28">
        <v>6</v>
      </c>
      <c r="U3" s="28">
        <v>3</v>
      </c>
      <c r="V3" s="28">
        <v>5</v>
      </c>
      <c r="W3" s="28">
        <v>4</v>
      </c>
      <c r="X3" s="28">
        <v>5</v>
      </c>
      <c r="Y3" s="28">
        <v>5</v>
      </c>
      <c r="Z3" s="28"/>
      <c r="AA3" s="28"/>
      <c r="AB3" s="28"/>
      <c r="AC3" s="28">
        <f>SUM(T3:AB3)</f>
        <v>28</v>
      </c>
      <c r="AD3" s="28"/>
      <c r="AE3" s="28">
        <f>T3-M3</f>
        <v>0</v>
      </c>
      <c r="AF3" s="28">
        <f>SUM(T3:U3)-SUM(M3:N3)</f>
        <v>-3</v>
      </c>
      <c r="AG3" s="28">
        <f>SUM(T3:V3)-SUM(M3:O3)</f>
        <v>-4</v>
      </c>
      <c r="AH3" s="28">
        <f>SUM(T3:Z3)-SUM(M3:P3)</f>
        <v>4</v>
      </c>
      <c r="AI3" s="28">
        <f>SUM(T3:AA3)-SUM(M3:Q3)</f>
        <v>-2</v>
      </c>
      <c r="AJ3" s="28">
        <f>SUM(T3:AB3)-SUM(M3:R3)</f>
        <v>-8</v>
      </c>
    </row>
    <row r="4" spans="1:36" x14ac:dyDescent="0.35">
      <c r="A4" s="49"/>
      <c r="B4" s="50"/>
      <c r="C4" s="50"/>
      <c r="D4" s="50"/>
      <c r="E4" s="59"/>
      <c r="F4" s="49"/>
      <c r="G4" s="50"/>
      <c r="H4" s="50"/>
      <c r="I4" s="52"/>
      <c r="J4" s="49"/>
      <c r="K4" s="49"/>
      <c r="L4" s="46" t="s">
        <v>14</v>
      </c>
      <c r="M4" s="26"/>
      <c r="N4" s="26"/>
      <c r="O4" s="26"/>
      <c r="P4" s="26"/>
      <c r="Q4" s="26"/>
      <c r="R4" s="26"/>
      <c r="S4" s="26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 t="s">
        <v>16</v>
      </c>
      <c r="AE4" s="27"/>
      <c r="AF4" s="27"/>
      <c r="AG4" s="27"/>
      <c r="AH4" s="27"/>
      <c r="AI4" s="27"/>
      <c r="AJ4" s="27"/>
    </row>
    <row r="5" spans="1:36" x14ac:dyDescent="0.35">
      <c r="A5" s="49"/>
      <c r="B5" s="50"/>
      <c r="C5" s="50"/>
      <c r="D5" s="50"/>
      <c r="E5" s="59"/>
      <c r="F5" s="49"/>
      <c r="G5" s="50"/>
      <c r="H5" s="50"/>
      <c r="I5" s="52"/>
      <c r="J5" s="49"/>
      <c r="K5" s="49"/>
      <c r="L5" s="46"/>
      <c r="M5" s="26"/>
      <c r="N5" s="26"/>
      <c r="O5" s="26"/>
      <c r="P5" s="26"/>
      <c r="Q5" s="26"/>
      <c r="R5" s="26"/>
      <c r="S5" s="26"/>
      <c r="T5" s="29"/>
      <c r="U5" s="27"/>
      <c r="V5" s="27"/>
      <c r="W5" s="27"/>
      <c r="X5" s="27"/>
      <c r="Y5" s="27"/>
      <c r="Z5" s="27"/>
      <c r="AA5" s="27"/>
      <c r="AB5" s="27"/>
      <c r="AC5" s="27"/>
      <c r="AD5" s="30" t="s">
        <v>86</v>
      </c>
      <c r="AE5" s="27"/>
      <c r="AF5" s="27"/>
      <c r="AG5" s="27"/>
      <c r="AH5" s="27"/>
      <c r="AI5" s="27"/>
      <c r="AJ5" s="27"/>
    </row>
    <row r="6" spans="1:36" ht="16" x14ac:dyDescent="0.35">
      <c r="A6" s="49"/>
      <c r="B6" s="50"/>
      <c r="C6" s="50"/>
      <c r="D6" s="50"/>
      <c r="E6" s="59"/>
      <c r="F6" s="49"/>
      <c r="G6" s="50"/>
      <c r="H6" s="50"/>
      <c r="I6" s="53"/>
      <c r="J6" s="49"/>
      <c r="K6" s="49"/>
      <c r="L6" s="46" t="s">
        <v>87</v>
      </c>
      <c r="M6" s="10">
        <v>0.25</v>
      </c>
      <c r="N6" s="10">
        <v>0.3125</v>
      </c>
      <c r="O6" s="10">
        <v>0.3888888888888889</v>
      </c>
      <c r="P6" s="10">
        <v>0.5</v>
      </c>
      <c r="Q6" s="10">
        <v>0.625</v>
      </c>
      <c r="R6" s="10">
        <v>0.75</v>
      </c>
      <c r="S6" s="10"/>
      <c r="T6" s="11"/>
      <c r="U6" s="11"/>
      <c r="V6" s="11"/>
      <c r="W6" s="11"/>
      <c r="X6" s="11"/>
      <c r="Y6" s="11"/>
      <c r="Z6" s="11"/>
      <c r="AA6" s="11"/>
      <c r="AB6" s="11"/>
      <c r="AC6" s="27"/>
      <c r="AD6" s="31" t="s">
        <v>88</v>
      </c>
      <c r="AE6" s="31">
        <v>0.27083333333333331</v>
      </c>
      <c r="AF6" s="31">
        <v>0.29166666666666669</v>
      </c>
      <c r="AG6" s="31">
        <v>0.40625</v>
      </c>
      <c r="AH6" s="31">
        <v>0.46875</v>
      </c>
      <c r="AI6" s="31">
        <v>0.61458333333333337</v>
      </c>
      <c r="AJ6" s="31"/>
    </row>
    <row r="7" spans="1:36" ht="21" x14ac:dyDescent="0.35">
      <c r="A7" s="32" t="s">
        <v>18</v>
      </c>
      <c r="B7" s="32" t="s">
        <v>19</v>
      </c>
      <c r="C7" s="32" t="s">
        <v>20</v>
      </c>
      <c r="D7" s="33">
        <v>184</v>
      </c>
      <c r="E7" s="48">
        <v>11</v>
      </c>
      <c r="F7" s="15">
        <v>90</v>
      </c>
      <c r="G7" s="33"/>
      <c r="H7" s="33">
        <f>MAX(((D7+E7)-F7),0)</f>
        <v>105</v>
      </c>
      <c r="I7" s="33">
        <f>MAX(H7-(SUM(M7:R7)),0)</f>
        <v>9</v>
      </c>
      <c r="J7" s="33">
        <f>SUM(M7:S7)</f>
        <v>96</v>
      </c>
      <c r="K7" s="33">
        <f>SUM(T7:Z7)</f>
        <v>0</v>
      </c>
      <c r="L7" s="34"/>
      <c r="M7" s="8"/>
      <c r="N7" s="8"/>
      <c r="O7" s="8"/>
      <c r="P7" s="8">
        <v>96</v>
      </c>
      <c r="Q7" s="8"/>
      <c r="R7" s="8"/>
      <c r="S7" s="8"/>
      <c r="T7" s="9"/>
      <c r="U7" s="9"/>
      <c r="V7" s="9"/>
      <c r="W7" s="9"/>
      <c r="X7" s="9"/>
      <c r="Y7" s="9"/>
      <c r="Z7" s="9"/>
      <c r="AA7" s="9"/>
      <c r="AB7" s="9"/>
      <c r="AC7" s="28"/>
      <c r="AD7" s="28">
        <f t="shared" ref="AD7:AD34" si="0">SUM(T7:AC7)</f>
        <v>0</v>
      </c>
      <c r="AE7" s="28">
        <f t="shared" ref="AE7:AE34" si="1">T7-M7</f>
        <v>0</v>
      </c>
      <c r="AF7" s="28">
        <f t="shared" ref="AF7:AF34" si="2">SUM(T7:U7)-SUM(M7:N7)</f>
        <v>0</v>
      </c>
      <c r="AG7" s="28">
        <f t="shared" ref="AG7:AG34" si="3">SUM(T7:V7)-SUM(M7:O7)</f>
        <v>0</v>
      </c>
      <c r="AH7" s="28">
        <f t="shared" ref="AH7:AH34" si="4">SUM(T7:Z7)-SUM(M7:P7)</f>
        <v>-96</v>
      </c>
      <c r="AI7" s="28">
        <f t="shared" ref="AI7:AI34" si="5">SUM(T7:AA7)-SUM(M7:Q7)</f>
        <v>-96</v>
      </c>
      <c r="AJ7" s="28">
        <f t="shared" ref="AJ7:AJ34" si="6">SUM(T7:AB7)-SUM(M7:R7)</f>
        <v>-96</v>
      </c>
    </row>
    <row r="8" spans="1:36" ht="21" x14ac:dyDescent="0.35">
      <c r="A8" s="32" t="s">
        <v>21</v>
      </c>
      <c r="B8" s="32" t="s">
        <v>22</v>
      </c>
      <c r="C8" s="32" t="s">
        <v>23</v>
      </c>
      <c r="D8" s="33">
        <v>199</v>
      </c>
      <c r="E8" s="48">
        <v>349</v>
      </c>
      <c r="F8" s="15">
        <v>250</v>
      </c>
      <c r="G8" s="33"/>
      <c r="H8" s="33">
        <f t="shared" ref="H8:H41" si="7">MAX(((D8+E8)-F8),0)</f>
        <v>298</v>
      </c>
      <c r="I8" s="33">
        <f t="shared" ref="I8:I41" si="8">MAX(H8-(SUM(M8:R8)),0)</f>
        <v>0</v>
      </c>
      <c r="J8" s="33">
        <f t="shared" ref="J8:J41" si="9">SUM(M8:S8)</f>
        <v>384</v>
      </c>
      <c r="K8" s="33">
        <f t="shared" ref="K8:K41" si="10">SUM(T8:Z8)</f>
        <v>0</v>
      </c>
      <c r="L8" s="34"/>
      <c r="M8" s="8"/>
      <c r="N8" s="8"/>
      <c r="O8" s="8">
        <v>96</v>
      </c>
      <c r="P8" s="8">
        <v>96</v>
      </c>
      <c r="Q8" s="8">
        <v>96</v>
      </c>
      <c r="R8" s="8">
        <v>96</v>
      </c>
      <c r="S8" s="8"/>
      <c r="T8" s="9"/>
      <c r="U8" s="9"/>
      <c r="V8" s="9"/>
      <c r="W8" s="9"/>
      <c r="X8" s="9"/>
      <c r="Y8" s="9"/>
      <c r="Z8" s="9"/>
      <c r="AA8" s="9"/>
      <c r="AB8" s="9"/>
      <c r="AC8" s="28"/>
      <c r="AD8" s="28">
        <f t="shared" si="0"/>
        <v>0</v>
      </c>
      <c r="AE8" s="28">
        <f t="shared" si="1"/>
        <v>0</v>
      </c>
      <c r="AF8" s="28">
        <f t="shared" si="2"/>
        <v>0</v>
      </c>
      <c r="AG8" s="28">
        <f t="shared" si="3"/>
        <v>-96</v>
      </c>
      <c r="AH8" s="28">
        <f t="shared" si="4"/>
        <v>-192</v>
      </c>
      <c r="AI8" s="28">
        <f t="shared" si="5"/>
        <v>-288</v>
      </c>
      <c r="AJ8" s="28">
        <f t="shared" si="6"/>
        <v>-384</v>
      </c>
    </row>
    <row r="9" spans="1:36" ht="21" x14ac:dyDescent="0.35">
      <c r="A9" s="32" t="s">
        <v>24</v>
      </c>
      <c r="B9" s="32" t="s">
        <v>25</v>
      </c>
      <c r="C9" s="32" t="s">
        <v>26</v>
      </c>
      <c r="D9" s="33">
        <v>120</v>
      </c>
      <c r="E9" s="48">
        <v>40</v>
      </c>
      <c r="F9" s="15">
        <v>130</v>
      </c>
      <c r="G9" s="33"/>
      <c r="H9" s="33">
        <f t="shared" si="7"/>
        <v>30</v>
      </c>
      <c r="I9" s="33">
        <f t="shared" si="8"/>
        <v>0</v>
      </c>
      <c r="J9" s="33">
        <f t="shared" si="9"/>
        <v>96</v>
      </c>
      <c r="K9" s="33">
        <f t="shared" si="10"/>
        <v>0</v>
      </c>
      <c r="L9" s="34"/>
      <c r="M9" s="8"/>
      <c r="N9" s="8"/>
      <c r="O9" s="8"/>
      <c r="P9" s="8"/>
      <c r="Q9" s="8">
        <v>96</v>
      </c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28"/>
      <c r="AD9" s="28">
        <f t="shared" si="0"/>
        <v>0</v>
      </c>
      <c r="AE9" s="28">
        <f t="shared" si="1"/>
        <v>0</v>
      </c>
      <c r="AF9" s="28">
        <f t="shared" si="2"/>
        <v>0</v>
      </c>
      <c r="AG9" s="28">
        <f t="shared" si="3"/>
        <v>0</v>
      </c>
      <c r="AH9" s="28">
        <f t="shared" si="4"/>
        <v>0</v>
      </c>
      <c r="AI9" s="28">
        <f t="shared" si="5"/>
        <v>-96</v>
      </c>
      <c r="AJ9" s="28">
        <f t="shared" si="6"/>
        <v>-96</v>
      </c>
    </row>
    <row r="10" spans="1:36" ht="21" x14ac:dyDescent="0.35">
      <c r="A10" s="35" t="s">
        <v>27</v>
      </c>
      <c r="B10" s="32" t="s">
        <v>28</v>
      </c>
      <c r="C10" s="32" t="s">
        <v>29</v>
      </c>
      <c r="D10" s="33">
        <v>130</v>
      </c>
      <c r="E10" s="48">
        <v>17</v>
      </c>
      <c r="F10" s="15">
        <v>140</v>
      </c>
      <c r="G10" s="33"/>
      <c r="H10" s="33">
        <f t="shared" si="7"/>
        <v>7</v>
      </c>
      <c r="I10" s="33">
        <f t="shared" si="8"/>
        <v>7</v>
      </c>
      <c r="J10" s="33">
        <f t="shared" si="9"/>
        <v>0</v>
      </c>
      <c r="K10" s="33">
        <f t="shared" si="10"/>
        <v>0</v>
      </c>
      <c r="L10" s="34"/>
      <c r="M10" s="8"/>
      <c r="N10" s="8"/>
      <c r="O10" s="8"/>
      <c r="P10" s="8"/>
      <c r="Q10" s="8"/>
      <c r="R10" s="8"/>
      <c r="S10" s="8"/>
      <c r="T10" s="9"/>
      <c r="U10" s="9"/>
      <c r="V10" s="9"/>
      <c r="W10" s="9"/>
      <c r="X10" s="9"/>
      <c r="Y10" s="9"/>
      <c r="Z10" s="9"/>
      <c r="AA10" s="9"/>
      <c r="AB10" s="9"/>
      <c r="AC10" s="28"/>
      <c r="AD10" s="28">
        <f t="shared" si="0"/>
        <v>0</v>
      </c>
      <c r="AE10" s="28">
        <f t="shared" si="1"/>
        <v>0</v>
      </c>
      <c r="AF10" s="28">
        <f t="shared" si="2"/>
        <v>0</v>
      </c>
      <c r="AG10" s="28">
        <f t="shared" si="3"/>
        <v>0</v>
      </c>
      <c r="AH10" s="28">
        <f t="shared" si="4"/>
        <v>0</v>
      </c>
      <c r="AI10" s="28">
        <f t="shared" si="5"/>
        <v>0</v>
      </c>
      <c r="AJ10" s="28">
        <f t="shared" si="6"/>
        <v>0</v>
      </c>
    </row>
    <row r="11" spans="1:36" ht="21" x14ac:dyDescent="0.35">
      <c r="A11" s="32" t="s">
        <v>30</v>
      </c>
      <c r="B11" s="32" t="s">
        <v>31</v>
      </c>
      <c r="C11" s="32" t="s">
        <v>32</v>
      </c>
      <c r="D11" s="33">
        <v>260</v>
      </c>
      <c r="E11" s="48">
        <v>221</v>
      </c>
      <c r="F11" s="15">
        <v>370</v>
      </c>
      <c r="G11" s="33"/>
      <c r="H11" s="33">
        <f t="shared" si="7"/>
        <v>111</v>
      </c>
      <c r="I11" s="33">
        <f t="shared" si="8"/>
        <v>0</v>
      </c>
      <c r="J11" s="33">
        <f t="shared" si="9"/>
        <v>130</v>
      </c>
      <c r="K11" s="33">
        <f t="shared" si="10"/>
        <v>0</v>
      </c>
      <c r="L11" s="34"/>
      <c r="M11" s="8"/>
      <c r="N11" s="8"/>
      <c r="O11" s="8">
        <v>130</v>
      </c>
      <c r="P11" s="8"/>
      <c r="Q11" s="8"/>
      <c r="R11" s="8"/>
      <c r="S11" s="8"/>
      <c r="T11" s="9"/>
      <c r="U11" s="9"/>
      <c r="V11" s="9"/>
      <c r="W11" s="9"/>
      <c r="X11" s="9"/>
      <c r="Y11" s="9"/>
      <c r="Z11" s="9"/>
      <c r="AA11" s="9"/>
      <c r="AB11" s="9"/>
      <c r="AC11" s="28"/>
      <c r="AD11" s="28">
        <f t="shared" si="0"/>
        <v>0</v>
      </c>
      <c r="AE11" s="28">
        <f t="shared" si="1"/>
        <v>0</v>
      </c>
      <c r="AF11" s="28">
        <f t="shared" si="2"/>
        <v>0</v>
      </c>
      <c r="AG11" s="28">
        <f t="shared" si="3"/>
        <v>-130</v>
      </c>
      <c r="AH11" s="28">
        <f t="shared" si="4"/>
        <v>-130</v>
      </c>
      <c r="AI11" s="28">
        <f t="shared" si="5"/>
        <v>-130</v>
      </c>
      <c r="AJ11" s="28">
        <f t="shared" si="6"/>
        <v>-130</v>
      </c>
    </row>
    <row r="12" spans="1:36" ht="21" x14ac:dyDescent="0.35">
      <c r="A12" s="32" t="s">
        <v>33</v>
      </c>
      <c r="B12" s="32" t="s">
        <v>34</v>
      </c>
      <c r="C12" s="32" t="s">
        <v>35</v>
      </c>
      <c r="D12" s="33">
        <v>140</v>
      </c>
      <c r="E12" s="48">
        <v>0</v>
      </c>
      <c r="F12" s="15">
        <v>280</v>
      </c>
      <c r="G12" s="33"/>
      <c r="H12" s="33">
        <f t="shared" si="7"/>
        <v>0</v>
      </c>
      <c r="I12" s="33">
        <f t="shared" si="8"/>
        <v>0</v>
      </c>
      <c r="J12" s="33">
        <f t="shared" si="9"/>
        <v>0</v>
      </c>
      <c r="K12" s="33">
        <f t="shared" si="10"/>
        <v>0</v>
      </c>
      <c r="L12" s="34"/>
      <c r="M12" s="8"/>
      <c r="N12" s="8"/>
      <c r="O12" s="8"/>
      <c r="P12" s="8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28"/>
      <c r="AD12" s="28">
        <f t="shared" si="0"/>
        <v>0</v>
      </c>
      <c r="AE12" s="28">
        <f t="shared" si="1"/>
        <v>0</v>
      </c>
      <c r="AF12" s="28">
        <f t="shared" si="2"/>
        <v>0</v>
      </c>
      <c r="AG12" s="28">
        <f t="shared" si="3"/>
        <v>0</v>
      </c>
      <c r="AH12" s="28">
        <f t="shared" si="4"/>
        <v>0</v>
      </c>
      <c r="AI12" s="28">
        <f t="shared" si="5"/>
        <v>0</v>
      </c>
      <c r="AJ12" s="28">
        <f t="shared" si="6"/>
        <v>0</v>
      </c>
    </row>
    <row r="13" spans="1:36" ht="21" x14ac:dyDescent="0.35">
      <c r="A13" s="32" t="s">
        <v>36</v>
      </c>
      <c r="B13" s="32" t="s">
        <v>37</v>
      </c>
      <c r="C13" s="32">
        <v>630131090</v>
      </c>
      <c r="D13" s="33">
        <v>140</v>
      </c>
      <c r="E13" s="48">
        <v>40</v>
      </c>
      <c r="F13" s="15">
        <v>100</v>
      </c>
      <c r="G13" s="33"/>
      <c r="H13" s="33">
        <f t="shared" si="7"/>
        <v>80</v>
      </c>
      <c r="I13" s="33">
        <f t="shared" si="8"/>
        <v>0</v>
      </c>
      <c r="J13" s="33">
        <f t="shared" si="9"/>
        <v>140</v>
      </c>
      <c r="K13" s="33">
        <f t="shared" si="10"/>
        <v>0</v>
      </c>
      <c r="L13" s="34"/>
      <c r="M13" s="8"/>
      <c r="N13" s="8"/>
      <c r="O13" s="8">
        <v>140</v>
      </c>
      <c r="P13" s="8"/>
      <c r="Q13" s="8"/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28"/>
      <c r="AD13" s="28">
        <f t="shared" si="0"/>
        <v>0</v>
      </c>
      <c r="AE13" s="28">
        <f t="shared" si="1"/>
        <v>0</v>
      </c>
      <c r="AF13" s="28">
        <f t="shared" si="2"/>
        <v>0</v>
      </c>
      <c r="AG13" s="28">
        <f t="shared" si="3"/>
        <v>-140</v>
      </c>
      <c r="AH13" s="28">
        <f t="shared" si="4"/>
        <v>-140</v>
      </c>
      <c r="AI13" s="28">
        <f t="shared" si="5"/>
        <v>-140</v>
      </c>
      <c r="AJ13" s="28">
        <f t="shared" si="6"/>
        <v>-140</v>
      </c>
    </row>
    <row r="14" spans="1:36" ht="21" x14ac:dyDescent="0.35">
      <c r="A14" s="32" t="s">
        <v>38</v>
      </c>
      <c r="B14" s="32" t="s">
        <v>39</v>
      </c>
      <c r="C14" s="32" t="s">
        <v>40</v>
      </c>
      <c r="D14" s="33">
        <v>42</v>
      </c>
      <c r="E14" s="48">
        <v>49</v>
      </c>
      <c r="F14" s="15">
        <v>40</v>
      </c>
      <c r="G14" s="33"/>
      <c r="H14" s="33">
        <f t="shared" si="7"/>
        <v>51</v>
      </c>
      <c r="I14" s="33">
        <f t="shared" si="8"/>
        <v>9</v>
      </c>
      <c r="J14" s="33">
        <f t="shared" si="9"/>
        <v>42</v>
      </c>
      <c r="K14" s="33">
        <f t="shared" si="10"/>
        <v>0</v>
      </c>
      <c r="L14" s="34"/>
      <c r="M14" s="8"/>
      <c r="N14" s="8">
        <v>14</v>
      </c>
      <c r="O14" s="8"/>
      <c r="P14" s="8"/>
      <c r="Q14" s="8">
        <v>14</v>
      </c>
      <c r="R14" s="8">
        <v>14</v>
      </c>
      <c r="S14" s="8"/>
      <c r="T14" s="9"/>
      <c r="U14" s="9"/>
      <c r="V14" s="9"/>
      <c r="W14" s="9"/>
      <c r="X14" s="9"/>
      <c r="Y14" s="9"/>
      <c r="Z14" s="9"/>
      <c r="AA14" s="9"/>
      <c r="AB14" s="9"/>
      <c r="AC14" s="28"/>
      <c r="AD14" s="28">
        <f t="shared" si="0"/>
        <v>0</v>
      </c>
      <c r="AE14" s="28">
        <f t="shared" si="1"/>
        <v>0</v>
      </c>
      <c r="AF14" s="28">
        <f t="shared" si="2"/>
        <v>-14</v>
      </c>
      <c r="AG14" s="28">
        <f t="shared" si="3"/>
        <v>-14</v>
      </c>
      <c r="AH14" s="28">
        <f t="shared" si="4"/>
        <v>-14</v>
      </c>
      <c r="AI14" s="28">
        <f t="shared" si="5"/>
        <v>-28</v>
      </c>
      <c r="AJ14" s="28">
        <f t="shared" si="6"/>
        <v>-42</v>
      </c>
    </row>
    <row r="15" spans="1:36" ht="21" x14ac:dyDescent="0.35">
      <c r="A15" s="32" t="s">
        <v>41</v>
      </c>
      <c r="B15" s="32" t="s">
        <v>42</v>
      </c>
      <c r="C15" s="32" t="s">
        <v>43</v>
      </c>
      <c r="D15" s="33">
        <v>28</v>
      </c>
      <c r="E15" s="48">
        <v>8</v>
      </c>
      <c r="F15" s="15">
        <v>38</v>
      </c>
      <c r="G15" s="33"/>
      <c r="H15" s="33">
        <f t="shared" si="7"/>
        <v>0</v>
      </c>
      <c r="I15" s="33">
        <f t="shared" si="8"/>
        <v>0</v>
      </c>
      <c r="J15" s="33">
        <f t="shared" si="9"/>
        <v>56</v>
      </c>
      <c r="K15" s="33">
        <f t="shared" si="10"/>
        <v>0</v>
      </c>
      <c r="L15" s="34"/>
      <c r="M15" s="8"/>
      <c r="N15" s="8"/>
      <c r="O15" s="8">
        <v>14</v>
      </c>
      <c r="P15" s="8">
        <v>14</v>
      </c>
      <c r="Q15" s="8">
        <v>14</v>
      </c>
      <c r="R15" s="8">
        <v>14</v>
      </c>
      <c r="S15" s="8"/>
      <c r="T15" s="9"/>
      <c r="U15" s="9"/>
      <c r="V15" s="9"/>
      <c r="W15" s="9"/>
      <c r="X15" s="9"/>
      <c r="Y15" s="9"/>
      <c r="Z15" s="9"/>
      <c r="AA15" s="9"/>
      <c r="AB15" s="9"/>
      <c r="AC15" s="28"/>
      <c r="AD15" s="28">
        <f t="shared" si="0"/>
        <v>0</v>
      </c>
      <c r="AE15" s="28">
        <f t="shared" si="1"/>
        <v>0</v>
      </c>
      <c r="AF15" s="28">
        <f t="shared" si="2"/>
        <v>0</v>
      </c>
      <c r="AG15" s="28">
        <f t="shared" si="3"/>
        <v>-14</v>
      </c>
      <c r="AH15" s="28">
        <f t="shared" si="4"/>
        <v>-28</v>
      </c>
      <c r="AI15" s="28">
        <f t="shared" si="5"/>
        <v>-42</v>
      </c>
      <c r="AJ15" s="28">
        <f t="shared" si="6"/>
        <v>-56</v>
      </c>
    </row>
    <row r="16" spans="1:36" ht="21" x14ac:dyDescent="0.35">
      <c r="A16" s="32" t="s">
        <v>44</v>
      </c>
      <c r="B16" s="32" t="s">
        <v>45</v>
      </c>
      <c r="C16" s="32" t="s">
        <v>46</v>
      </c>
      <c r="D16" s="33">
        <v>84</v>
      </c>
      <c r="E16" s="48">
        <v>209</v>
      </c>
      <c r="F16" s="15">
        <v>90</v>
      </c>
      <c r="G16" s="33"/>
      <c r="H16" s="33">
        <f t="shared" si="7"/>
        <v>203</v>
      </c>
      <c r="I16" s="33">
        <f t="shared" si="8"/>
        <v>21</v>
      </c>
      <c r="J16" s="33">
        <f t="shared" si="9"/>
        <v>182</v>
      </c>
      <c r="K16" s="33">
        <f t="shared" si="10"/>
        <v>0</v>
      </c>
      <c r="L16" s="34"/>
      <c r="M16" s="8">
        <v>28</v>
      </c>
      <c r="N16" s="8">
        <v>28</v>
      </c>
      <c r="O16" s="8">
        <v>28</v>
      </c>
      <c r="P16" s="8">
        <v>28</v>
      </c>
      <c r="Q16" s="8">
        <v>42</v>
      </c>
      <c r="R16" s="8">
        <v>28</v>
      </c>
      <c r="S16" s="8"/>
      <c r="T16" s="9"/>
      <c r="U16" s="9"/>
      <c r="V16" s="9"/>
      <c r="W16" s="9"/>
      <c r="X16" s="9"/>
      <c r="Y16" s="9"/>
      <c r="Z16" s="9"/>
      <c r="AA16" s="9"/>
      <c r="AB16" s="9"/>
      <c r="AC16" s="28"/>
      <c r="AD16" s="28">
        <f t="shared" si="0"/>
        <v>0</v>
      </c>
      <c r="AE16" s="28">
        <f t="shared" si="1"/>
        <v>-28</v>
      </c>
      <c r="AF16" s="28">
        <f t="shared" si="2"/>
        <v>-56</v>
      </c>
      <c r="AG16" s="28">
        <f t="shared" si="3"/>
        <v>-84</v>
      </c>
      <c r="AH16" s="28">
        <f t="shared" si="4"/>
        <v>-112</v>
      </c>
      <c r="AI16" s="28">
        <f t="shared" si="5"/>
        <v>-154</v>
      </c>
      <c r="AJ16" s="28">
        <f t="shared" si="6"/>
        <v>-182</v>
      </c>
    </row>
    <row r="17" spans="1:36" ht="21" x14ac:dyDescent="0.35">
      <c r="A17" s="32" t="s">
        <v>47</v>
      </c>
      <c r="B17" s="32" t="s">
        <v>48</v>
      </c>
      <c r="C17" s="32" t="s">
        <v>49</v>
      </c>
      <c r="D17" s="33">
        <v>28</v>
      </c>
      <c r="E17" s="48">
        <v>44</v>
      </c>
      <c r="F17" s="15">
        <v>38</v>
      </c>
      <c r="G17" s="33"/>
      <c r="H17" s="33">
        <f t="shared" si="7"/>
        <v>34</v>
      </c>
      <c r="I17" s="33">
        <f t="shared" si="8"/>
        <v>6</v>
      </c>
      <c r="J17" s="33">
        <f t="shared" si="9"/>
        <v>28</v>
      </c>
      <c r="K17" s="33">
        <f t="shared" si="10"/>
        <v>0</v>
      </c>
      <c r="L17" s="34"/>
      <c r="M17" s="8">
        <v>14</v>
      </c>
      <c r="N17" s="8"/>
      <c r="O17" s="8"/>
      <c r="P17" s="8"/>
      <c r="Q17" s="8"/>
      <c r="R17" s="8">
        <v>14</v>
      </c>
      <c r="S17" s="8"/>
      <c r="T17" s="9"/>
      <c r="U17" s="9"/>
      <c r="V17" s="9"/>
      <c r="W17" s="9"/>
      <c r="X17" s="9"/>
      <c r="Y17" s="9"/>
      <c r="Z17" s="9"/>
      <c r="AA17" s="9"/>
      <c r="AB17" s="9"/>
      <c r="AC17" s="28"/>
      <c r="AD17" s="28">
        <f t="shared" si="0"/>
        <v>0</v>
      </c>
      <c r="AE17" s="28">
        <f t="shared" si="1"/>
        <v>-14</v>
      </c>
      <c r="AF17" s="28">
        <f t="shared" si="2"/>
        <v>-14</v>
      </c>
      <c r="AG17" s="28">
        <f t="shared" si="3"/>
        <v>-14</v>
      </c>
      <c r="AH17" s="28">
        <f t="shared" si="4"/>
        <v>-14</v>
      </c>
      <c r="AI17" s="28">
        <f t="shared" si="5"/>
        <v>-14</v>
      </c>
      <c r="AJ17" s="28">
        <f t="shared" si="6"/>
        <v>-28</v>
      </c>
    </row>
    <row r="18" spans="1:36" ht="21" x14ac:dyDescent="0.35">
      <c r="A18" s="32" t="s">
        <v>50</v>
      </c>
      <c r="B18" s="32" t="s">
        <v>51</v>
      </c>
      <c r="C18" s="32" t="s">
        <v>52</v>
      </c>
      <c r="D18" s="33">
        <v>0</v>
      </c>
      <c r="E18" s="48">
        <v>0</v>
      </c>
      <c r="F18" s="15">
        <v>0</v>
      </c>
      <c r="G18" s="33"/>
      <c r="H18" s="33">
        <f t="shared" si="7"/>
        <v>0</v>
      </c>
      <c r="I18" s="33">
        <f t="shared" si="8"/>
        <v>0</v>
      </c>
      <c r="J18" s="33">
        <f t="shared" si="9"/>
        <v>0</v>
      </c>
      <c r="K18" s="33">
        <f t="shared" si="10"/>
        <v>0</v>
      </c>
      <c r="L18" s="34"/>
      <c r="M18" s="8"/>
      <c r="N18" s="8"/>
      <c r="O18" s="8"/>
      <c r="P18" s="8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28"/>
      <c r="AD18" s="28">
        <f t="shared" si="0"/>
        <v>0</v>
      </c>
      <c r="AE18" s="28">
        <f t="shared" si="1"/>
        <v>0</v>
      </c>
      <c r="AF18" s="28">
        <f t="shared" si="2"/>
        <v>0</v>
      </c>
      <c r="AG18" s="28">
        <f t="shared" si="3"/>
        <v>0</v>
      </c>
      <c r="AH18" s="28">
        <f t="shared" si="4"/>
        <v>0</v>
      </c>
      <c r="AI18" s="28">
        <f t="shared" si="5"/>
        <v>0</v>
      </c>
      <c r="AJ18" s="28">
        <f t="shared" si="6"/>
        <v>0</v>
      </c>
    </row>
    <row r="19" spans="1:36" ht="21" x14ac:dyDescent="0.35">
      <c r="A19" s="32" t="s">
        <v>53</v>
      </c>
      <c r="B19" s="32" t="s">
        <v>54</v>
      </c>
      <c r="C19" s="32" t="s">
        <v>55</v>
      </c>
      <c r="D19" s="33">
        <v>28</v>
      </c>
      <c r="E19" s="48">
        <v>0</v>
      </c>
      <c r="F19" s="15">
        <v>24</v>
      </c>
      <c r="G19" s="33"/>
      <c r="H19" s="33">
        <f t="shared" si="7"/>
        <v>4</v>
      </c>
      <c r="I19" s="33">
        <f t="shared" si="8"/>
        <v>0</v>
      </c>
      <c r="J19" s="33">
        <f t="shared" si="9"/>
        <v>14</v>
      </c>
      <c r="K19" s="33">
        <f t="shared" si="10"/>
        <v>0</v>
      </c>
      <c r="L19" s="34"/>
      <c r="M19" s="8"/>
      <c r="N19" s="8"/>
      <c r="O19" s="8"/>
      <c r="P19" s="8">
        <v>14</v>
      </c>
      <c r="Q19" s="8"/>
      <c r="R19" s="8"/>
      <c r="S19" s="8"/>
      <c r="T19" s="9"/>
      <c r="U19" s="9"/>
      <c r="V19" s="9"/>
      <c r="W19" s="9"/>
      <c r="X19" s="9"/>
      <c r="Y19" s="9"/>
      <c r="Z19" s="9"/>
      <c r="AA19" s="9"/>
      <c r="AB19" s="9"/>
      <c r="AC19" s="28"/>
      <c r="AD19" s="28">
        <f t="shared" si="0"/>
        <v>0</v>
      </c>
      <c r="AE19" s="28">
        <f t="shared" si="1"/>
        <v>0</v>
      </c>
      <c r="AF19" s="28">
        <f t="shared" si="2"/>
        <v>0</v>
      </c>
      <c r="AG19" s="28">
        <f t="shared" si="3"/>
        <v>0</v>
      </c>
      <c r="AH19" s="28">
        <f t="shared" si="4"/>
        <v>-14</v>
      </c>
      <c r="AI19" s="28">
        <f t="shared" si="5"/>
        <v>-14</v>
      </c>
      <c r="AJ19" s="28">
        <f t="shared" si="6"/>
        <v>-14</v>
      </c>
    </row>
    <row r="20" spans="1:36" ht="21" x14ac:dyDescent="0.35">
      <c r="A20" s="32" t="s">
        <v>56</v>
      </c>
      <c r="B20" s="32" t="s">
        <v>57</v>
      </c>
      <c r="C20" s="32" t="s">
        <v>58</v>
      </c>
      <c r="D20" s="33">
        <v>28</v>
      </c>
      <c r="E20" s="48">
        <v>38</v>
      </c>
      <c r="F20" s="15">
        <v>38</v>
      </c>
      <c r="G20" s="33"/>
      <c r="H20" s="33">
        <f t="shared" si="7"/>
        <v>28</v>
      </c>
      <c r="I20" s="33">
        <f t="shared" si="8"/>
        <v>0</v>
      </c>
      <c r="J20" s="33">
        <f t="shared" si="9"/>
        <v>98</v>
      </c>
      <c r="K20" s="33">
        <f t="shared" si="10"/>
        <v>0</v>
      </c>
      <c r="L20" s="34"/>
      <c r="M20" s="8">
        <v>14</v>
      </c>
      <c r="N20" s="8">
        <v>28</v>
      </c>
      <c r="O20" s="8">
        <v>14</v>
      </c>
      <c r="P20" s="8">
        <v>14</v>
      </c>
      <c r="Q20" s="8">
        <v>14</v>
      </c>
      <c r="R20" s="8">
        <v>14</v>
      </c>
      <c r="S20" s="8"/>
      <c r="T20" s="9"/>
      <c r="U20" s="9"/>
      <c r="V20" s="9"/>
      <c r="W20" s="9"/>
      <c r="X20" s="9"/>
      <c r="Y20" s="9"/>
      <c r="Z20" s="9"/>
      <c r="AA20" s="9"/>
      <c r="AB20" s="9"/>
      <c r="AC20" s="28"/>
      <c r="AD20" s="28">
        <f t="shared" si="0"/>
        <v>0</v>
      </c>
      <c r="AE20" s="28">
        <f t="shared" si="1"/>
        <v>-14</v>
      </c>
      <c r="AF20" s="28">
        <f t="shared" si="2"/>
        <v>-42</v>
      </c>
      <c r="AG20" s="28">
        <f t="shared" si="3"/>
        <v>-56</v>
      </c>
      <c r="AH20" s="28">
        <f t="shared" si="4"/>
        <v>-70</v>
      </c>
      <c r="AI20" s="28">
        <f t="shared" si="5"/>
        <v>-84</v>
      </c>
      <c r="AJ20" s="28">
        <f t="shared" si="6"/>
        <v>-98</v>
      </c>
    </row>
    <row r="21" spans="1:36" ht="21" x14ac:dyDescent="0.35">
      <c r="A21" s="32" t="s">
        <v>59</v>
      </c>
      <c r="B21" s="32" t="s">
        <v>60</v>
      </c>
      <c r="C21" s="32" t="s">
        <v>61</v>
      </c>
      <c r="D21" s="33">
        <v>28</v>
      </c>
      <c r="E21" s="48">
        <v>12</v>
      </c>
      <c r="F21" s="15">
        <v>38</v>
      </c>
      <c r="G21" s="33"/>
      <c r="H21" s="33">
        <f t="shared" si="7"/>
        <v>2</v>
      </c>
      <c r="I21" s="33">
        <f t="shared" si="8"/>
        <v>0</v>
      </c>
      <c r="J21" s="33">
        <f t="shared" si="9"/>
        <v>28</v>
      </c>
      <c r="K21" s="33">
        <f t="shared" si="10"/>
        <v>0</v>
      </c>
      <c r="L21" s="34"/>
      <c r="M21" s="8"/>
      <c r="N21" s="8"/>
      <c r="O21" s="8">
        <v>14</v>
      </c>
      <c r="P21" s="8">
        <v>14</v>
      </c>
      <c r="Q21" s="8"/>
      <c r="R21" s="8"/>
      <c r="S21" s="8"/>
      <c r="T21" s="9"/>
      <c r="U21" s="9"/>
      <c r="V21" s="9"/>
      <c r="W21" s="9"/>
      <c r="X21" s="9"/>
      <c r="Y21" s="9"/>
      <c r="Z21" s="9"/>
      <c r="AA21" s="9"/>
      <c r="AB21" s="9"/>
      <c r="AC21" s="28"/>
      <c r="AD21" s="28">
        <f t="shared" si="0"/>
        <v>0</v>
      </c>
      <c r="AE21" s="28">
        <f t="shared" si="1"/>
        <v>0</v>
      </c>
      <c r="AF21" s="28">
        <f t="shared" si="2"/>
        <v>0</v>
      </c>
      <c r="AG21" s="28">
        <f t="shared" si="3"/>
        <v>-14</v>
      </c>
      <c r="AH21" s="28">
        <f t="shared" si="4"/>
        <v>-28</v>
      </c>
      <c r="AI21" s="28">
        <f t="shared" si="5"/>
        <v>-28</v>
      </c>
      <c r="AJ21" s="28">
        <f t="shared" si="6"/>
        <v>-28</v>
      </c>
    </row>
    <row r="22" spans="1:36" ht="16" x14ac:dyDescent="0.35">
      <c r="A22" s="35">
        <v>542474700122</v>
      </c>
      <c r="B22" s="32" t="s">
        <v>89</v>
      </c>
      <c r="C22" s="32" t="s">
        <v>90</v>
      </c>
      <c r="D22" s="33">
        <v>50</v>
      </c>
      <c r="E22" s="36">
        <v>0</v>
      </c>
      <c r="F22" s="33">
        <v>55</v>
      </c>
      <c r="G22" s="33"/>
      <c r="H22" s="33">
        <f t="shared" si="7"/>
        <v>0</v>
      </c>
      <c r="I22" s="33">
        <f t="shared" si="8"/>
        <v>0</v>
      </c>
      <c r="J22" s="33">
        <f t="shared" si="9"/>
        <v>0</v>
      </c>
      <c r="K22" s="33">
        <f t="shared" si="10"/>
        <v>0</v>
      </c>
      <c r="L22" s="34"/>
      <c r="M22" s="37"/>
      <c r="N22" s="37"/>
      <c r="O22" s="37"/>
      <c r="P22" s="22"/>
      <c r="Q22" s="22"/>
      <c r="R22" s="22"/>
      <c r="S22" s="22"/>
      <c r="T22" s="38"/>
      <c r="U22" s="38"/>
      <c r="V22" s="38"/>
      <c r="W22" s="38"/>
      <c r="X22" s="38"/>
      <c r="Y22" s="38"/>
      <c r="Z22" s="28"/>
      <c r="AA22" s="28"/>
      <c r="AB22" s="28"/>
      <c r="AC22" s="28"/>
      <c r="AD22" s="28">
        <f t="shared" si="0"/>
        <v>0</v>
      </c>
      <c r="AE22" s="28">
        <f t="shared" si="1"/>
        <v>0</v>
      </c>
      <c r="AF22" s="28">
        <f t="shared" si="2"/>
        <v>0</v>
      </c>
      <c r="AG22" s="28">
        <f t="shared" si="3"/>
        <v>0</v>
      </c>
      <c r="AH22" s="28">
        <f t="shared" si="4"/>
        <v>0</v>
      </c>
      <c r="AI22" s="28">
        <f t="shared" si="5"/>
        <v>0</v>
      </c>
      <c r="AJ22" s="28">
        <f t="shared" si="6"/>
        <v>0</v>
      </c>
    </row>
    <row r="23" spans="1:36" ht="16" x14ac:dyDescent="0.35">
      <c r="A23" s="35">
        <v>542463700115</v>
      </c>
      <c r="B23" s="32" t="s">
        <v>91</v>
      </c>
      <c r="C23" s="32" t="s">
        <v>92</v>
      </c>
      <c r="D23" s="33">
        <v>50</v>
      </c>
      <c r="E23" s="36">
        <v>0</v>
      </c>
      <c r="F23" s="33">
        <v>60</v>
      </c>
      <c r="G23" s="33"/>
      <c r="H23" s="33">
        <f t="shared" si="7"/>
        <v>0</v>
      </c>
      <c r="I23" s="33">
        <f t="shared" si="8"/>
        <v>0</v>
      </c>
      <c r="J23" s="33">
        <f t="shared" si="9"/>
        <v>0</v>
      </c>
      <c r="K23" s="33">
        <f t="shared" si="10"/>
        <v>0</v>
      </c>
      <c r="L23" s="34"/>
      <c r="M23" s="37"/>
      <c r="N23" s="37"/>
      <c r="O23" s="37"/>
      <c r="P23" s="22"/>
      <c r="Q23" s="22"/>
      <c r="R23" s="22"/>
      <c r="S23" s="22"/>
      <c r="T23" s="38"/>
      <c r="U23" s="38"/>
      <c r="V23" s="38"/>
      <c r="W23" s="38"/>
      <c r="X23" s="38"/>
      <c r="Y23" s="38"/>
      <c r="Z23" s="28"/>
      <c r="AA23" s="28"/>
      <c r="AB23" s="28"/>
      <c r="AC23" s="28"/>
      <c r="AD23" s="28">
        <f t="shared" si="0"/>
        <v>0</v>
      </c>
      <c r="AE23" s="28">
        <f t="shared" si="1"/>
        <v>0</v>
      </c>
      <c r="AF23" s="28">
        <f t="shared" si="2"/>
        <v>0</v>
      </c>
      <c r="AG23" s="28">
        <f t="shared" si="3"/>
        <v>0</v>
      </c>
      <c r="AH23" s="28">
        <f t="shared" si="4"/>
        <v>0</v>
      </c>
      <c r="AI23" s="28">
        <f t="shared" si="5"/>
        <v>0</v>
      </c>
      <c r="AJ23" s="28">
        <f t="shared" si="6"/>
        <v>0</v>
      </c>
    </row>
    <row r="24" spans="1:36" ht="16" x14ac:dyDescent="0.35">
      <c r="A24" s="35">
        <v>542463700114</v>
      </c>
      <c r="B24" s="32" t="s">
        <v>93</v>
      </c>
      <c r="C24" s="32" t="s">
        <v>94</v>
      </c>
      <c r="D24" s="33">
        <v>50</v>
      </c>
      <c r="E24" s="36">
        <v>0</v>
      </c>
      <c r="F24" s="33">
        <v>42</v>
      </c>
      <c r="G24" s="33"/>
      <c r="H24" s="33">
        <f t="shared" si="7"/>
        <v>8</v>
      </c>
      <c r="I24" s="33">
        <f t="shared" si="8"/>
        <v>8</v>
      </c>
      <c r="J24" s="33">
        <f t="shared" si="9"/>
        <v>0</v>
      </c>
      <c r="K24" s="33">
        <f t="shared" si="10"/>
        <v>0</v>
      </c>
      <c r="L24" s="34"/>
      <c r="M24" s="37"/>
      <c r="N24" s="37"/>
      <c r="O24" s="37"/>
      <c r="P24" s="22"/>
      <c r="Q24" s="22"/>
      <c r="R24" s="22"/>
      <c r="S24" s="22"/>
      <c r="T24" s="38"/>
      <c r="U24" s="38"/>
      <c r="V24" s="38"/>
      <c r="W24" s="38"/>
      <c r="X24" s="38"/>
      <c r="Y24" s="38"/>
      <c r="Z24" s="28"/>
      <c r="AA24" s="28"/>
      <c r="AB24" s="28"/>
      <c r="AC24" s="28"/>
      <c r="AD24" s="28">
        <f t="shared" si="0"/>
        <v>0</v>
      </c>
      <c r="AE24" s="28">
        <f t="shared" si="1"/>
        <v>0</v>
      </c>
      <c r="AF24" s="28">
        <f t="shared" si="2"/>
        <v>0</v>
      </c>
      <c r="AG24" s="28">
        <f t="shared" si="3"/>
        <v>0</v>
      </c>
      <c r="AH24" s="28">
        <f t="shared" si="4"/>
        <v>0</v>
      </c>
      <c r="AI24" s="28">
        <f t="shared" si="5"/>
        <v>0</v>
      </c>
      <c r="AJ24" s="28">
        <f t="shared" si="6"/>
        <v>0</v>
      </c>
    </row>
    <row r="25" spans="1:36" ht="16" x14ac:dyDescent="0.35">
      <c r="A25" s="35">
        <v>542472700140</v>
      </c>
      <c r="B25" s="32" t="s">
        <v>95</v>
      </c>
      <c r="C25" s="32" t="s">
        <v>96</v>
      </c>
      <c r="D25" s="33">
        <v>50</v>
      </c>
      <c r="E25" s="36">
        <v>0</v>
      </c>
      <c r="F25" s="33">
        <v>60</v>
      </c>
      <c r="G25" s="33"/>
      <c r="H25" s="33">
        <f t="shared" si="7"/>
        <v>0</v>
      </c>
      <c r="I25" s="33">
        <f t="shared" si="8"/>
        <v>0</v>
      </c>
      <c r="J25" s="33">
        <f t="shared" si="9"/>
        <v>0</v>
      </c>
      <c r="K25" s="33">
        <f t="shared" si="10"/>
        <v>0</v>
      </c>
      <c r="L25" s="34"/>
      <c r="M25" s="37"/>
      <c r="N25" s="37"/>
      <c r="O25" s="37"/>
      <c r="P25" s="22"/>
      <c r="Q25" s="22"/>
      <c r="R25" s="22"/>
      <c r="S25" s="22"/>
      <c r="T25" s="38"/>
      <c r="U25" s="38"/>
      <c r="V25" s="38"/>
      <c r="W25" s="38"/>
      <c r="X25" s="38"/>
      <c r="Y25" s="38"/>
      <c r="Z25" s="28"/>
      <c r="AA25" s="28"/>
      <c r="AB25" s="28"/>
      <c r="AC25" s="28"/>
      <c r="AD25" s="28">
        <f t="shared" si="0"/>
        <v>0</v>
      </c>
      <c r="AE25" s="28">
        <f t="shared" si="1"/>
        <v>0</v>
      </c>
      <c r="AF25" s="28">
        <f t="shared" si="2"/>
        <v>0</v>
      </c>
      <c r="AG25" s="28">
        <f t="shared" si="3"/>
        <v>0</v>
      </c>
      <c r="AH25" s="28">
        <f t="shared" si="4"/>
        <v>0</v>
      </c>
      <c r="AI25" s="28">
        <f t="shared" si="5"/>
        <v>0</v>
      </c>
      <c r="AJ25" s="28">
        <f t="shared" si="6"/>
        <v>0</v>
      </c>
    </row>
    <row r="26" spans="1:36" ht="16" x14ac:dyDescent="0.35">
      <c r="A26" s="35">
        <v>542472700139</v>
      </c>
      <c r="B26" s="32" t="s">
        <v>97</v>
      </c>
      <c r="C26" s="32" t="s">
        <v>98</v>
      </c>
      <c r="D26" s="33">
        <v>50</v>
      </c>
      <c r="E26" s="36">
        <v>0</v>
      </c>
      <c r="F26" s="33">
        <v>40</v>
      </c>
      <c r="G26" s="33"/>
      <c r="H26" s="33">
        <f t="shared" si="7"/>
        <v>10</v>
      </c>
      <c r="I26" s="33">
        <f t="shared" si="8"/>
        <v>10</v>
      </c>
      <c r="J26" s="33">
        <f t="shared" si="9"/>
        <v>0</v>
      </c>
      <c r="K26" s="33">
        <f t="shared" si="10"/>
        <v>0</v>
      </c>
      <c r="L26" s="34"/>
      <c r="M26" s="37"/>
      <c r="N26" s="37"/>
      <c r="O26" s="37"/>
      <c r="P26" s="22"/>
      <c r="Q26" s="22"/>
      <c r="R26" s="22"/>
      <c r="S26" s="22"/>
      <c r="T26" s="38"/>
      <c r="U26" s="38"/>
      <c r="V26" s="38"/>
      <c r="W26" s="38"/>
      <c r="X26" s="38"/>
      <c r="Y26" s="38"/>
      <c r="Z26" s="28"/>
      <c r="AA26" s="28"/>
      <c r="AB26" s="28"/>
      <c r="AC26" s="28"/>
      <c r="AD26" s="28">
        <f t="shared" si="0"/>
        <v>0</v>
      </c>
      <c r="AE26" s="28">
        <f t="shared" si="1"/>
        <v>0</v>
      </c>
      <c r="AF26" s="28">
        <f t="shared" si="2"/>
        <v>0</v>
      </c>
      <c r="AG26" s="28">
        <f t="shared" si="3"/>
        <v>0</v>
      </c>
      <c r="AH26" s="28">
        <f t="shared" si="4"/>
        <v>0</v>
      </c>
      <c r="AI26" s="28">
        <f t="shared" si="5"/>
        <v>0</v>
      </c>
      <c r="AJ26" s="28">
        <f t="shared" si="6"/>
        <v>0</v>
      </c>
    </row>
    <row r="27" spans="1:36" ht="16" x14ac:dyDescent="0.35">
      <c r="A27" s="35">
        <v>542473700124</v>
      </c>
      <c r="B27" s="32" t="s">
        <v>99</v>
      </c>
      <c r="C27" s="32" t="s">
        <v>100</v>
      </c>
      <c r="D27" s="33">
        <v>50</v>
      </c>
      <c r="E27" s="36">
        <v>0</v>
      </c>
      <c r="F27" s="33">
        <v>35</v>
      </c>
      <c r="G27" s="33"/>
      <c r="H27" s="33">
        <f t="shared" si="7"/>
        <v>15</v>
      </c>
      <c r="I27" s="33">
        <f t="shared" si="8"/>
        <v>15</v>
      </c>
      <c r="J27" s="33">
        <f t="shared" si="9"/>
        <v>0</v>
      </c>
      <c r="K27" s="33">
        <f t="shared" si="10"/>
        <v>0</v>
      </c>
      <c r="L27" s="34"/>
      <c r="M27" s="37"/>
      <c r="N27" s="37"/>
      <c r="O27" s="37"/>
      <c r="P27" s="22"/>
      <c r="Q27" s="22"/>
      <c r="R27" s="22"/>
      <c r="S27" s="22"/>
      <c r="T27" s="38"/>
      <c r="U27" s="38"/>
      <c r="V27" s="38"/>
      <c r="W27" s="38"/>
      <c r="X27" s="38"/>
      <c r="Y27" s="38"/>
      <c r="Z27" s="28"/>
      <c r="AA27" s="28"/>
      <c r="AB27" s="28"/>
      <c r="AC27" s="28"/>
      <c r="AD27" s="28">
        <f t="shared" si="0"/>
        <v>0</v>
      </c>
      <c r="AE27" s="28">
        <f t="shared" si="1"/>
        <v>0</v>
      </c>
      <c r="AF27" s="28">
        <f t="shared" si="2"/>
        <v>0</v>
      </c>
      <c r="AG27" s="28">
        <f t="shared" si="3"/>
        <v>0</v>
      </c>
      <c r="AH27" s="28">
        <f t="shared" si="4"/>
        <v>0</v>
      </c>
      <c r="AI27" s="28">
        <f t="shared" si="5"/>
        <v>0</v>
      </c>
      <c r="AJ27" s="28">
        <f t="shared" si="6"/>
        <v>0</v>
      </c>
    </row>
    <row r="28" spans="1:36" ht="16" x14ac:dyDescent="0.35">
      <c r="A28" s="35">
        <v>542473700123</v>
      </c>
      <c r="B28" s="32" t="s">
        <v>101</v>
      </c>
      <c r="C28" s="32" t="s">
        <v>102</v>
      </c>
      <c r="D28" s="33">
        <v>50</v>
      </c>
      <c r="E28" s="36">
        <v>0</v>
      </c>
      <c r="F28" s="33">
        <v>36</v>
      </c>
      <c r="G28" s="33"/>
      <c r="H28" s="33">
        <f t="shared" si="7"/>
        <v>14</v>
      </c>
      <c r="I28" s="33">
        <f t="shared" si="8"/>
        <v>14</v>
      </c>
      <c r="J28" s="33">
        <f t="shared" si="9"/>
        <v>0</v>
      </c>
      <c r="K28" s="33">
        <f t="shared" si="10"/>
        <v>0</v>
      </c>
      <c r="L28" s="34"/>
      <c r="M28" s="37"/>
      <c r="N28" s="37"/>
      <c r="O28" s="37"/>
      <c r="P28" s="22"/>
      <c r="Q28" s="22"/>
      <c r="R28" s="22"/>
      <c r="S28" s="22"/>
      <c r="T28" s="38"/>
      <c r="U28" s="38"/>
      <c r="V28" s="38"/>
      <c r="W28" s="38"/>
      <c r="X28" s="38"/>
      <c r="Y28" s="38"/>
      <c r="Z28" s="28"/>
      <c r="AA28" s="28"/>
      <c r="AB28" s="28"/>
      <c r="AC28" s="28"/>
      <c r="AD28" s="28">
        <f t="shared" si="0"/>
        <v>0</v>
      </c>
      <c r="AE28" s="28">
        <f t="shared" si="1"/>
        <v>0</v>
      </c>
      <c r="AF28" s="28">
        <f t="shared" si="2"/>
        <v>0</v>
      </c>
      <c r="AG28" s="28">
        <f t="shared" si="3"/>
        <v>0</v>
      </c>
      <c r="AH28" s="28">
        <f t="shared" si="4"/>
        <v>0</v>
      </c>
      <c r="AI28" s="28">
        <f t="shared" si="5"/>
        <v>0</v>
      </c>
      <c r="AJ28" s="28">
        <f t="shared" si="6"/>
        <v>0</v>
      </c>
    </row>
    <row r="29" spans="1:36" ht="16" x14ac:dyDescent="0.35">
      <c r="A29" s="39">
        <v>542488100121</v>
      </c>
      <c r="B29" s="40" t="s">
        <v>103</v>
      </c>
      <c r="C29" s="40" t="s">
        <v>104</v>
      </c>
      <c r="D29" s="33">
        <v>50</v>
      </c>
      <c r="E29" s="36">
        <v>0</v>
      </c>
      <c r="F29" s="8">
        <v>250</v>
      </c>
      <c r="G29" s="33"/>
      <c r="H29" s="33">
        <f t="shared" si="7"/>
        <v>0</v>
      </c>
      <c r="I29" s="33">
        <f t="shared" si="8"/>
        <v>0</v>
      </c>
      <c r="J29" s="33">
        <f t="shared" si="9"/>
        <v>0</v>
      </c>
      <c r="K29" s="33">
        <f t="shared" si="10"/>
        <v>0</v>
      </c>
      <c r="L29" s="34"/>
      <c r="M29" s="37"/>
      <c r="N29" s="37"/>
      <c r="O29" s="37"/>
      <c r="P29" s="22"/>
      <c r="Q29" s="22"/>
      <c r="R29" s="22"/>
      <c r="S29" s="22"/>
      <c r="T29" s="38"/>
      <c r="U29" s="38"/>
      <c r="V29" s="38"/>
      <c r="W29" s="38"/>
      <c r="X29" s="38"/>
      <c r="Y29" s="38"/>
      <c r="Z29" s="28"/>
      <c r="AA29" s="28"/>
      <c r="AB29" s="28"/>
      <c r="AC29" s="28"/>
      <c r="AD29" s="28">
        <f t="shared" si="0"/>
        <v>0</v>
      </c>
      <c r="AE29" s="28">
        <f t="shared" si="1"/>
        <v>0</v>
      </c>
      <c r="AF29" s="28">
        <f t="shared" si="2"/>
        <v>0</v>
      </c>
      <c r="AG29" s="28">
        <f t="shared" si="3"/>
        <v>0</v>
      </c>
      <c r="AH29" s="28">
        <f t="shared" si="4"/>
        <v>0</v>
      </c>
      <c r="AI29" s="28">
        <f t="shared" si="5"/>
        <v>0</v>
      </c>
      <c r="AJ29" s="28">
        <f t="shared" si="6"/>
        <v>0</v>
      </c>
    </row>
    <row r="30" spans="1:36" ht="16" x14ac:dyDescent="0.35">
      <c r="A30" s="39">
        <v>542488100120</v>
      </c>
      <c r="B30" s="40" t="s">
        <v>105</v>
      </c>
      <c r="C30" s="40" t="s">
        <v>106</v>
      </c>
      <c r="D30" s="33">
        <v>50</v>
      </c>
      <c r="E30" s="36">
        <v>0</v>
      </c>
      <c r="F30" s="8">
        <v>50</v>
      </c>
      <c r="G30" s="33"/>
      <c r="H30" s="33">
        <f t="shared" si="7"/>
        <v>0</v>
      </c>
      <c r="I30" s="33">
        <f t="shared" si="8"/>
        <v>0</v>
      </c>
      <c r="J30" s="33">
        <f t="shared" si="9"/>
        <v>0</v>
      </c>
      <c r="K30" s="33">
        <f t="shared" si="10"/>
        <v>0</v>
      </c>
      <c r="L30" s="34"/>
      <c r="M30" s="37"/>
      <c r="N30" s="37"/>
      <c r="O30" s="37"/>
      <c r="P30" s="22"/>
      <c r="Q30" s="22"/>
      <c r="R30" s="22"/>
      <c r="S30" s="22"/>
      <c r="T30" s="38"/>
      <c r="U30" s="38"/>
      <c r="V30" s="38"/>
      <c r="W30" s="38"/>
      <c r="X30" s="38"/>
      <c r="Y30" s="38"/>
      <c r="Z30" s="28"/>
      <c r="AA30" s="28"/>
      <c r="AB30" s="28"/>
      <c r="AC30" s="28"/>
      <c r="AD30" s="28">
        <f t="shared" si="0"/>
        <v>0</v>
      </c>
      <c r="AE30" s="28">
        <f t="shared" si="1"/>
        <v>0</v>
      </c>
      <c r="AF30" s="28">
        <f t="shared" si="2"/>
        <v>0</v>
      </c>
      <c r="AG30" s="28">
        <f t="shared" si="3"/>
        <v>0</v>
      </c>
      <c r="AH30" s="28">
        <f t="shared" si="4"/>
        <v>0</v>
      </c>
      <c r="AI30" s="28">
        <f t="shared" si="5"/>
        <v>0</v>
      </c>
      <c r="AJ30" s="28">
        <f t="shared" si="6"/>
        <v>0</v>
      </c>
    </row>
    <row r="31" spans="1:36" ht="16" x14ac:dyDescent="0.35">
      <c r="A31" s="39">
        <v>542488100123</v>
      </c>
      <c r="B31" s="40" t="s">
        <v>107</v>
      </c>
      <c r="C31" s="40" t="s">
        <v>108</v>
      </c>
      <c r="D31" s="33">
        <v>50</v>
      </c>
      <c r="E31" s="36">
        <v>0</v>
      </c>
      <c r="F31" s="8">
        <v>70</v>
      </c>
      <c r="G31" s="33"/>
      <c r="H31" s="33">
        <f t="shared" si="7"/>
        <v>0</v>
      </c>
      <c r="I31" s="33">
        <f t="shared" si="8"/>
        <v>0</v>
      </c>
      <c r="J31" s="33">
        <f t="shared" si="9"/>
        <v>0</v>
      </c>
      <c r="K31" s="33">
        <f t="shared" si="10"/>
        <v>0</v>
      </c>
      <c r="L31" s="34"/>
      <c r="M31" s="37"/>
      <c r="N31" s="37"/>
      <c r="O31" s="37"/>
      <c r="P31" s="22"/>
      <c r="Q31" s="22"/>
      <c r="R31" s="22"/>
      <c r="S31" s="22"/>
      <c r="T31" s="38"/>
      <c r="U31" s="38"/>
      <c r="V31" s="38"/>
      <c r="W31" s="38"/>
      <c r="X31" s="38"/>
      <c r="Y31" s="38"/>
      <c r="Z31" s="28"/>
      <c r="AA31" s="28"/>
      <c r="AB31" s="28"/>
      <c r="AC31" s="28"/>
      <c r="AD31" s="28">
        <f t="shared" si="0"/>
        <v>0</v>
      </c>
      <c r="AE31" s="28">
        <f t="shared" si="1"/>
        <v>0</v>
      </c>
      <c r="AF31" s="28">
        <f t="shared" si="2"/>
        <v>0</v>
      </c>
      <c r="AG31" s="28">
        <f t="shared" si="3"/>
        <v>0</v>
      </c>
      <c r="AH31" s="28">
        <f t="shared" si="4"/>
        <v>0</v>
      </c>
      <c r="AI31" s="28">
        <f t="shared" si="5"/>
        <v>0</v>
      </c>
      <c r="AJ31" s="28">
        <f t="shared" si="6"/>
        <v>0</v>
      </c>
    </row>
    <row r="32" spans="1:36" ht="16" x14ac:dyDescent="0.35">
      <c r="A32" s="39">
        <v>542488100122</v>
      </c>
      <c r="B32" s="40" t="s">
        <v>109</v>
      </c>
      <c r="C32" s="40" t="s">
        <v>110</v>
      </c>
      <c r="D32" s="33">
        <v>50</v>
      </c>
      <c r="E32" s="36">
        <v>0</v>
      </c>
      <c r="F32" s="8">
        <v>30</v>
      </c>
      <c r="G32" s="33"/>
      <c r="H32" s="33">
        <f t="shared" si="7"/>
        <v>20</v>
      </c>
      <c r="I32" s="33">
        <f t="shared" si="8"/>
        <v>20</v>
      </c>
      <c r="J32" s="33">
        <f t="shared" si="9"/>
        <v>0</v>
      </c>
      <c r="K32" s="33">
        <f t="shared" si="10"/>
        <v>0</v>
      </c>
      <c r="L32" s="34"/>
      <c r="M32" s="37"/>
      <c r="N32" s="37"/>
      <c r="O32" s="37"/>
      <c r="P32" s="22"/>
      <c r="Q32" s="22"/>
      <c r="R32" s="22"/>
      <c r="S32" s="22"/>
      <c r="T32" s="38"/>
      <c r="U32" s="38"/>
      <c r="V32" s="38"/>
      <c r="W32" s="38"/>
      <c r="X32" s="38"/>
      <c r="Y32" s="38"/>
      <c r="Z32" s="28"/>
      <c r="AA32" s="28"/>
      <c r="AB32" s="28"/>
      <c r="AC32" s="28"/>
      <c r="AD32" s="28">
        <f t="shared" si="0"/>
        <v>0</v>
      </c>
      <c r="AE32" s="28">
        <f t="shared" si="1"/>
        <v>0</v>
      </c>
      <c r="AF32" s="28">
        <f t="shared" si="2"/>
        <v>0</v>
      </c>
      <c r="AG32" s="28">
        <f t="shared" si="3"/>
        <v>0</v>
      </c>
      <c r="AH32" s="28">
        <f t="shared" si="4"/>
        <v>0</v>
      </c>
      <c r="AI32" s="28">
        <f t="shared" si="5"/>
        <v>0</v>
      </c>
      <c r="AJ32" s="28">
        <f t="shared" si="6"/>
        <v>0</v>
      </c>
    </row>
    <row r="33" spans="1:36" ht="16" x14ac:dyDescent="0.35">
      <c r="A33" s="35">
        <v>542490600102</v>
      </c>
      <c r="B33" s="32" t="s">
        <v>111</v>
      </c>
      <c r="C33" s="32" t="s">
        <v>112</v>
      </c>
      <c r="D33" s="33">
        <v>50</v>
      </c>
      <c r="E33" s="36">
        <v>0</v>
      </c>
      <c r="F33" s="33">
        <v>40</v>
      </c>
      <c r="G33" s="33"/>
      <c r="H33" s="33">
        <f t="shared" si="7"/>
        <v>10</v>
      </c>
      <c r="I33" s="33">
        <f t="shared" si="8"/>
        <v>10</v>
      </c>
      <c r="J33" s="33">
        <f t="shared" si="9"/>
        <v>0</v>
      </c>
      <c r="K33" s="33">
        <f t="shared" si="10"/>
        <v>0</v>
      </c>
      <c r="L33" s="34"/>
      <c r="M33" s="37"/>
      <c r="N33" s="37"/>
      <c r="O33" s="37"/>
      <c r="P33" s="22"/>
      <c r="Q33" s="22"/>
      <c r="R33" s="22"/>
      <c r="S33" s="22"/>
      <c r="T33" s="38"/>
      <c r="U33" s="38"/>
      <c r="V33" s="38"/>
      <c r="W33" s="38"/>
      <c r="X33" s="38"/>
      <c r="Y33" s="38"/>
      <c r="Z33" s="28"/>
      <c r="AA33" s="28"/>
      <c r="AB33" s="28"/>
      <c r="AC33" s="28"/>
      <c r="AD33" s="28">
        <f t="shared" si="0"/>
        <v>0</v>
      </c>
      <c r="AE33" s="28">
        <f t="shared" si="1"/>
        <v>0</v>
      </c>
      <c r="AF33" s="28">
        <f t="shared" si="2"/>
        <v>0</v>
      </c>
      <c r="AG33" s="28">
        <f t="shared" si="3"/>
        <v>0</v>
      </c>
      <c r="AH33" s="28">
        <f t="shared" si="4"/>
        <v>0</v>
      </c>
      <c r="AI33" s="28">
        <f t="shared" si="5"/>
        <v>0</v>
      </c>
      <c r="AJ33" s="28">
        <f t="shared" si="6"/>
        <v>0</v>
      </c>
    </row>
    <row r="34" spans="1:36" ht="16" x14ac:dyDescent="0.35">
      <c r="A34" s="35">
        <v>542490600101</v>
      </c>
      <c r="B34" s="32" t="s">
        <v>113</v>
      </c>
      <c r="C34" s="32" t="s">
        <v>114</v>
      </c>
      <c r="D34" s="33">
        <v>50</v>
      </c>
      <c r="E34" s="36">
        <v>0</v>
      </c>
      <c r="F34" s="33">
        <v>40</v>
      </c>
      <c r="G34" s="33"/>
      <c r="H34" s="33">
        <f t="shared" si="7"/>
        <v>10</v>
      </c>
      <c r="I34" s="33">
        <f t="shared" si="8"/>
        <v>10</v>
      </c>
      <c r="J34" s="33">
        <f t="shared" si="9"/>
        <v>0</v>
      </c>
      <c r="K34" s="33">
        <f t="shared" si="10"/>
        <v>0</v>
      </c>
      <c r="L34" s="34"/>
      <c r="M34" s="37"/>
      <c r="N34" s="37"/>
      <c r="O34" s="37"/>
      <c r="P34" s="22"/>
      <c r="Q34" s="22"/>
      <c r="R34" s="22"/>
      <c r="S34" s="22"/>
      <c r="T34" s="38"/>
      <c r="U34" s="38"/>
      <c r="V34" s="38"/>
      <c r="W34" s="38"/>
      <c r="X34" s="38"/>
      <c r="Y34" s="38"/>
      <c r="Z34" s="28"/>
      <c r="AA34" s="28"/>
      <c r="AB34" s="28"/>
      <c r="AC34" s="28"/>
      <c r="AD34" s="28">
        <f t="shared" si="0"/>
        <v>0</v>
      </c>
      <c r="AE34" s="28">
        <f t="shared" si="1"/>
        <v>0</v>
      </c>
      <c r="AF34" s="28">
        <f t="shared" si="2"/>
        <v>0</v>
      </c>
      <c r="AG34" s="28">
        <f t="shared" si="3"/>
        <v>0</v>
      </c>
      <c r="AH34" s="28">
        <f t="shared" si="4"/>
        <v>0</v>
      </c>
      <c r="AI34" s="28">
        <f t="shared" si="5"/>
        <v>0</v>
      </c>
      <c r="AJ34" s="28">
        <f t="shared" si="6"/>
        <v>0</v>
      </c>
    </row>
    <row r="35" spans="1:36" ht="16" x14ac:dyDescent="0.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  <c r="M35" s="10">
        <v>0.33333333333333331</v>
      </c>
      <c r="N35" s="10">
        <v>0.41666666666666669</v>
      </c>
      <c r="O35" s="10">
        <v>0.5</v>
      </c>
      <c r="P35" s="10">
        <v>0.58333333333333337</v>
      </c>
      <c r="Q35" s="10">
        <v>0.66666666666666663</v>
      </c>
      <c r="R35" s="17"/>
      <c r="S35" s="8"/>
      <c r="T35" s="11"/>
      <c r="U35" s="11"/>
      <c r="V35" s="11"/>
      <c r="W35" s="11"/>
      <c r="X35" s="11"/>
      <c r="Y35" s="11"/>
      <c r="Z35" s="11"/>
      <c r="AA35" s="11"/>
      <c r="AB35" s="31"/>
      <c r="AC35" s="41"/>
      <c r="AD35" s="31" t="s">
        <v>88</v>
      </c>
      <c r="AE35" s="31">
        <v>0.27083333333333331</v>
      </c>
      <c r="AF35" s="31"/>
      <c r="AG35" s="31"/>
      <c r="AH35" s="31"/>
      <c r="AI35" s="31"/>
      <c r="AJ35" s="31"/>
    </row>
    <row r="36" spans="1:36" ht="21" x14ac:dyDescent="0.35">
      <c r="A36" s="32" t="s">
        <v>62</v>
      </c>
      <c r="B36" s="32" t="s">
        <v>63</v>
      </c>
      <c r="C36" s="32" t="s">
        <v>64</v>
      </c>
      <c r="D36" s="33">
        <v>80</v>
      </c>
      <c r="E36" s="48">
        <v>162</v>
      </c>
      <c r="F36" s="15">
        <v>96</v>
      </c>
      <c r="G36" s="33"/>
      <c r="H36" s="33">
        <f t="shared" si="7"/>
        <v>146</v>
      </c>
      <c r="I36" s="33">
        <f t="shared" si="8"/>
        <v>0</v>
      </c>
      <c r="J36" s="33">
        <f t="shared" si="9"/>
        <v>176</v>
      </c>
      <c r="K36" s="33">
        <f t="shared" si="10"/>
        <v>0</v>
      </c>
      <c r="L36" s="34"/>
      <c r="M36" s="8">
        <v>48</v>
      </c>
      <c r="N36" s="8">
        <v>32</v>
      </c>
      <c r="O36" s="8">
        <v>32</v>
      </c>
      <c r="P36" s="8">
        <v>48</v>
      </c>
      <c r="Q36" s="8">
        <v>16</v>
      </c>
      <c r="R36" s="19"/>
      <c r="S36" s="8"/>
      <c r="T36" s="9"/>
      <c r="U36" s="9"/>
      <c r="V36" s="20"/>
      <c r="W36" s="20"/>
      <c r="X36" s="20"/>
      <c r="Y36" s="20"/>
      <c r="Z36" s="20"/>
      <c r="AA36" s="20"/>
      <c r="AB36" s="42"/>
      <c r="AC36" s="28"/>
      <c r="AD36" s="28">
        <f t="shared" ref="AD36:AD41" si="11">SUM(T36:AC36)</f>
        <v>0</v>
      </c>
      <c r="AE36" s="28">
        <f t="shared" ref="AE36:AE41" si="12">T36-M36</f>
        <v>-48</v>
      </c>
      <c r="AF36" s="28">
        <f t="shared" ref="AF36:AF41" si="13">SUM(T36:U36)-SUM(M36:N36)</f>
        <v>-80</v>
      </c>
      <c r="AG36" s="28">
        <f t="shared" ref="AG36:AG41" si="14">SUM(T36:V36)-SUM(M36:O36)</f>
        <v>-112</v>
      </c>
      <c r="AH36" s="28">
        <f t="shared" ref="AH36:AH41" si="15">SUM(T36:Z36)-SUM(M36:P36)</f>
        <v>-160</v>
      </c>
      <c r="AI36" s="28">
        <f t="shared" ref="AI36:AI41" si="16">SUM(T36:AA36)-SUM(M36:Q36)</f>
        <v>-176</v>
      </c>
      <c r="AJ36" s="28">
        <f t="shared" ref="AJ36:AJ41" si="17">SUM(T36:AB36)-SUM(M36:R36)</f>
        <v>-176</v>
      </c>
    </row>
    <row r="37" spans="1:36" ht="21" x14ac:dyDescent="0.35">
      <c r="A37" s="32" t="s">
        <v>65</v>
      </c>
      <c r="B37" s="32" t="s">
        <v>66</v>
      </c>
      <c r="C37" s="32" t="s">
        <v>67</v>
      </c>
      <c r="D37" s="33">
        <v>32</v>
      </c>
      <c r="E37" s="48">
        <v>9</v>
      </c>
      <c r="F37" s="15">
        <v>28</v>
      </c>
      <c r="G37" s="33"/>
      <c r="H37" s="33">
        <f t="shared" si="7"/>
        <v>13</v>
      </c>
      <c r="I37" s="33">
        <f t="shared" si="8"/>
        <v>0</v>
      </c>
      <c r="J37" s="33">
        <f t="shared" si="9"/>
        <v>16</v>
      </c>
      <c r="K37" s="33">
        <f t="shared" si="10"/>
        <v>0</v>
      </c>
      <c r="L37" s="34"/>
      <c r="M37" s="8"/>
      <c r="N37" s="8"/>
      <c r="O37" s="8">
        <v>16</v>
      </c>
      <c r="P37" s="8"/>
      <c r="Q37" s="8"/>
      <c r="R37" s="22"/>
      <c r="S37" s="8"/>
      <c r="T37" s="9"/>
      <c r="U37" s="9"/>
      <c r="V37" s="9"/>
      <c r="W37" s="9"/>
      <c r="X37" s="9"/>
      <c r="Y37" s="9"/>
      <c r="Z37" s="9"/>
      <c r="AA37" s="9"/>
      <c r="AB37" s="27"/>
      <c r="AC37" s="28"/>
      <c r="AD37" s="28">
        <f t="shared" si="11"/>
        <v>0</v>
      </c>
      <c r="AE37" s="28">
        <f t="shared" si="12"/>
        <v>0</v>
      </c>
      <c r="AF37" s="28">
        <f t="shared" si="13"/>
        <v>0</v>
      </c>
      <c r="AG37" s="28">
        <f t="shared" si="14"/>
        <v>-16</v>
      </c>
      <c r="AH37" s="28">
        <f t="shared" si="15"/>
        <v>-16</v>
      </c>
      <c r="AI37" s="28">
        <f t="shared" si="16"/>
        <v>-16</v>
      </c>
      <c r="AJ37" s="28">
        <f t="shared" si="17"/>
        <v>-16</v>
      </c>
    </row>
    <row r="38" spans="1:36" ht="21" x14ac:dyDescent="0.35">
      <c r="A38" s="32" t="s">
        <v>68</v>
      </c>
      <c r="B38" s="32" t="s">
        <v>69</v>
      </c>
      <c r="C38" s="32" t="s">
        <v>70</v>
      </c>
      <c r="D38" s="33">
        <v>64</v>
      </c>
      <c r="E38" s="48">
        <v>238</v>
      </c>
      <c r="F38" s="15">
        <v>148</v>
      </c>
      <c r="G38" s="33"/>
      <c r="H38" s="33">
        <f t="shared" si="7"/>
        <v>154</v>
      </c>
      <c r="I38" s="33">
        <f t="shared" si="8"/>
        <v>0</v>
      </c>
      <c r="J38" s="33">
        <f t="shared" si="9"/>
        <v>160</v>
      </c>
      <c r="K38" s="33">
        <f t="shared" si="10"/>
        <v>0</v>
      </c>
      <c r="L38" s="34"/>
      <c r="M38" s="8">
        <v>48</v>
      </c>
      <c r="N38" s="8">
        <v>32</v>
      </c>
      <c r="O38" s="8">
        <v>32</v>
      </c>
      <c r="P38" s="8">
        <v>16</v>
      </c>
      <c r="Q38" s="8">
        <v>32</v>
      </c>
      <c r="R38" s="22"/>
      <c r="S38" s="8"/>
      <c r="T38" s="9"/>
      <c r="U38" s="9"/>
      <c r="V38" s="9"/>
      <c r="W38" s="9"/>
      <c r="X38" s="9"/>
      <c r="Y38" s="9"/>
      <c r="Z38" s="9"/>
      <c r="AA38" s="9"/>
      <c r="AB38" s="27"/>
      <c r="AC38" s="28"/>
      <c r="AD38" s="28">
        <f t="shared" si="11"/>
        <v>0</v>
      </c>
      <c r="AE38" s="28">
        <f t="shared" si="12"/>
        <v>-48</v>
      </c>
      <c r="AF38" s="28">
        <f t="shared" si="13"/>
        <v>-80</v>
      </c>
      <c r="AG38" s="28">
        <f t="shared" si="14"/>
        <v>-112</v>
      </c>
      <c r="AH38" s="28">
        <f t="shared" si="15"/>
        <v>-128</v>
      </c>
      <c r="AI38" s="28">
        <f t="shared" si="16"/>
        <v>-160</v>
      </c>
      <c r="AJ38" s="28">
        <f t="shared" si="17"/>
        <v>-160</v>
      </c>
    </row>
    <row r="39" spans="1:36" ht="21" x14ac:dyDescent="0.35">
      <c r="A39" s="32" t="s">
        <v>71</v>
      </c>
      <c r="B39" s="32" t="s">
        <v>72</v>
      </c>
      <c r="C39" s="32" t="s">
        <v>73</v>
      </c>
      <c r="D39" s="33">
        <v>32</v>
      </c>
      <c r="E39" s="48">
        <v>26</v>
      </c>
      <c r="F39" s="15">
        <v>46</v>
      </c>
      <c r="G39" s="33"/>
      <c r="H39" s="33">
        <f t="shared" si="7"/>
        <v>12</v>
      </c>
      <c r="I39" s="33">
        <f t="shared" si="8"/>
        <v>0</v>
      </c>
      <c r="J39" s="33">
        <f t="shared" si="9"/>
        <v>64</v>
      </c>
      <c r="K39" s="33">
        <f t="shared" si="10"/>
        <v>0</v>
      </c>
      <c r="L39" s="34"/>
      <c r="M39" s="8"/>
      <c r="N39" s="8"/>
      <c r="O39" s="8">
        <v>32</v>
      </c>
      <c r="P39" s="8">
        <v>32</v>
      </c>
      <c r="Q39" s="8"/>
      <c r="R39" s="23"/>
      <c r="S39" s="8"/>
      <c r="T39" s="9"/>
      <c r="U39" s="9"/>
      <c r="V39" s="9"/>
      <c r="W39" s="9"/>
      <c r="X39" s="9"/>
      <c r="Y39" s="9"/>
      <c r="Z39" s="9"/>
      <c r="AA39" s="9"/>
      <c r="AB39" s="27"/>
      <c r="AC39" s="28"/>
      <c r="AD39" s="28">
        <f t="shared" si="11"/>
        <v>0</v>
      </c>
      <c r="AE39" s="28">
        <f t="shared" si="12"/>
        <v>0</v>
      </c>
      <c r="AF39" s="28">
        <f t="shared" si="13"/>
        <v>0</v>
      </c>
      <c r="AG39" s="28">
        <f t="shared" si="14"/>
        <v>-32</v>
      </c>
      <c r="AH39" s="28">
        <f t="shared" si="15"/>
        <v>-64</v>
      </c>
      <c r="AI39" s="28">
        <f t="shared" si="16"/>
        <v>-64</v>
      </c>
      <c r="AJ39" s="28">
        <f t="shared" si="17"/>
        <v>-64</v>
      </c>
    </row>
    <row r="40" spans="1:36" ht="21" x14ac:dyDescent="0.4">
      <c r="A40" s="32" t="s">
        <v>74</v>
      </c>
      <c r="B40" s="32" t="s">
        <v>75</v>
      </c>
      <c r="C40" s="32" t="s">
        <v>76</v>
      </c>
      <c r="D40" s="33">
        <v>32</v>
      </c>
      <c r="E40" s="48">
        <v>41</v>
      </c>
      <c r="F40" s="15">
        <v>16</v>
      </c>
      <c r="G40" s="33"/>
      <c r="H40" s="33">
        <f t="shared" si="7"/>
        <v>57</v>
      </c>
      <c r="I40" s="33">
        <f t="shared" si="8"/>
        <v>0</v>
      </c>
      <c r="J40" s="33">
        <f t="shared" si="9"/>
        <v>64</v>
      </c>
      <c r="K40" s="33">
        <f t="shared" si="10"/>
        <v>0</v>
      </c>
      <c r="L40" s="34" t="s">
        <v>115</v>
      </c>
      <c r="M40" s="8"/>
      <c r="N40" s="8">
        <v>16</v>
      </c>
      <c r="O40" s="8"/>
      <c r="P40" s="8">
        <v>16</v>
      </c>
      <c r="Q40" s="8">
        <v>32</v>
      </c>
      <c r="R40" s="23"/>
      <c r="S40" s="22"/>
      <c r="T40" s="9"/>
      <c r="U40" s="9"/>
      <c r="V40" s="9"/>
      <c r="W40" s="9"/>
      <c r="X40" s="9"/>
      <c r="Y40" s="9"/>
      <c r="Z40" s="6"/>
      <c r="AA40" s="27"/>
      <c r="AB40" s="27"/>
      <c r="AC40" s="28"/>
      <c r="AD40" s="28">
        <f t="shared" si="11"/>
        <v>0</v>
      </c>
      <c r="AE40" s="28">
        <f t="shared" si="12"/>
        <v>0</v>
      </c>
      <c r="AF40" s="28">
        <f t="shared" si="13"/>
        <v>-16</v>
      </c>
      <c r="AG40" s="28">
        <f t="shared" si="14"/>
        <v>-16</v>
      </c>
      <c r="AH40" s="28">
        <f t="shared" si="15"/>
        <v>-32</v>
      </c>
      <c r="AI40" s="28">
        <f t="shared" si="16"/>
        <v>-64</v>
      </c>
      <c r="AJ40" s="28">
        <f t="shared" si="17"/>
        <v>-64</v>
      </c>
    </row>
    <row r="41" spans="1:36" ht="21" x14ac:dyDescent="0.4">
      <c r="A41" s="32" t="s">
        <v>128</v>
      </c>
      <c r="B41" s="32" t="s">
        <v>129</v>
      </c>
      <c r="C41" s="32"/>
      <c r="D41" s="33">
        <v>32</v>
      </c>
      <c r="E41" s="48">
        <v>3</v>
      </c>
      <c r="F41" s="15">
        <v>0</v>
      </c>
      <c r="G41" s="33"/>
      <c r="H41" s="33">
        <f t="shared" si="7"/>
        <v>35</v>
      </c>
      <c r="I41" s="33">
        <f t="shared" si="8"/>
        <v>3</v>
      </c>
      <c r="J41" s="33">
        <f t="shared" si="9"/>
        <v>32</v>
      </c>
      <c r="K41" s="33">
        <f t="shared" si="10"/>
        <v>0</v>
      </c>
      <c r="L41" s="34" t="s">
        <v>115</v>
      </c>
      <c r="M41" s="8"/>
      <c r="N41" s="8">
        <v>16</v>
      </c>
      <c r="O41" s="8"/>
      <c r="P41" s="8"/>
      <c r="Q41" s="8">
        <v>16</v>
      </c>
      <c r="R41" s="23"/>
      <c r="S41" s="22"/>
      <c r="T41" s="9"/>
      <c r="U41" s="9"/>
      <c r="V41" s="9"/>
      <c r="W41" s="9"/>
      <c r="X41" s="9"/>
      <c r="Y41" s="9"/>
      <c r="Z41" s="6"/>
      <c r="AA41" s="27"/>
      <c r="AB41" s="27"/>
      <c r="AC41" s="28"/>
      <c r="AD41" s="28">
        <f t="shared" si="11"/>
        <v>0</v>
      </c>
      <c r="AE41" s="28">
        <f t="shared" si="12"/>
        <v>0</v>
      </c>
      <c r="AF41" s="28">
        <f t="shared" si="13"/>
        <v>-16</v>
      </c>
      <c r="AG41" s="28">
        <f t="shared" si="14"/>
        <v>-16</v>
      </c>
      <c r="AH41" s="28">
        <f t="shared" si="15"/>
        <v>-16</v>
      </c>
      <c r="AI41" s="28">
        <f t="shared" si="16"/>
        <v>-32</v>
      </c>
      <c r="AJ41" s="28">
        <f t="shared" si="17"/>
        <v>-32</v>
      </c>
    </row>
    <row r="45" spans="1:36" x14ac:dyDescent="0.35">
      <c r="A45">
        <v>27</v>
      </c>
    </row>
    <row r="46" spans="1:36" x14ac:dyDescent="0.35">
      <c r="A46">
        <v>32</v>
      </c>
    </row>
    <row r="47" spans="1:36" x14ac:dyDescent="0.35">
      <c r="A47">
        <v>16</v>
      </c>
    </row>
    <row r="48" spans="1:36" x14ac:dyDescent="0.35">
      <c r="A48">
        <v>12</v>
      </c>
    </row>
    <row r="49" spans="1:1" x14ac:dyDescent="0.35">
      <c r="A49">
        <v>21</v>
      </c>
    </row>
  </sheetData>
  <protectedRanges>
    <protectedRange sqref="R40:R41" name="Range1_1_2_1_2_1_1_1_1_1_1_1_1"/>
    <protectedRange sqref="R39" name="Range1_1_2_1_2_1_1_1_1_2_1_1_1"/>
    <protectedRange sqref="R36:R38" name="Range1_1_2_1_2_1_1_1_1_2_1_2_4_1_2"/>
    <protectedRange sqref="F22:F34" name="Range1_2_1"/>
    <protectedRange sqref="F13" name="Range1_5_1_1"/>
    <protectedRange sqref="F12" name="Range1_2_3_1_1"/>
    <protectedRange sqref="F7:F11" name="Range1_3_2"/>
  </protectedRanges>
  <autoFilter ref="A3:AJ41" xr:uid="{31ACE197-B627-45B7-BDC7-CC374C4F6FFC}"/>
  <mergeCells count="15">
    <mergeCell ref="M1:S1"/>
    <mergeCell ref="T1:AD1"/>
    <mergeCell ref="AE1:AJ1"/>
    <mergeCell ref="B2:C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</mergeCells>
  <conditionalFormatting sqref="I7:K41">
    <cfRule type="cellIs" dxfId="13" priority="5" operator="greaterThan">
      <formula>0</formula>
    </cfRule>
  </conditionalFormatting>
  <conditionalFormatting sqref="P39:P41">
    <cfRule type="cellIs" dxfId="12" priority="1" operator="lessThan">
      <formula>0</formula>
    </cfRule>
  </conditionalFormatting>
  <conditionalFormatting sqref="R40:R41">
    <cfRule type="cellIs" dxfId="11" priority="4" operator="lessThan">
      <formula>0</formula>
    </cfRule>
  </conditionalFormatting>
  <conditionalFormatting sqref="R36:S39">
    <cfRule type="cellIs" dxfId="10" priority="3" operator="lessThan">
      <formula>0</formula>
    </cfRule>
  </conditionalFormatting>
  <conditionalFormatting sqref="Z39">
    <cfRule type="cellIs" dxfId="9" priority="2" operator="lessThan">
      <formula>0</formula>
    </cfRule>
  </conditionalFormatting>
  <conditionalFormatting sqref="AA36:AA39">
    <cfRule type="cellIs" dxfId="8" priority="6" operator="lessThan">
      <formula>0</formula>
    </cfRule>
  </conditionalFormatting>
  <conditionalFormatting sqref="AE3:AJ3">
    <cfRule type="cellIs" dxfId="7" priority="7" operator="lessThan">
      <formula>0</formula>
    </cfRule>
  </conditionalFormatting>
  <conditionalFormatting sqref="AE7:AJ34 AE36:AJ41">
    <cfRule type="cellIs" dxfId="6" priority="8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98" orientation="landscape" horizontalDpi="200" verticalDpi="200" r:id="rId1"/>
  <headerFooter>
    <oddFooter>&amp;L_x000D_&amp;1#&amp;"Calibri Light"&amp;8&amp;K000000 Classified as Public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6FE0-E033-47F1-8132-2FFC3377B9CB}">
  <dimension ref="B2:K32"/>
  <sheetViews>
    <sheetView topLeftCell="A22" workbookViewId="0">
      <selection activeCell="B34" sqref="B34"/>
    </sheetView>
  </sheetViews>
  <sheetFormatPr defaultRowHeight="14.5" x14ac:dyDescent="0.35"/>
  <cols>
    <col min="2" max="2" width="9.08984375" bestFit="1" customWidth="1"/>
    <col min="5" max="5" width="12.1796875" customWidth="1"/>
    <col min="6" max="6" width="12.08984375" customWidth="1"/>
    <col min="8" max="8" width="14" customWidth="1"/>
    <col min="9" max="9" width="15.90625" customWidth="1"/>
    <col min="11" max="11" width="22" bestFit="1" customWidth="1"/>
    <col min="13" max="13" width="20.7265625" customWidth="1"/>
  </cols>
  <sheetData>
    <row r="2" spans="2:11" x14ac:dyDescent="0.35">
      <c r="B2" s="43"/>
      <c r="C2" s="43"/>
      <c r="D2" s="78" t="s">
        <v>116</v>
      </c>
      <c r="E2" s="78"/>
      <c r="F2" s="78"/>
      <c r="G2" s="78"/>
      <c r="H2" s="78"/>
      <c r="I2" s="78"/>
      <c r="J2" s="78"/>
      <c r="K2" s="43" t="s">
        <v>117</v>
      </c>
    </row>
    <row r="3" spans="2:11" x14ac:dyDescent="0.35">
      <c r="B3" s="44" t="s">
        <v>118</v>
      </c>
      <c r="C3" s="44"/>
      <c r="D3" s="22" t="s">
        <v>2</v>
      </c>
      <c r="E3" s="22" t="s">
        <v>3</v>
      </c>
      <c r="F3" s="22" t="s">
        <v>4</v>
      </c>
      <c r="G3" s="22" t="s">
        <v>5</v>
      </c>
      <c r="H3" s="22" t="s">
        <v>6</v>
      </c>
      <c r="I3" s="22" t="s">
        <v>7</v>
      </c>
      <c r="J3" s="41" t="s">
        <v>119</v>
      </c>
      <c r="K3" s="43"/>
    </row>
    <row r="4" spans="2:11" x14ac:dyDescent="0.35">
      <c r="B4" s="77">
        <v>45901</v>
      </c>
      <c r="C4" s="44" t="s">
        <v>120</v>
      </c>
      <c r="D4" s="22">
        <v>6</v>
      </c>
      <c r="E4" s="22">
        <v>6</v>
      </c>
      <c r="F4" s="22">
        <v>6</v>
      </c>
      <c r="G4" s="22">
        <v>6</v>
      </c>
      <c r="H4" s="22">
        <v>6</v>
      </c>
      <c r="I4" s="22">
        <v>6</v>
      </c>
      <c r="J4" s="22">
        <f>SUM(D4:I4)</f>
        <v>36</v>
      </c>
      <c r="K4" s="43"/>
    </row>
    <row r="5" spans="2:11" x14ac:dyDescent="0.35">
      <c r="B5" s="77"/>
      <c r="C5" s="44" t="s">
        <v>88</v>
      </c>
      <c r="D5" s="22">
        <v>6</v>
      </c>
      <c r="E5" s="22">
        <v>3</v>
      </c>
      <c r="F5" s="22">
        <v>5</v>
      </c>
      <c r="G5" s="22">
        <v>4</v>
      </c>
      <c r="H5" s="22">
        <v>5</v>
      </c>
      <c r="I5" s="22">
        <v>5</v>
      </c>
      <c r="J5" s="22">
        <f>SUM(D5:I5)</f>
        <v>28</v>
      </c>
      <c r="K5" s="43"/>
    </row>
    <row r="6" spans="2:11" x14ac:dyDescent="0.35">
      <c r="B6" s="77"/>
      <c r="C6" s="44" t="s">
        <v>121</v>
      </c>
      <c r="D6" s="28">
        <f>D5-D4</f>
        <v>0</v>
      </c>
      <c r="E6" s="28">
        <f t="shared" ref="E6:J6" si="0">E5-E4</f>
        <v>-3</v>
      </c>
      <c r="F6" s="28">
        <f t="shared" si="0"/>
        <v>-1</v>
      </c>
      <c r="G6" s="28">
        <f t="shared" si="0"/>
        <v>-2</v>
      </c>
      <c r="H6" s="28">
        <f t="shared" si="0"/>
        <v>-1</v>
      </c>
      <c r="I6" s="28">
        <f t="shared" si="0"/>
        <v>-1</v>
      </c>
      <c r="J6" s="28">
        <f t="shared" si="0"/>
        <v>-8</v>
      </c>
      <c r="K6" s="43"/>
    </row>
    <row r="7" spans="2:11" x14ac:dyDescent="0.35">
      <c r="B7" s="43"/>
      <c r="C7" s="43"/>
      <c r="D7" s="78" t="s">
        <v>116</v>
      </c>
      <c r="E7" s="78"/>
      <c r="F7" s="78"/>
      <c r="G7" s="78"/>
      <c r="H7" s="78"/>
      <c r="I7" s="78"/>
      <c r="J7" s="78"/>
      <c r="K7" s="43" t="s">
        <v>117</v>
      </c>
    </row>
    <row r="8" spans="2:11" x14ac:dyDescent="0.35">
      <c r="B8" s="44" t="s">
        <v>118</v>
      </c>
      <c r="C8" s="44"/>
      <c r="D8" s="22" t="s">
        <v>2</v>
      </c>
      <c r="E8" s="22" t="s">
        <v>3</v>
      </c>
      <c r="F8" s="22" t="s">
        <v>4</v>
      </c>
      <c r="G8" s="22" t="s">
        <v>5</v>
      </c>
      <c r="H8" s="22" t="s">
        <v>6</v>
      </c>
      <c r="I8" s="22" t="s">
        <v>7</v>
      </c>
      <c r="J8" s="41" t="s">
        <v>119</v>
      </c>
      <c r="K8" s="43"/>
    </row>
    <row r="9" spans="2:11" x14ac:dyDescent="0.35">
      <c r="B9" s="77">
        <v>45902</v>
      </c>
      <c r="C9" s="44" t="s">
        <v>120</v>
      </c>
      <c r="D9" s="22">
        <v>6</v>
      </c>
      <c r="E9" s="22">
        <v>6</v>
      </c>
      <c r="F9" s="22">
        <v>6</v>
      </c>
      <c r="G9" s="22">
        <v>6</v>
      </c>
      <c r="H9" s="22">
        <v>6</v>
      </c>
      <c r="I9" s="22">
        <v>6</v>
      </c>
      <c r="J9" s="22">
        <f>SUM(D9:I9)</f>
        <v>36</v>
      </c>
      <c r="K9" s="43"/>
    </row>
    <row r="10" spans="2:11" x14ac:dyDescent="0.35">
      <c r="B10" s="77"/>
      <c r="C10" s="44" t="s">
        <v>88</v>
      </c>
      <c r="D10" s="22">
        <v>5</v>
      </c>
      <c r="E10" s="22">
        <v>5</v>
      </c>
      <c r="F10" s="22">
        <v>4</v>
      </c>
      <c r="G10" s="22">
        <v>5</v>
      </c>
      <c r="H10" s="22">
        <v>5</v>
      </c>
      <c r="I10" s="22">
        <v>5</v>
      </c>
      <c r="J10" s="22">
        <f>SUM(D10:I10)</f>
        <v>29</v>
      </c>
      <c r="K10" s="43"/>
    </row>
    <row r="11" spans="2:11" x14ac:dyDescent="0.35">
      <c r="B11" s="77"/>
      <c r="C11" s="44" t="s">
        <v>121</v>
      </c>
      <c r="D11" s="28">
        <f>D10-D9</f>
        <v>-1</v>
      </c>
      <c r="E11" s="28">
        <f t="shared" ref="E11:J11" si="1">E10-E9</f>
        <v>-1</v>
      </c>
      <c r="F11" s="28">
        <f t="shared" si="1"/>
        <v>-2</v>
      </c>
      <c r="G11" s="28">
        <f t="shared" si="1"/>
        <v>-1</v>
      </c>
      <c r="H11" s="28">
        <f t="shared" si="1"/>
        <v>-1</v>
      </c>
      <c r="I11" s="28">
        <f t="shared" si="1"/>
        <v>-1</v>
      </c>
      <c r="J11" s="28">
        <f t="shared" si="1"/>
        <v>-7</v>
      </c>
      <c r="K11" s="43"/>
    </row>
    <row r="12" spans="2:11" x14ac:dyDescent="0.35">
      <c r="B12" s="43"/>
      <c r="C12" s="43"/>
      <c r="D12" s="78" t="s">
        <v>116</v>
      </c>
      <c r="E12" s="78"/>
      <c r="F12" s="78"/>
      <c r="G12" s="78"/>
      <c r="H12" s="78"/>
      <c r="I12" s="78"/>
      <c r="J12" s="78"/>
      <c r="K12" s="43" t="s">
        <v>117</v>
      </c>
    </row>
    <row r="13" spans="2:11" x14ac:dyDescent="0.35">
      <c r="B13" s="44" t="s">
        <v>118</v>
      </c>
      <c r="C13" s="44"/>
      <c r="D13" s="22" t="s">
        <v>2</v>
      </c>
      <c r="E13" s="22" t="s">
        <v>3</v>
      </c>
      <c r="F13" s="22" t="s">
        <v>4</v>
      </c>
      <c r="G13" s="22" t="s">
        <v>5</v>
      </c>
      <c r="H13" s="22" t="s">
        <v>6</v>
      </c>
      <c r="I13" s="22" t="s">
        <v>7</v>
      </c>
      <c r="J13" s="41" t="s">
        <v>119</v>
      </c>
      <c r="K13" s="43"/>
    </row>
    <row r="14" spans="2:11" x14ac:dyDescent="0.35">
      <c r="B14" s="77">
        <v>45903</v>
      </c>
      <c r="C14" s="44" t="s">
        <v>120</v>
      </c>
      <c r="D14" s="22">
        <v>6</v>
      </c>
      <c r="E14" s="22">
        <v>6</v>
      </c>
      <c r="F14" s="22">
        <v>6</v>
      </c>
      <c r="G14" s="22">
        <v>6</v>
      </c>
      <c r="H14" s="22">
        <v>6</v>
      </c>
      <c r="I14" s="22">
        <v>6</v>
      </c>
      <c r="J14" s="22">
        <f>SUM(D14:I14)</f>
        <v>36</v>
      </c>
      <c r="K14" s="43"/>
    </row>
    <row r="15" spans="2:11" x14ac:dyDescent="0.35">
      <c r="B15" s="77"/>
      <c r="C15" s="44" t="s">
        <v>88</v>
      </c>
      <c r="D15" s="22">
        <v>4</v>
      </c>
      <c r="E15" s="22">
        <v>5</v>
      </c>
      <c r="F15" s="22">
        <v>5</v>
      </c>
      <c r="G15" s="22">
        <v>6</v>
      </c>
      <c r="H15" s="22">
        <v>5</v>
      </c>
      <c r="I15" s="22">
        <v>4</v>
      </c>
      <c r="J15" s="22">
        <f>SUM(D15:I15)</f>
        <v>29</v>
      </c>
      <c r="K15" s="43"/>
    </row>
    <row r="16" spans="2:11" x14ac:dyDescent="0.35">
      <c r="B16" s="77"/>
      <c r="C16" s="44" t="s">
        <v>121</v>
      </c>
      <c r="D16" s="28">
        <f>D15-D14</f>
        <v>-2</v>
      </c>
      <c r="E16" s="28">
        <f t="shared" ref="E16:J16" si="2">E15-E14</f>
        <v>-1</v>
      </c>
      <c r="F16" s="28">
        <f t="shared" si="2"/>
        <v>-1</v>
      </c>
      <c r="G16" s="28">
        <f t="shared" si="2"/>
        <v>0</v>
      </c>
      <c r="H16" s="28">
        <f t="shared" si="2"/>
        <v>-1</v>
      </c>
      <c r="I16" s="28">
        <f t="shared" si="2"/>
        <v>-2</v>
      </c>
      <c r="J16" s="28">
        <f t="shared" si="2"/>
        <v>-7</v>
      </c>
      <c r="K16" s="43"/>
    </row>
    <row r="17" spans="2:11" x14ac:dyDescent="0.35">
      <c r="B17" s="43"/>
      <c r="C17" s="43"/>
      <c r="D17" s="78" t="s">
        <v>116</v>
      </c>
      <c r="E17" s="78"/>
      <c r="F17" s="78"/>
      <c r="G17" s="78"/>
      <c r="H17" s="78"/>
      <c r="I17" s="78"/>
      <c r="J17" s="78"/>
      <c r="K17" s="43" t="s">
        <v>117</v>
      </c>
    </row>
    <row r="18" spans="2:11" x14ac:dyDescent="0.35">
      <c r="B18" s="44" t="s">
        <v>118</v>
      </c>
      <c r="C18" s="44"/>
      <c r="D18" s="22" t="s">
        <v>2</v>
      </c>
      <c r="E18" s="22" t="s">
        <v>3</v>
      </c>
      <c r="F18" s="22" t="s">
        <v>4</v>
      </c>
      <c r="G18" s="22" t="s">
        <v>5</v>
      </c>
      <c r="H18" s="22" t="s">
        <v>6</v>
      </c>
      <c r="I18" s="22" t="s">
        <v>7</v>
      </c>
      <c r="J18" s="41" t="s">
        <v>119</v>
      </c>
      <c r="K18" s="43"/>
    </row>
    <row r="19" spans="2:11" x14ac:dyDescent="0.35">
      <c r="B19" s="77">
        <v>45904</v>
      </c>
      <c r="C19" s="44" t="s">
        <v>120</v>
      </c>
      <c r="D19" s="22">
        <v>6</v>
      </c>
      <c r="E19" s="22">
        <v>6</v>
      </c>
      <c r="F19" s="22">
        <v>6</v>
      </c>
      <c r="G19" s="22">
        <v>6</v>
      </c>
      <c r="H19" s="22">
        <v>6</v>
      </c>
      <c r="I19" s="22">
        <v>6</v>
      </c>
      <c r="J19" s="22">
        <f>SUM(D19:I19)</f>
        <v>36</v>
      </c>
      <c r="K19" s="43"/>
    </row>
    <row r="20" spans="2:11" x14ac:dyDescent="0.35">
      <c r="B20" s="77"/>
      <c r="C20" s="44" t="s">
        <v>88</v>
      </c>
      <c r="D20" s="22">
        <v>3</v>
      </c>
      <c r="E20" s="22">
        <v>4</v>
      </c>
      <c r="F20" s="22">
        <v>5</v>
      </c>
      <c r="G20" s="22">
        <v>6</v>
      </c>
      <c r="H20" s="22">
        <v>5</v>
      </c>
      <c r="I20" s="22">
        <v>3</v>
      </c>
      <c r="J20" s="22">
        <f>SUM(D20:I20)</f>
        <v>26</v>
      </c>
      <c r="K20" s="43"/>
    </row>
    <row r="21" spans="2:11" ht="72.5" x14ac:dyDescent="0.35">
      <c r="B21" s="77"/>
      <c r="C21" s="44" t="s">
        <v>121</v>
      </c>
      <c r="D21" s="28">
        <f>D20-D19</f>
        <v>-3</v>
      </c>
      <c r="E21" s="28">
        <f t="shared" ref="E21:J21" si="3">E20-E19</f>
        <v>-2</v>
      </c>
      <c r="F21" s="28">
        <f t="shared" si="3"/>
        <v>-1</v>
      </c>
      <c r="G21" s="28">
        <f t="shared" si="3"/>
        <v>0</v>
      </c>
      <c r="H21" s="28">
        <f t="shared" si="3"/>
        <v>-1</v>
      </c>
      <c r="I21" s="28">
        <f t="shared" si="3"/>
        <v>-3</v>
      </c>
      <c r="J21" s="28">
        <f t="shared" si="3"/>
        <v>-10</v>
      </c>
      <c r="K21" s="47" t="s">
        <v>125</v>
      </c>
    </row>
    <row r="22" spans="2:11" x14ac:dyDescent="0.35">
      <c r="D22" t="s">
        <v>124</v>
      </c>
      <c r="I22" t="s">
        <v>124</v>
      </c>
    </row>
    <row r="23" spans="2:11" x14ac:dyDescent="0.35">
      <c r="B23" s="43"/>
      <c r="C23" s="43"/>
      <c r="D23" s="78" t="s">
        <v>116</v>
      </c>
      <c r="E23" s="78"/>
      <c r="F23" s="78"/>
      <c r="G23" s="78"/>
      <c r="H23" s="78"/>
      <c r="I23" s="78"/>
      <c r="J23" s="78"/>
      <c r="K23" s="43" t="s">
        <v>117</v>
      </c>
    </row>
    <row r="24" spans="2:11" x14ac:dyDescent="0.35">
      <c r="B24" s="44" t="s">
        <v>118</v>
      </c>
      <c r="C24" s="44"/>
      <c r="D24" s="22" t="s">
        <v>2</v>
      </c>
      <c r="E24" s="22" t="s">
        <v>3</v>
      </c>
      <c r="F24" s="22" t="s">
        <v>4</v>
      </c>
      <c r="G24" s="22" t="s">
        <v>5</v>
      </c>
      <c r="H24" s="22" t="s">
        <v>6</v>
      </c>
      <c r="I24" s="22" t="s">
        <v>7</v>
      </c>
      <c r="J24" s="41" t="s">
        <v>119</v>
      </c>
      <c r="K24" s="43"/>
    </row>
    <row r="25" spans="2:11" x14ac:dyDescent="0.35">
      <c r="B25" s="77">
        <v>45905</v>
      </c>
      <c r="C25" s="44" t="s">
        <v>120</v>
      </c>
      <c r="D25" s="22">
        <v>6</v>
      </c>
      <c r="E25" s="22">
        <v>6</v>
      </c>
      <c r="F25" s="22">
        <v>6</v>
      </c>
      <c r="G25" s="22">
        <v>6</v>
      </c>
      <c r="H25" s="22">
        <v>6</v>
      </c>
      <c r="I25" s="22"/>
      <c r="J25" s="22">
        <f>SUM(D25:I25)</f>
        <v>30</v>
      </c>
      <c r="K25" s="43"/>
    </row>
    <row r="26" spans="2:11" x14ac:dyDescent="0.35">
      <c r="B26" s="77"/>
      <c r="C26" s="44" t="s">
        <v>88</v>
      </c>
      <c r="D26" s="22">
        <v>3</v>
      </c>
      <c r="E26" s="22">
        <v>5</v>
      </c>
      <c r="F26" s="22">
        <v>6</v>
      </c>
      <c r="G26" s="22">
        <v>5</v>
      </c>
      <c r="H26" s="22">
        <v>6</v>
      </c>
      <c r="I26" s="22"/>
      <c r="J26" s="22">
        <f>SUM(D26:I26)</f>
        <v>25</v>
      </c>
      <c r="K26" s="43"/>
    </row>
    <row r="27" spans="2:11" ht="29" x14ac:dyDescent="0.35">
      <c r="B27" s="77"/>
      <c r="C27" s="44" t="s">
        <v>121</v>
      </c>
      <c r="D27" s="28">
        <f>D26-D25</f>
        <v>-3</v>
      </c>
      <c r="E27" s="28">
        <f t="shared" ref="E27:J27" si="4">E26-E25</f>
        <v>-1</v>
      </c>
      <c r="F27" s="28">
        <f t="shared" si="4"/>
        <v>0</v>
      </c>
      <c r="G27" s="28">
        <f t="shared" si="4"/>
        <v>-1</v>
      </c>
      <c r="H27" s="28">
        <f t="shared" si="4"/>
        <v>0</v>
      </c>
      <c r="I27" s="28">
        <f t="shared" si="4"/>
        <v>0</v>
      </c>
      <c r="J27" s="28">
        <f t="shared" si="4"/>
        <v>-5</v>
      </c>
      <c r="K27" s="47" t="s">
        <v>126</v>
      </c>
    </row>
    <row r="28" spans="2:11" x14ac:dyDescent="0.35">
      <c r="B28" s="43"/>
      <c r="C28" s="43"/>
      <c r="D28" s="78" t="s">
        <v>116</v>
      </c>
      <c r="E28" s="78"/>
      <c r="F28" s="78"/>
      <c r="G28" s="78"/>
      <c r="H28" s="78"/>
      <c r="I28" s="78"/>
      <c r="J28" s="78"/>
      <c r="K28" s="43" t="s">
        <v>117</v>
      </c>
    </row>
    <row r="29" spans="2:11" x14ac:dyDescent="0.35">
      <c r="B29" s="44" t="s">
        <v>118</v>
      </c>
      <c r="C29" s="44"/>
      <c r="D29" s="22" t="s">
        <v>2</v>
      </c>
      <c r="E29" s="22" t="s">
        <v>3</v>
      </c>
      <c r="F29" s="22" t="s">
        <v>4</v>
      </c>
      <c r="G29" s="22" t="s">
        <v>5</v>
      </c>
      <c r="H29" s="22" t="s">
        <v>6</v>
      </c>
      <c r="I29" s="22" t="s">
        <v>7</v>
      </c>
      <c r="J29" s="41" t="s">
        <v>119</v>
      </c>
      <c r="K29" s="43"/>
    </row>
    <row r="30" spans="2:11" x14ac:dyDescent="0.35">
      <c r="B30" s="77">
        <v>45906</v>
      </c>
      <c r="C30" s="44" t="s">
        <v>120</v>
      </c>
      <c r="D30" s="22">
        <v>6</v>
      </c>
      <c r="E30" s="22">
        <v>6</v>
      </c>
      <c r="F30" s="22">
        <v>6</v>
      </c>
      <c r="G30" s="22">
        <v>6</v>
      </c>
      <c r="H30" s="22">
        <v>6</v>
      </c>
      <c r="I30" s="22"/>
      <c r="J30" s="22">
        <f>SUM(D30:I30)</f>
        <v>30</v>
      </c>
      <c r="K30" s="43"/>
    </row>
    <row r="31" spans="2:11" x14ac:dyDescent="0.35">
      <c r="B31" s="77"/>
      <c r="C31" s="44" t="s">
        <v>88</v>
      </c>
      <c r="D31" s="22">
        <v>4</v>
      </c>
      <c r="E31" s="22">
        <v>4</v>
      </c>
      <c r="F31" s="22">
        <v>6</v>
      </c>
      <c r="G31" s="22">
        <v>5</v>
      </c>
      <c r="H31" s="22">
        <v>5</v>
      </c>
      <c r="I31" s="22"/>
      <c r="J31" s="22">
        <f>SUM(D31:I31)</f>
        <v>24</v>
      </c>
      <c r="K31" s="43"/>
    </row>
    <row r="32" spans="2:11" ht="58" x14ac:dyDescent="0.35">
      <c r="B32" s="77"/>
      <c r="C32" s="44" t="s">
        <v>121</v>
      </c>
      <c r="D32" s="28">
        <f>D31-D30</f>
        <v>-2</v>
      </c>
      <c r="E32" s="28">
        <f t="shared" ref="E32:J32" si="5">E31-E30</f>
        <v>-2</v>
      </c>
      <c r="F32" s="28">
        <f t="shared" si="5"/>
        <v>0</v>
      </c>
      <c r="G32" s="28">
        <f t="shared" si="5"/>
        <v>-1</v>
      </c>
      <c r="H32" s="28">
        <f t="shared" si="5"/>
        <v>-1</v>
      </c>
      <c r="I32" s="28">
        <f t="shared" si="5"/>
        <v>0</v>
      </c>
      <c r="J32" s="28">
        <f t="shared" si="5"/>
        <v>-6</v>
      </c>
      <c r="K32" s="47" t="s">
        <v>127</v>
      </c>
    </row>
  </sheetData>
  <mergeCells count="12">
    <mergeCell ref="B14:B16"/>
    <mergeCell ref="D2:J2"/>
    <mergeCell ref="B4:B6"/>
    <mergeCell ref="D7:J7"/>
    <mergeCell ref="B9:B11"/>
    <mergeCell ref="D12:J12"/>
    <mergeCell ref="B30:B32"/>
    <mergeCell ref="D23:J23"/>
    <mergeCell ref="D28:J28"/>
    <mergeCell ref="B25:B27"/>
    <mergeCell ref="D17:J17"/>
    <mergeCell ref="B19:B21"/>
  </mergeCells>
  <conditionalFormatting sqref="D6:J6">
    <cfRule type="cellIs" dxfId="5" priority="26" operator="lessThan">
      <formula>0</formula>
    </cfRule>
  </conditionalFormatting>
  <conditionalFormatting sqref="D11:J11">
    <cfRule type="cellIs" dxfId="4" priority="5" operator="lessThan">
      <formula>0</formula>
    </cfRule>
  </conditionalFormatting>
  <conditionalFormatting sqref="D16:J16">
    <cfRule type="cellIs" dxfId="3" priority="4" operator="lessThan">
      <formula>0</formula>
    </cfRule>
  </conditionalFormatting>
  <conditionalFormatting sqref="D21:J21">
    <cfRule type="cellIs" dxfId="2" priority="3" operator="lessThan">
      <formula>0</formula>
    </cfRule>
  </conditionalFormatting>
  <conditionalFormatting sqref="D27:J27">
    <cfRule type="cellIs" dxfId="1" priority="2" operator="lessThan">
      <formula>0</formula>
    </cfRule>
  </conditionalFormatting>
  <conditionalFormatting sqref="D32:J3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2-Sep</vt:lpstr>
      <vt:lpstr>02092025</vt:lpstr>
      <vt:lpstr>03092025 (2)</vt:lpstr>
      <vt:lpstr>3-Sep (2)</vt:lpstr>
      <vt:lpstr>5-Sep (2)</vt:lpstr>
      <vt:lpstr>05092025 (2)</vt:lpstr>
      <vt:lpstr>4-Sep (2)</vt:lpstr>
      <vt:lpstr>04092025 (2)</vt:lpstr>
      <vt:lpstr>6-Sep (2)</vt:lpstr>
      <vt:lpstr>06092025 (2)</vt:lpstr>
      <vt:lpstr>08092025</vt:lpstr>
      <vt:lpstr>8-Sep</vt:lpstr>
      <vt:lpstr>18-Sep</vt:lpstr>
      <vt:lpstr>18092025</vt:lpstr>
      <vt:lpstr>19-Sep</vt:lpstr>
      <vt:lpstr>19092025</vt:lpstr>
      <vt:lpstr>20-Sep</vt:lpstr>
      <vt:lpstr>20092025</vt:lpstr>
      <vt:lpstr>Trolley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 Vistar</dc:creator>
  <cp:lastModifiedBy>Balasaheb Chavan</cp:lastModifiedBy>
  <dcterms:created xsi:type="dcterms:W3CDTF">2025-09-01T02:34:02Z</dcterms:created>
  <dcterms:modified xsi:type="dcterms:W3CDTF">2026-06-16T09:50:49Z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f4f5e-b788-4bdd-9371-71ab982a2897_Enabled">
    <vt:lpwstr>true</vt:lpwstr>
  </property>
  <property fmtid="{D5CDD505-2E9C-101B-9397-08002B2CF9AE}" pid="3" name="MSIP_Label_aacf4f5e-b788-4bdd-9371-71ab982a2897_SetDate">
    <vt:lpwstr>2025-09-01T02:34:54Z</vt:lpwstr>
  </property>
  <property fmtid="{D5CDD505-2E9C-101B-9397-08002B2CF9AE}" pid="4" name="MSIP_Label_aacf4f5e-b788-4bdd-9371-71ab982a2897_Method">
    <vt:lpwstr>Privileged</vt:lpwstr>
  </property>
  <property fmtid="{D5CDD505-2E9C-101B-9397-08002B2CF9AE}" pid="5" name="MSIP_Label_aacf4f5e-b788-4bdd-9371-71ab982a2897_Name">
    <vt:lpwstr>aacf4f5e-b788-4bdd-9371-71ab982a2897</vt:lpwstr>
  </property>
  <property fmtid="{D5CDD505-2E9C-101B-9397-08002B2CF9AE}" pid="6" name="MSIP_Label_aacf4f5e-b788-4bdd-9371-71ab982a2897_SiteId">
    <vt:lpwstr>a9e8893d-f1a4-4d8d-978f-862edfd3686a</vt:lpwstr>
  </property>
  <property fmtid="{D5CDD505-2E9C-101B-9397-08002B2CF9AE}" pid="7" name="MSIP_Label_aacf4f5e-b788-4bdd-9371-71ab982a2897_ActionId">
    <vt:lpwstr>0abe5f71-d5ae-483c-9f33-d5fc31e6240e</vt:lpwstr>
  </property>
  <property fmtid="{D5CDD505-2E9C-101B-9397-08002B2CF9AE}" pid="8" name="MSIP_Label_aacf4f5e-b788-4bdd-9371-71ab982a2897_ContentBits">
    <vt:lpwstr>2</vt:lpwstr>
  </property>
  <property fmtid="{D5CDD505-2E9C-101B-9397-08002B2CF9AE}" pid="9" name="MSIP_Label_aacf4f5e-b788-4bdd-9371-71ab982a2897_Tag">
    <vt:lpwstr>10, 0, 1, 1</vt:lpwstr>
  </property>
</Properties>
</file>