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AppData\Local\Microsoft\Windows\INetCache\Content.Outlook\4HA00PAP\"/>
    </mc:Choice>
  </mc:AlternateContent>
  <xr:revisionPtr revIDLastSave="0" documentId="8_{8C5F381D-38CE-4FA1-A5ED-BBEB5A4ED12D}" xr6:coauthVersionLast="47" xr6:coauthVersionMax="47" xr10:uidLastSave="{00000000-0000-0000-0000-000000000000}"/>
  <bookViews>
    <workbookView xWindow="-110" yWindow="-110" windowWidth="19420" windowHeight="10300" firstSheet="6" activeTab="6" xr2:uid="{00000000-000D-0000-FFFF-FFFF00000000}"/>
  </bookViews>
  <sheets>
    <sheet name="Nov 2025" sheetId="1" state="hidden" r:id="rId1"/>
    <sheet name="Dec 2025" sheetId="2" state="hidden" r:id="rId2"/>
    <sheet name="Jan 2026" sheetId="3" state="hidden" r:id="rId3"/>
    <sheet name="Feb 2026" sheetId="4" state="hidden" r:id="rId4"/>
    <sheet name="Apr-2026" sheetId="5" state="hidden" r:id="rId5"/>
    <sheet name="May_2026" sheetId="6" state="hidden" r:id="rId6"/>
    <sheet name="Jun_2026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I49" i="7" l="1"/>
  <c r="CH49" i="7"/>
  <c r="CG49" i="7"/>
  <c r="CF48" i="7"/>
  <c r="CF47" i="7"/>
  <c r="CF46" i="7"/>
  <c r="CF45" i="7"/>
  <c r="CF44" i="7"/>
  <c r="CF43" i="7"/>
  <c r="CF42" i="7"/>
  <c r="CF41" i="7"/>
  <c r="CE41" i="7"/>
  <c r="CF40" i="7"/>
  <c r="CE40" i="7"/>
  <c r="CF39" i="7"/>
  <c r="CE39" i="7"/>
  <c r="CI35" i="7"/>
  <c r="CH35" i="7"/>
  <c r="CG35" i="7"/>
  <c r="CI34" i="7"/>
  <c r="CI33" i="7"/>
  <c r="CH33" i="7"/>
  <c r="CG33" i="7"/>
  <c r="CI32" i="7"/>
  <c r="CH32" i="7"/>
  <c r="CG32" i="7"/>
  <c r="CG36" i="7" s="1"/>
  <c r="CI31" i="7"/>
  <c r="CI36" i="7" s="1"/>
  <c r="CH31" i="7"/>
  <c r="CH36" i="7" s="1"/>
  <c r="CG31" i="7"/>
  <c r="CI28" i="7"/>
  <c r="CH28" i="7"/>
  <c r="CG28" i="7"/>
  <c r="CI27" i="7"/>
  <c r="CH27" i="7"/>
  <c r="CH34" i="7" s="1"/>
  <c r="CG27" i="7"/>
  <c r="CG34" i="7" s="1"/>
  <c r="CF26" i="7"/>
  <c r="CE26" i="7"/>
  <c r="CF25" i="7"/>
  <c r="CE25" i="7"/>
  <c r="CF24" i="7"/>
  <c r="CE24" i="7"/>
  <c r="CF23" i="7"/>
  <c r="CE23" i="7"/>
  <c r="CF22" i="7"/>
  <c r="CE22" i="7"/>
  <c r="CF21" i="7"/>
  <c r="CE21" i="7"/>
  <c r="CF20" i="7"/>
  <c r="CE20" i="7"/>
  <c r="CI18" i="7"/>
  <c r="CH18" i="7"/>
  <c r="CG18" i="7"/>
  <c r="CF16" i="7"/>
  <c r="CF15" i="7"/>
  <c r="CF14" i="7"/>
  <c r="CF13" i="7"/>
  <c r="CF12" i="7"/>
  <c r="CF11" i="7"/>
  <c r="CF32" i="7" s="1"/>
  <c r="CF9" i="7"/>
  <c r="CF31" i="7" s="1"/>
  <c r="CE9" i="7"/>
  <c r="CE31" i="7" s="1"/>
  <c r="CI8" i="7"/>
  <c r="CH8" i="7"/>
  <c r="CG8" i="7"/>
  <c r="CF7" i="7"/>
  <c r="CE7" i="7"/>
  <c r="CF6" i="7"/>
  <c r="CE6" i="7"/>
  <c r="CF5" i="7"/>
  <c r="CE5" i="7"/>
  <c r="CF4" i="7"/>
  <c r="CE4" i="7"/>
  <c r="CD49" i="7"/>
  <c r="CC49" i="7"/>
  <c r="CB49" i="7"/>
  <c r="CA48" i="7"/>
  <c r="CA47" i="7"/>
  <c r="CA46" i="7"/>
  <c r="CA45" i="7"/>
  <c r="CA44" i="7"/>
  <c r="CA43" i="7"/>
  <c r="CA49" i="7" s="1"/>
  <c r="CA42" i="7"/>
  <c r="CA41" i="7"/>
  <c r="BZ41" i="7"/>
  <c r="CA40" i="7"/>
  <c r="BZ40" i="7"/>
  <c r="CA39" i="7"/>
  <c r="BZ39" i="7"/>
  <c r="CD34" i="7"/>
  <c r="CD33" i="7"/>
  <c r="CC33" i="7"/>
  <c r="CB33" i="7"/>
  <c r="CD32" i="7"/>
  <c r="CC32" i="7"/>
  <c r="CB32" i="7"/>
  <c r="CD31" i="7"/>
  <c r="CC31" i="7"/>
  <c r="CB31" i="7"/>
  <c r="CD27" i="7"/>
  <c r="CC27" i="7"/>
  <c r="CC34" i="7" s="1"/>
  <c r="CB27" i="7"/>
  <c r="CB34" i="7" s="1"/>
  <c r="CA26" i="7"/>
  <c r="BZ26" i="7"/>
  <c r="CA25" i="7"/>
  <c r="BZ25" i="7"/>
  <c r="CA24" i="7"/>
  <c r="BZ24" i="7"/>
  <c r="CA23" i="7"/>
  <c r="BZ23" i="7"/>
  <c r="CA22" i="7"/>
  <c r="BZ22" i="7"/>
  <c r="CA21" i="7"/>
  <c r="CA27" i="7" s="1"/>
  <c r="CA34" i="7" s="1"/>
  <c r="BZ21" i="7"/>
  <c r="CA20" i="7"/>
  <c r="BZ20" i="7"/>
  <c r="BZ27" i="7" s="1"/>
  <c r="BZ34" i="7" s="1"/>
  <c r="CD18" i="7"/>
  <c r="CC18" i="7"/>
  <c r="CB18" i="7"/>
  <c r="CA17" i="7"/>
  <c r="CF17" i="7" s="1"/>
  <c r="CA16" i="7"/>
  <c r="CA15" i="7"/>
  <c r="CA14" i="7"/>
  <c r="CA13" i="7"/>
  <c r="CA12" i="7"/>
  <c r="CA11" i="7"/>
  <c r="CA32" i="7" s="1"/>
  <c r="CA9" i="7"/>
  <c r="CA31" i="7" s="1"/>
  <c r="BZ9" i="7"/>
  <c r="BZ31" i="7" s="1"/>
  <c r="CD8" i="7"/>
  <c r="CD35" i="7" s="1"/>
  <c r="CC8" i="7"/>
  <c r="CC35" i="7" s="1"/>
  <c r="CB8" i="7"/>
  <c r="CB35" i="7" s="1"/>
  <c r="CA7" i="7"/>
  <c r="BZ7" i="7"/>
  <c r="CA6" i="7"/>
  <c r="BZ6" i="7"/>
  <c r="CA5" i="7"/>
  <c r="BZ5" i="7"/>
  <c r="BZ8" i="7" s="1"/>
  <c r="CA4" i="7"/>
  <c r="CA8" i="7" s="1"/>
  <c r="BZ4" i="7"/>
  <c r="CA18" i="7" l="1"/>
  <c r="CA33" i="7"/>
  <c r="CD36" i="7"/>
  <c r="CF49" i="7"/>
  <c r="CF33" i="7"/>
  <c r="CF27" i="7"/>
  <c r="CF34" i="7" s="1"/>
  <c r="CF18" i="7"/>
  <c r="CF8" i="7"/>
  <c r="CE8" i="7"/>
  <c r="CE35" i="7" s="1"/>
  <c r="CE27" i="7"/>
  <c r="CE34" i="7" s="1"/>
  <c r="CB36" i="7"/>
  <c r="CD28" i="7"/>
  <c r="CC36" i="7"/>
  <c r="CF35" i="7"/>
  <c r="CF36" i="7"/>
  <c r="CA35" i="7"/>
  <c r="CA36" i="7" s="1"/>
  <c r="CA28" i="7"/>
  <c r="BZ35" i="7"/>
  <c r="BZ28" i="7"/>
  <c r="CB28" i="7"/>
  <c r="CC28" i="7"/>
  <c r="CE28" i="7" l="1"/>
  <c r="CF28" i="7"/>
  <c r="BK39" i="7" l="1"/>
  <c r="BH34" i="7"/>
  <c r="BC33" i="7" l="1"/>
  <c r="BB33" i="7"/>
  <c r="BL5" i="7" l="1"/>
  <c r="BQ5" i="7" s="1"/>
  <c r="BV5" i="7" s="1"/>
  <c r="BY49" i="7"/>
  <c r="BX49" i="7"/>
  <c r="BW49" i="7"/>
  <c r="BV48" i="7"/>
  <c r="BV47" i="7"/>
  <c r="BV46" i="7"/>
  <c r="BV45" i="7"/>
  <c r="BV44" i="7"/>
  <c r="BV43" i="7"/>
  <c r="BX34" i="7"/>
  <c r="BY33" i="7"/>
  <c r="BX33" i="7"/>
  <c r="BW33" i="7"/>
  <c r="BY32" i="7"/>
  <c r="BX32" i="7"/>
  <c r="BW32" i="7"/>
  <c r="BY31" i="7"/>
  <c r="BX31" i="7"/>
  <c r="BX36" i="7" s="1"/>
  <c r="BW31" i="7"/>
  <c r="BW36" i="7" s="1"/>
  <c r="BY27" i="7"/>
  <c r="BY34" i="7" s="1"/>
  <c r="BX27" i="7"/>
  <c r="BW27" i="7"/>
  <c r="BW34" i="7" s="1"/>
  <c r="BV26" i="7"/>
  <c r="BU26" i="7"/>
  <c r="BV25" i="7"/>
  <c r="BU25" i="7"/>
  <c r="BV24" i="7"/>
  <c r="BU24" i="7"/>
  <c r="BV23" i="7"/>
  <c r="BU23" i="7"/>
  <c r="BV22" i="7"/>
  <c r="BV21" i="7"/>
  <c r="BU21" i="7"/>
  <c r="BV20" i="7"/>
  <c r="BU20" i="7"/>
  <c r="BY18" i="7"/>
  <c r="BX18" i="7"/>
  <c r="BW18" i="7"/>
  <c r="BV15" i="7"/>
  <c r="BY8" i="7"/>
  <c r="BY28" i="7" s="1"/>
  <c r="BX8" i="7"/>
  <c r="BX35" i="7" s="1"/>
  <c r="BW8" i="7"/>
  <c r="BW35" i="7" s="1"/>
  <c r="BT49" i="7"/>
  <c r="BS49" i="7"/>
  <c r="BR49" i="7"/>
  <c r="BQ48" i="7"/>
  <c r="BQ47" i="7"/>
  <c r="BQ46" i="7"/>
  <c r="BP46" i="7"/>
  <c r="BU46" i="7" s="1"/>
  <c r="BZ46" i="7" s="1"/>
  <c r="CE46" i="7" s="1"/>
  <c r="BQ45" i="7"/>
  <c r="BP45" i="7"/>
  <c r="BU45" i="7" s="1"/>
  <c r="BZ45" i="7" s="1"/>
  <c r="CE45" i="7" s="1"/>
  <c r="BQ44" i="7"/>
  <c r="BQ43" i="7"/>
  <c r="BQ41" i="7"/>
  <c r="BV41" i="7" s="1"/>
  <c r="BR34" i="7"/>
  <c r="BT33" i="7"/>
  <c r="BS33" i="7"/>
  <c r="BR33" i="7"/>
  <c r="BT32" i="7"/>
  <c r="BS32" i="7"/>
  <c r="BR32" i="7"/>
  <c r="BT31" i="7"/>
  <c r="BS31" i="7"/>
  <c r="BS36" i="7" s="1"/>
  <c r="BR31" i="7"/>
  <c r="BT27" i="7"/>
  <c r="BT34" i="7" s="1"/>
  <c r="BS27" i="7"/>
  <c r="BS34" i="7" s="1"/>
  <c r="BR27" i="7"/>
  <c r="BQ26" i="7"/>
  <c r="BP26" i="7"/>
  <c r="BQ25" i="7"/>
  <c r="BP25" i="7"/>
  <c r="BQ24" i="7"/>
  <c r="BP24" i="7"/>
  <c r="BQ23" i="7"/>
  <c r="BP23" i="7"/>
  <c r="BQ22" i="7"/>
  <c r="BP22" i="7"/>
  <c r="BU22" i="7" s="1"/>
  <c r="BQ21" i="7"/>
  <c r="BP21" i="7"/>
  <c r="BQ20" i="7"/>
  <c r="BQ27" i="7" s="1"/>
  <c r="BQ34" i="7" s="1"/>
  <c r="BP20" i="7"/>
  <c r="BT18" i="7"/>
  <c r="BS18" i="7"/>
  <c r="BR18" i="7"/>
  <c r="BQ15" i="7"/>
  <c r="BP15" i="7"/>
  <c r="BU15" i="7" s="1"/>
  <c r="BZ15" i="7" s="1"/>
  <c r="CE15" i="7" s="1"/>
  <c r="BT8" i="7"/>
  <c r="BT28" i="7" s="1"/>
  <c r="BS8" i="7"/>
  <c r="BS35" i="7" s="1"/>
  <c r="BR8" i="7"/>
  <c r="BR35" i="7" s="1"/>
  <c r="BQ7" i="7"/>
  <c r="BV7" i="7" s="1"/>
  <c r="BO49" i="7"/>
  <c r="BN49" i="7"/>
  <c r="BM49" i="7"/>
  <c r="BL48" i="7"/>
  <c r="BK48" i="7"/>
  <c r="BP48" i="7" s="1"/>
  <c r="BU48" i="7" s="1"/>
  <c r="BZ48" i="7" s="1"/>
  <c r="CE48" i="7" s="1"/>
  <c r="BL47" i="7"/>
  <c r="BK47" i="7"/>
  <c r="BP47" i="7" s="1"/>
  <c r="BU47" i="7" s="1"/>
  <c r="BZ47" i="7" s="1"/>
  <c r="CE47" i="7" s="1"/>
  <c r="BL46" i="7"/>
  <c r="BK46" i="7"/>
  <c r="BL45" i="7"/>
  <c r="BK45" i="7"/>
  <c r="BL44" i="7"/>
  <c r="BK44" i="7"/>
  <c r="BP44" i="7" s="1"/>
  <c r="BU44" i="7" s="1"/>
  <c r="BZ44" i="7" s="1"/>
  <c r="CE44" i="7" s="1"/>
  <c r="BL43" i="7"/>
  <c r="BK43" i="7"/>
  <c r="BP43" i="7" s="1"/>
  <c r="BU43" i="7" s="1"/>
  <c r="BZ43" i="7" s="1"/>
  <c r="CE43" i="7" s="1"/>
  <c r="BL42" i="7"/>
  <c r="BQ42" i="7" s="1"/>
  <c r="BV42" i="7" s="1"/>
  <c r="BK42" i="7"/>
  <c r="BP42" i="7" s="1"/>
  <c r="BU42" i="7" s="1"/>
  <c r="BZ42" i="7" s="1"/>
  <c r="BK41" i="7"/>
  <c r="BP41" i="7" s="1"/>
  <c r="BU41" i="7" s="1"/>
  <c r="BL40" i="7"/>
  <c r="BQ40" i="7" s="1"/>
  <c r="BV40" i="7" s="1"/>
  <c r="BK40" i="7"/>
  <c r="BP40" i="7" s="1"/>
  <c r="BU40" i="7" s="1"/>
  <c r="BP39" i="7"/>
  <c r="BU39" i="7" s="1"/>
  <c r="BO35" i="7"/>
  <c r="BO33" i="7"/>
  <c r="BN33" i="7"/>
  <c r="BM33" i="7"/>
  <c r="BO32" i="7"/>
  <c r="BN32" i="7"/>
  <c r="BM32" i="7"/>
  <c r="BO31" i="7"/>
  <c r="BN31" i="7"/>
  <c r="BM31" i="7"/>
  <c r="BO27" i="7"/>
  <c r="BO28" i="7" s="1"/>
  <c r="BN27" i="7"/>
  <c r="BN34" i="7" s="1"/>
  <c r="BM27" i="7"/>
  <c r="BM34" i="7" s="1"/>
  <c r="BL26" i="7"/>
  <c r="BK26" i="7"/>
  <c r="BL25" i="7"/>
  <c r="BK25" i="7"/>
  <c r="BL24" i="7"/>
  <c r="BK24" i="7"/>
  <c r="BL23" i="7"/>
  <c r="BK23" i="7"/>
  <c r="BL22" i="7"/>
  <c r="BK22" i="7"/>
  <c r="BL21" i="7"/>
  <c r="BK21" i="7"/>
  <c r="BL20" i="7"/>
  <c r="BL27" i="7" s="1"/>
  <c r="BL34" i="7" s="1"/>
  <c r="BK20" i="7"/>
  <c r="BK27" i="7" s="1"/>
  <c r="BK34" i="7" s="1"/>
  <c r="BO18" i="7"/>
  <c r="BN18" i="7"/>
  <c r="BM18" i="7"/>
  <c r="BL17" i="7"/>
  <c r="BQ17" i="7" s="1"/>
  <c r="BV17" i="7" s="1"/>
  <c r="BK17" i="7"/>
  <c r="BP17" i="7" s="1"/>
  <c r="BU17" i="7" s="1"/>
  <c r="BZ17" i="7" s="1"/>
  <c r="CE17" i="7" s="1"/>
  <c r="BL16" i="7"/>
  <c r="BQ16" i="7" s="1"/>
  <c r="BV16" i="7" s="1"/>
  <c r="BK16" i="7"/>
  <c r="BP16" i="7" s="1"/>
  <c r="BU16" i="7" s="1"/>
  <c r="BZ16" i="7" s="1"/>
  <c r="CE16" i="7" s="1"/>
  <c r="BL15" i="7"/>
  <c r="BK15" i="7"/>
  <c r="BK14" i="7"/>
  <c r="BP14" i="7" s="1"/>
  <c r="BU14" i="7" s="1"/>
  <c r="BZ14" i="7" s="1"/>
  <c r="CE14" i="7" s="1"/>
  <c r="BL13" i="7"/>
  <c r="BK13" i="7"/>
  <c r="BL12" i="7"/>
  <c r="BK12" i="7"/>
  <c r="BP12" i="7" s="1"/>
  <c r="BU12" i="7" s="1"/>
  <c r="BZ12" i="7" s="1"/>
  <c r="BL11" i="7"/>
  <c r="BL9" i="7"/>
  <c r="BL31" i="7" s="1"/>
  <c r="BK9" i="7"/>
  <c r="BK31" i="7" s="1"/>
  <c r="BO8" i="7"/>
  <c r="BN8" i="7"/>
  <c r="BN35" i="7" s="1"/>
  <c r="BM8" i="7"/>
  <c r="BM28" i="7" s="1"/>
  <c r="BL7" i="7"/>
  <c r="BK7" i="7"/>
  <c r="BK5" i="7"/>
  <c r="BP5" i="7" s="1"/>
  <c r="BU5" i="7" s="1"/>
  <c r="BL4" i="7"/>
  <c r="BQ4" i="7" s="1"/>
  <c r="BK4" i="7"/>
  <c r="BP4" i="7" s="1"/>
  <c r="BU4" i="7" s="1"/>
  <c r="BF41" i="7"/>
  <c r="BF40" i="7"/>
  <c r="BF39" i="7"/>
  <c r="BC40" i="7"/>
  <c r="BF42" i="7"/>
  <c r="BF43" i="7"/>
  <c r="BF44" i="7"/>
  <c r="BF45" i="7"/>
  <c r="BA39" i="7"/>
  <c r="BB41" i="7"/>
  <c r="BA41" i="7"/>
  <c r="BA40" i="7"/>
  <c r="BG39" i="7"/>
  <c r="BL39" i="7" s="1"/>
  <c r="BQ39" i="7" s="1"/>
  <c r="BB40" i="7"/>
  <c r="BG41" i="7"/>
  <c r="BG42" i="7"/>
  <c r="BA42" i="7"/>
  <c r="AI42" i="7"/>
  <c r="I42" i="7"/>
  <c r="N42" i="7" s="1"/>
  <c r="S42" i="7" s="1"/>
  <c r="X42" i="7" s="1"/>
  <c r="AC42" i="7" s="1"/>
  <c r="AH42" i="7" s="1"/>
  <c r="AM42" i="7" s="1"/>
  <c r="H42" i="7"/>
  <c r="M42" i="7" s="1"/>
  <c r="R42" i="7" s="1"/>
  <c r="W42" i="7" s="1"/>
  <c r="AB42" i="7" s="1"/>
  <c r="AG42" i="7" s="1"/>
  <c r="AL42" i="7" s="1"/>
  <c r="AQ42" i="7" s="1"/>
  <c r="CE42" i="7" l="1"/>
  <c r="CE49" i="7" s="1"/>
  <c r="BZ49" i="7"/>
  <c r="CE12" i="7"/>
  <c r="BY35" i="7"/>
  <c r="BY36" i="7"/>
  <c r="BQ9" i="7"/>
  <c r="BL32" i="7"/>
  <c r="BQ49" i="7"/>
  <c r="BV39" i="7"/>
  <c r="BV49" i="7" s="1"/>
  <c r="BL49" i="7"/>
  <c r="BP49" i="7"/>
  <c r="BK49" i="7"/>
  <c r="BU49" i="7"/>
  <c r="BP27" i="7"/>
  <c r="BP34" i="7" s="1"/>
  <c r="BQ11" i="7"/>
  <c r="BQ12" i="7"/>
  <c r="BV12" i="7" s="1"/>
  <c r="BQ13" i="7"/>
  <c r="BK33" i="7"/>
  <c r="BP13" i="7"/>
  <c r="BV4" i="7"/>
  <c r="BP9" i="7"/>
  <c r="BP7" i="7"/>
  <c r="BU7" i="7" s="1"/>
  <c r="BR36" i="7"/>
  <c r="BT35" i="7"/>
  <c r="BT36" i="7" s="1"/>
  <c r="BU27" i="7"/>
  <c r="BU34" i="7" s="1"/>
  <c r="BV27" i="7"/>
  <c r="BV34" i="7" s="1"/>
  <c r="BW28" i="7"/>
  <c r="BX28" i="7"/>
  <c r="BR28" i="7"/>
  <c r="BS28" i="7"/>
  <c r="BN28" i="7"/>
  <c r="BM35" i="7"/>
  <c r="BM36" i="7" s="1"/>
  <c r="BN36" i="7"/>
  <c r="BO34" i="7"/>
  <c r="BO36" i="7" s="1"/>
  <c r="BG40" i="7"/>
  <c r="D35" i="7"/>
  <c r="D34" i="7"/>
  <c r="AX33" i="7"/>
  <c r="AU33" i="7"/>
  <c r="AT33" i="7"/>
  <c r="AS33" i="7"/>
  <c r="AP33" i="7"/>
  <c r="AO33" i="7"/>
  <c r="AN33" i="7"/>
  <c r="AK33" i="7"/>
  <c r="AJ33" i="7"/>
  <c r="AI33" i="7"/>
  <c r="AF33" i="7"/>
  <c r="AE33" i="7"/>
  <c r="AD33" i="7"/>
  <c r="AA33" i="7"/>
  <c r="Z33" i="7"/>
  <c r="Y33" i="7"/>
  <c r="V33" i="7"/>
  <c r="U33" i="7"/>
  <c r="T33" i="7"/>
  <c r="Q33" i="7"/>
  <c r="P33" i="7"/>
  <c r="O33" i="7"/>
  <c r="L33" i="7"/>
  <c r="K33" i="7"/>
  <c r="G33" i="7"/>
  <c r="F33" i="7"/>
  <c r="E33" i="7"/>
  <c r="D33" i="7"/>
  <c r="AU32" i="7"/>
  <c r="AT32" i="7"/>
  <c r="AS32" i="7"/>
  <c r="AP32" i="7"/>
  <c r="AO32" i="7"/>
  <c r="AN32" i="7"/>
  <c r="AK32" i="7"/>
  <c r="AJ32" i="7"/>
  <c r="AF32" i="7"/>
  <c r="AE32" i="7"/>
  <c r="AD32" i="7"/>
  <c r="AA32" i="7"/>
  <c r="Z32" i="7"/>
  <c r="Y32" i="7"/>
  <c r="V32" i="7"/>
  <c r="U32" i="7"/>
  <c r="T32" i="7"/>
  <c r="Q32" i="7"/>
  <c r="P32" i="7"/>
  <c r="O32" i="7"/>
  <c r="L32" i="7"/>
  <c r="K32" i="7"/>
  <c r="J32" i="7"/>
  <c r="G32" i="7"/>
  <c r="F32" i="7"/>
  <c r="E32" i="7"/>
  <c r="D32" i="7"/>
  <c r="AX31" i="7"/>
  <c r="AU31" i="7"/>
  <c r="AT31" i="7"/>
  <c r="AS31" i="7"/>
  <c r="AP31" i="7"/>
  <c r="AO31" i="7"/>
  <c r="AN31" i="7"/>
  <c r="AK31" i="7"/>
  <c r="AJ31" i="7"/>
  <c r="AI31" i="7"/>
  <c r="AF31" i="7"/>
  <c r="AE31" i="7"/>
  <c r="AD31" i="7"/>
  <c r="AA31" i="7"/>
  <c r="Z31" i="7"/>
  <c r="Y31" i="7"/>
  <c r="V31" i="7"/>
  <c r="U31" i="7"/>
  <c r="Q31" i="7"/>
  <c r="P31" i="7"/>
  <c r="O31" i="7"/>
  <c r="L31" i="7"/>
  <c r="K31" i="7"/>
  <c r="J31" i="7"/>
  <c r="G31" i="7"/>
  <c r="F31" i="7"/>
  <c r="E31" i="7"/>
  <c r="D31" i="7"/>
  <c r="BI34" i="7"/>
  <c r="BJ33" i="7"/>
  <c r="BI33" i="7"/>
  <c r="BH33" i="7"/>
  <c r="BE33" i="7"/>
  <c r="BD33" i="7"/>
  <c r="AZ33" i="7"/>
  <c r="BJ32" i="7"/>
  <c r="BI32" i="7"/>
  <c r="BH32" i="7"/>
  <c r="BE32" i="7"/>
  <c r="BD32" i="7"/>
  <c r="BC32" i="7"/>
  <c r="AZ32" i="7"/>
  <c r="BJ31" i="7"/>
  <c r="BI31" i="7"/>
  <c r="BH31" i="7"/>
  <c r="BE31" i="7"/>
  <c r="BD31" i="7"/>
  <c r="BC31" i="7"/>
  <c r="AZ31" i="7"/>
  <c r="AY33" i="7"/>
  <c r="AY32" i="7"/>
  <c r="AY18" i="7"/>
  <c r="AY8" i="7"/>
  <c r="AW43" i="7"/>
  <c r="BB43" i="7" s="1"/>
  <c r="BG43" i="7" s="1"/>
  <c r="BJ49" i="7"/>
  <c r="BI49" i="7"/>
  <c r="BH49" i="7"/>
  <c r="BE49" i="7"/>
  <c r="BD49" i="7"/>
  <c r="BC49" i="7"/>
  <c r="AZ49" i="7"/>
  <c r="AY49" i="7"/>
  <c r="BA48" i="7"/>
  <c r="BF48" i="7" s="1"/>
  <c r="BB48" i="7"/>
  <c r="BG48" i="7" s="1"/>
  <c r="BB47" i="7"/>
  <c r="BG47" i="7" s="1"/>
  <c r="BA47" i="7"/>
  <c r="BF47" i="7" s="1"/>
  <c r="BA46" i="7"/>
  <c r="BF46" i="7" s="1"/>
  <c r="BB46" i="7"/>
  <c r="BG46" i="7" s="1"/>
  <c r="BB45" i="7"/>
  <c r="BG45" i="7" s="1"/>
  <c r="BA45" i="7"/>
  <c r="BA44" i="7"/>
  <c r="BB44" i="7"/>
  <c r="BG44" i="7" s="1"/>
  <c r="BA43" i="7"/>
  <c r="AX49" i="7"/>
  <c r="AV49" i="7"/>
  <c r="AV4" i="7"/>
  <c r="AV5" i="7"/>
  <c r="AU49" i="7"/>
  <c r="AT49" i="7"/>
  <c r="AS49" i="7"/>
  <c r="AP49" i="7"/>
  <c r="AO49" i="7"/>
  <c r="AN49" i="7"/>
  <c r="AK49" i="7"/>
  <c r="AJ49" i="7"/>
  <c r="AF49" i="7"/>
  <c r="AE49" i="7"/>
  <c r="AD49" i="7"/>
  <c r="AA49" i="7"/>
  <c r="Z49" i="7"/>
  <c r="Y49" i="7"/>
  <c r="V49" i="7"/>
  <c r="U49" i="7"/>
  <c r="T49" i="7"/>
  <c r="Q49" i="7"/>
  <c r="P49" i="7"/>
  <c r="O49" i="7"/>
  <c r="L49" i="7"/>
  <c r="K49" i="7"/>
  <c r="G49" i="7"/>
  <c r="F49" i="7"/>
  <c r="E49" i="7"/>
  <c r="I48" i="7"/>
  <c r="N48" i="7" s="1"/>
  <c r="S48" i="7" s="1"/>
  <c r="X48" i="7" s="1"/>
  <c r="AC48" i="7" s="1"/>
  <c r="AH48" i="7" s="1"/>
  <c r="AM48" i="7" s="1"/>
  <c r="H48" i="7"/>
  <c r="M48" i="7" s="1"/>
  <c r="R48" i="7" s="1"/>
  <c r="W48" i="7" s="1"/>
  <c r="AB48" i="7" s="1"/>
  <c r="AG48" i="7" s="1"/>
  <c r="AL48" i="7" s="1"/>
  <c r="AQ48" i="7" s="1"/>
  <c r="I47" i="7"/>
  <c r="N47" i="7" s="1"/>
  <c r="S47" i="7" s="1"/>
  <c r="X47" i="7" s="1"/>
  <c r="AC47" i="7" s="1"/>
  <c r="AH47" i="7" s="1"/>
  <c r="AM47" i="7" s="1"/>
  <c r="H47" i="7"/>
  <c r="M47" i="7" s="1"/>
  <c r="R47" i="7" s="1"/>
  <c r="W47" i="7" s="1"/>
  <c r="AB47" i="7" s="1"/>
  <c r="AG47" i="7" s="1"/>
  <c r="AL47" i="7" s="1"/>
  <c r="AQ47" i="7" s="1"/>
  <c r="I46" i="7"/>
  <c r="N46" i="7" s="1"/>
  <c r="S46" i="7" s="1"/>
  <c r="X46" i="7" s="1"/>
  <c r="AC46" i="7" s="1"/>
  <c r="AH46" i="7" s="1"/>
  <c r="AM46" i="7" s="1"/>
  <c r="H46" i="7"/>
  <c r="M46" i="7" s="1"/>
  <c r="R46" i="7" s="1"/>
  <c r="W46" i="7" s="1"/>
  <c r="AB46" i="7" s="1"/>
  <c r="AG46" i="7" s="1"/>
  <c r="AL46" i="7" s="1"/>
  <c r="AQ46" i="7" s="1"/>
  <c r="AG45" i="7"/>
  <c r="J45" i="7"/>
  <c r="J49" i="7" s="1"/>
  <c r="I45" i="7"/>
  <c r="N45" i="7" s="1"/>
  <c r="S45" i="7" s="1"/>
  <c r="X45" i="7" s="1"/>
  <c r="AC45" i="7" s="1"/>
  <c r="AH45" i="7" s="1"/>
  <c r="AM45" i="7" s="1"/>
  <c r="H45" i="7"/>
  <c r="M45" i="7" s="1"/>
  <c r="R45" i="7" s="1"/>
  <c r="W45" i="7" s="1"/>
  <c r="AB44" i="7"/>
  <c r="AG44" i="7" s="1"/>
  <c r="AL44" i="7" s="1"/>
  <c r="AQ44" i="7" s="1"/>
  <c r="I44" i="7"/>
  <c r="N44" i="7" s="1"/>
  <c r="S44" i="7" s="1"/>
  <c r="X44" i="7" s="1"/>
  <c r="AC44" i="7" s="1"/>
  <c r="AH44" i="7" s="1"/>
  <c r="H44" i="7"/>
  <c r="M44" i="7" s="1"/>
  <c r="R44" i="7" s="1"/>
  <c r="AL43" i="7"/>
  <c r="I43" i="7"/>
  <c r="N43" i="7" s="1"/>
  <c r="S43" i="7" s="1"/>
  <c r="X43" i="7" s="1"/>
  <c r="AC43" i="7" s="1"/>
  <c r="AH43" i="7" s="1"/>
  <c r="H43" i="7"/>
  <c r="M43" i="7" s="1"/>
  <c r="R43" i="7" s="1"/>
  <c r="W43" i="7" s="1"/>
  <c r="AB43" i="7" s="1"/>
  <c r="AI39" i="7"/>
  <c r="AI49" i="7" s="1"/>
  <c r="I39" i="7"/>
  <c r="N39" i="7" s="1"/>
  <c r="H39" i="7"/>
  <c r="H27" i="7"/>
  <c r="H34" i="7" s="1"/>
  <c r="BB22" i="7"/>
  <c r="AX11" i="7"/>
  <c r="AX18" i="7" s="1"/>
  <c r="BJ18" i="7"/>
  <c r="BI18" i="7"/>
  <c r="BH18" i="7"/>
  <c r="BE18" i="7"/>
  <c r="BD18" i="7"/>
  <c r="BC18" i="7"/>
  <c r="AZ18" i="7"/>
  <c r="AU18" i="7"/>
  <c r="AT18" i="7"/>
  <c r="AS18" i="7"/>
  <c r="AP18" i="7"/>
  <c r="AO18" i="7"/>
  <c r="AN18" i="7"/>
  <c r="AK18" i="7"/>
  <c r="AJ18" i="7"/>
  <c r="AF18" i="7"/>
  <c r="AE18" i="7"/>
  <c r="AD18" i="7"/>
  <c r="AA18" i="7"/>
  <c r="Z18" i="7"/>
  <c r="Y18" i="7"/>
  <c r="V18" i="7"/>
  <c r="U18" i="7"/>
  <c r="T18" i="7"/>
  <c r="Q18" i="7"/>
  <c r="P18" i="7"/>
  <c r="O18" i="7"/>
  <c r="L18" i="7"/>
  <c r="K18" i="7"/>
  <c r="G18" i="7"/>
  <c r="F18" i="7"/>
  <c r="E18" i="7"/>
  <c r="I17" i="7"/>
  <c r="N17" i="7" s="1"/>
  <c r="S17" i="7" s="1"/>
  <c r="X17" i="7" s="1"/>
  <c r="AC17" i="7" s="1"/>
  <c r="AH17" i="7" s="1"/>
  <c r="AM17" i="7" s="1"/>
  <c r="H17" i="7"/>
  <c r="M17" i="7" s="1"/>
  <c r="R17" i="7" s="1"/>
  <c r="W17" i="7" s="1"/>
  <c r="AB17" i="7" s="1"/>
  <c r="AG17" i="7" s="1"/>
  <c r="AL17" i="7" s="1"/>
  <c r="AQ17" i="7" s="1"/>
  <c r="AV17" i="7" s="1"/>
  <c r="BA17" i="7" s="1"/>
  <c r="BF17" i="7" s="1"/>
  <c r="I16" i="7"/>
  <c r="N16" i="7" s="1"/>
  <c r="S16" i="7" s="1"/>
  <c r="X16" i="7" s="1"/>
  <c r="AC16" i="7" s="1"/>
  <c r="AH16" i="7" s="1"/>
  <c r="AM16" i="7" s="1"/>
  <c r="AR16" i="7" s="1"/>
  <c r="AW16" i="7" s="1"/>
  <c r="BB16" i="7" s="1"/>
  <c r="BG16" i="7" s="1"/>
  <c r="H16" i="7"/>
  <c r="M16" i="7" s="1"/>
  <c r="R16" i="7" s="1"/>
  <c r="W16" i="7" s="1"/>
  <c r="AB16" i="7" s="1"/>
  <c r="AG16" i="7" s="1"/>
  <c r="AL16" i="7" s="1"/>
  <c r="AQ16" i="7" s="1"/>
  <c r="AV16" i="7" s="1"/>
  <c r="BA16" i="7" s="1"/>
  <c r="BF16" i="7" s="1"/>
  <c r="I15" i="7"/>
  <c r="N15" i="7" s="1"/>
  <c r="S15" i="7" s="1"/>
  <c r="X15" i="7" s="1"/>
  <c r="AC15" i="7" s="1"/>
  <c r="AH15" i="7" s="1"/>
  <c r="AM15" i="7" s="1"/>
  <c r="AR15" i="7" s="1"/>
  <c r="AW15" i="7" s="1"/>
  <c r="BB15" i="7" s="1"/>
  <c r="BG15" i="7" s="1"/>
  <c r="H15" i="7"/>
  <c r="M15" i="7" s="1"/>
  <c r="R15" i="7" s="1"/>
  <c r="W15" i="7" s="1"/>
  <c r="AB15" i="7" s="1"/>
  <c r="AG15" i="7" s="1"/>
  <c r="AL15" i="7" s="1"/>
  <c r="AQ15" i="7" s="1"/>
  <c r="AV15" i="7" s="1"/>
  <c r="BA15" i="7" s="1"/>
  <c r="BF15" i="7" s="1"/>
  <c r="AV14" i="7"/>
  <c r="BA14" i="7" s="1"/>
  <c r="BF14" i="7" s="1"/>
  <c r="AG14" i="7"/>
  <c r="J14" i="7"/>
  <c r="J18" i="7" s="1"/>
  <c r="I14" i="7"/>
  <c r="H14" i="7"/>
  <c r="M14" i="7" s="1"/>
  <c r="R14" i="7" s="1"/>
  <c r="W14" i="7" s="1"/>
  <c r="AR13" i="7"/>
  <c r="AW13" i="7" s="1"/>
  <c r="BB13" i="7" s="1"/>
  <c r="BG13" i="7" s="1"/>
  <c r="AB13" i="7"/>
  <c r="AG13" i="7" s="1"/>
  <c r="AL13" i="7" s="1"/>
  <c r="AQ13" i="7" s="1"/>
  <c r="AV13" i="7" s="1"/>
  <c r="BA13" i="7" s="1"/>
  <c r="BF13" i="7" s="1"/>
  <c r="I13" i="7"/>
  <c r="H13" i="7"/>
  <c r="M13" i="7" s="1"/>
  <c r="R13" i="7" s="1"/>
  <c r="AV12" i="7"/>
  <c r="BA12" i="7" s="1"/>
  <c r="BF12" i="7" s="1"/>
  <c r="AL12" i="7"/>
  <c r="I12" i="7"/>
  <c r="N12" i="7" s="1"/>
  <c r="S12" i="7" s="1"/>
  <c r="X12" i="7" s="1"/>
  <c r="AC12" i="7" s="1"/>
  <c r="AH12" i="7" s="1"/>
  <c r="AR12" i="7" s="1"/>
  <c r="AW12" i="7" s="1"/>
  <c r="BB12" i="7" s="1"/>
  <c r="BG12" i="7" s="1"/>
  <c r="H12" i="7"/>
  <c r="M12" i="7" s="1"/>
  <c r="R12" i="7" s="1"/>
  <c r="W12" i="7" s="1"/>
  <c r="AB12" i="7" s="1"/>
  <c r="AI11" i="7"/>
  <c r="AI32" i="7" s="1"/>
  <c r="I11" i="7"/>
  <c r="H11" i="7"/>
  <c r="M11" i="7" s="1"/>
  <c r="BJ27" i="7"/>
  <c r="BJ34" i="7" s="1"/>
  <c r="BI27" i="7"/>
  <c r="BH27" i="7"/>
  <c r="BJ8" i="7"/>
  <c r="BJ35" i="7" s="1"/>
  <c r="BI8" i="7"/>
  <c r="BI35" i="7" s="1"/>
  <c r="BH8" i="7"/>
  <c r="BH35" i="7" s="1"/>
  <c r="BE27" i="7"/>
  <c r="BE34" i="7" s="1"/>
  <c r="BD27" i="7"/>
  <c r="BD34" i="7" s="1"/>
  <c r="BC27" i="7"/>
  <c r="BC34" i="7" s="1"/>
  <c r="BE8" i="7"/>
  <c r="BE35" i="7" s="1"/>
  <c r="BD8" i="7"/>
  <c r="BD35" i="7" s="1"/>
  <c r="BC8" i="7"/>
  <c r="BC35" i="7" s="1"/>
  <c r="AN6" i="7"/>
  <c r="AN8" i="7" s="1"/>
  <c r="AN35" i="7" s="1"/>
  <c r="AK8" i="7"/>
  <c r="AK35" i="7" s="1"/>
  <c r="AY31" i="7"/>
  <c r="AZ27" i="7"/>
  <c r="AZ34" i="7" s="1"/>
  <c r="AY27" i="7"/>
  <c r="AY34" i="7" s="1"/>
  <c r="AX27" i="7"/>
  <c r="AX34" i="7" s="1"/>
  <c r="AZ8" i="7"/>
  <c r="AZ35" i="7" s="1"/>
  <c r="AX8" i="7"/>
  <c r="AX28" i="7" s="1"/>
  <c r="AU27" i="7"/>
  <c r="AU34" i="7" s="1"/>
  <c r="AT27" i="7"/>
  <c r="AT34" i="7" s="1"/>
  <c r="AS27" i="7"/>
  <c r="AS34" i="7" s="1"/>
  <c r="AU8" i="7"/>
  <c r="AT8" i="7"/>
  <c r="AT35" i="7" s="1"/>
  <c r="AS8" i="7"/>
  <c r="AS35" i="7" s="1"/>
  <c r="AP27" i="7"/>
  <c r="AP34" i="7" s="1"/>
  <c r="AO27" i="7"/>
  <c r="AO34" i="7" s="1"/>
  <c r="AN27" i="7"/>
  <c r="AN34" i="7" s="1"/>
  <c r="AP8" i="7"/>
  <c r="AP35" i="7" s="1"/>
  <c r="AO8" i="7"/>
  <c r="AO35" i="7" s="1"/>
  <c r="Y5" i="7"/>
  <c r="T9" i="7"/>
  <c r="T31" i="7" s="1"/>
  <c r="BQ31" i="7" l="1"/>
  <c r="BV9" i="7"/>
  <c r="BV31" i="7" s="1"/>
  <c r="BV13" i="7"/>
  <c r="BQ32" i="7"/>
  <c r="BV11" i="7"/>
  <c r="BP33" i="7"/>
  <c r="BU13" i="7"/>
  <c r="BP31" i="7"/>
  <c r="BU9" i="7"/>
  <c r="BU31" i="7" s="1"/>
  <c r="BF33" i="7"/>
  <c r="M33" i="7"/>
  <c r="I32" i="7"/>
  <c r="J33" i="7"/>
  <c r="AI18" i="7"/>
  <c r="R33" i="7"/>
  <c r="I33" i="7"/>
  <c r="AL33" i="7"/>
  <c r="AU28" i="7"/>
  <c r="N14" i="7"/>
  <c r="S14" i="7" s="1"/>
  <c r="X14" i="7" s="1"/>
  <c r="AC14" i="7" s="1"/>
  <c r="AH14" i="7" s="1"/>
  <c r="AM14" i="7" s="1"/>
  <c r="AR14" i="7" s="1"/>
  <c r="AW14" i="7" s="1"/>
  <c r="BG14" i="7" s="1"/>
  <c r="BL14" i="7" s="1"/>
  <c r="AR17" i="7"/>
  <c r="AW17" i="7" s="1"/>
  <c r="AM33" i="7"/>
  <c r="AB33" i="7"/>
  <c r="N13" i="7"/>
  <c r="H33" i="7"/>
  <c r="M32" i="7"/>
  <c r="AQ33" i="7"/>
  <c r="AG33" i="7"/>
  <c r="AU35" i="7"/>
  <c r="AU36" i="7" s="1"/>
  <c r="H49" i="7"/>
  <c r="H32" i="7"/>
  <c r="BA33" i="7"/>
  <c r="W33" i="7"/>
  <c r="AV33" i="7"/>
  <c r="AX35" i="7"/>
  <c r="AX36" i="7" s="1"/>
  <c r="AW49" i="7"/>
  <c r="BF49" i="7"/>
  <c r="BA49" i="7"/>
  <c r="N49" i="7"/>
  <c r="S39" i="7"/>
  <c r="M39" i="7"/>
  <c r="I49" i="7"/>
  <c r="BH28" i="7"/>
  <c r="AT28" i="7"/>
  <c r="I18" i="7"/>
  <c r="BC36" i="7"/>
  <c r="AZ28" i="7"/>
  <c r="M18" i="7"/>
  <c r="R11" i="7"/>
  <c r="R32" i="7" s="1"/>
  <c r="BD36" i="7"/>
  <c r="BD28" i="7"/>
  <c r="BJ36" i="7"/>
  <c r="N11" i="7"/>
  <c r="N32" i="7" s="1"/>
  <c r="BI28" i="7"/>
  <c r="H18" i="7"/>
  <c r="BJ28" i="7"/>
  <c r="AY28" i="7"/>
  <c r="BC28" i="7"/>
  <c r="BI36" i="7"/>
  <c r="AT36" i="7"/>
  <c r="BE28" i="7"/>
  <c r="BH36" i="7"/>
  <c r="BE36" i="7"/>
  <c r="AS28" i="7"/>
  <c r="AS36" i="7"/>
  <c r="AZ36" i="7"/>
  <c r="AY35" i="7"/>
  <c r="AY36" i="7" s="1"/>
  <c r="AN36" i="7"/>
  <c r="AN28" i="7"/>
  <c r="AO36" i="7"/>
  <c r="AO28" i="7"/>
  <c r="AP36" i="7"/>
  <c r="AP28" i="7"/>
  <c r="O5" i="7"/>
  <c r="O8" i="7" s="1"/>
  <c r="O35" i="7" s="1"/>
  <c r="J5" i="7"/>
  <c r="J8" i="7" s="1"/>
  <c r="J35" i="7" s="1"/>
  <c r="L8" i="7"/>
  <c r="L35" i="7" s="1"/>
  <c r="L27" i="7"/>
  <c r="L34" i="7" s="1"/>
  <c r="K27" i="7"/>
  <c r="K34" i="7" s="1"/>
  <c r="G27" i="7"/>
  <c r="G34" i="7" s="1"/>
  <c r="F27" i="7"/>
  <c r="F34" i="7" s="1"/>
  <c r="E27" i="7"/>
  <c r="E34" i="7" s="1"/>
  <c r="G8" i="7"/>
  <c r="G35" i="7" s="1"/>
  <c r="AK27" i="7"/>
  <c r="AK34" i="7" s="1"/>
  <c r="AJ27" i="7"/>
  <c r="AJ34" i="7" s="1"/>
  <c r="AI27" i="7"/>
  <c r="AI34" i="7" s="1"/>
  <c r="AF27" i="7"/>
  <c r="AF34" i="7" s="1"/>
  <c r="AE27" i="7"/>
  <c r="AE34" i="7" s="1"/>
  <c r="AD27" i="7"/>
  <c r="AD34" i="7" s="1"/>
  <c r="AA27" i="7"/>
  <c r="AA34" i="7" s="1"/>
  <c r="Z27" i="7"/>
  <c r="Z34" i="7" s="1"/>
  <c r="Y27" i="7"/>
  <c r="Y34" i="7" s="1"/>
  <c r="V27" i="7"/>
  <c r="V34" i="7" s="1"/>
  <c r="U27" i="7"/>
  <c r="U34" i="7" s="1"/>
  <c r="T27" i="7"/>
  <c r="T34" i="7" s="1"/>
  <c r="Q27" i="7"/>
  <c r="Q34" i="7" s="1"/>
  <c r="P27" i="7"/>
  <c r="P34" i="7" s="1"/>
  <c r="O27" i="7"/>
  <c r="O34" i="7" s="1"/>
  <c r="AW26" i="7"/>
  <c r="AW24" i="7"/>
  <c r="AV23" i="7"/>
  <c r="BA23" i="7" s="1"/>
  <c r="BF23" i="7" s="1"/>
  <c r="AJ8" i="7"/>
  <c r="AJ35" i="7" s="1"/>
  <c r="AI8" i="7"/>
  <c r="AI35" i="7" s="1"/>
  <c r="AF8" i="7"/>
  <c r="AF35" i="7" s="1"/>
  <c r="AE8" i="7"/>
  <c r="AE35" i="7" s="1"/>
  <c r="AD8" i="7"/>
  <c r="AD35" i="7" s="1"/>
  <c r="AA8" i="7"/>
  <c r="AA35" i="7" s="1"/>
  <c r="Z8" i="7"/>
  <c r="Z35" i="7" s="1"/>
  <c r="Y8" i="7"/>
  <c r="Y35" i="7" s="1"/>
  <c r="V8" i="7"/>
  <c r="V35" i="7" s="1"/>
  <c r="U8" i="7"/>
  <c r="U35" i="7" s="1"/>
  <c r="T8" i="7"/>
  <c r="T35" i="7" s="1"/>
  <c r="Q8" i="7"/>
  <c r="Q35" i="7" s="1"/>
  <c r="P8" i="7"/>
  <c r="P35" i="7" s="1"/>
  <c r="K8" i="7"/>
  <c r="K35" i="7" s="1"/>
  <c r="F8" i="7"/>
  <c r="F35" i="7" s="1"/>
  <c r="E8" i="7"/>
  <c r="E35" i="7" s="1"/>
  <c r="I7" i="7"/>
  <c r="H7" i="7"/>
  <c r="H6" i="7"/>
  <c r="M6" i="7" s="1"/>
  <c r="R6" i="7" s="1"/>
  <c r="W6" i="7" s="1"/>
  <c r="I6" i="7"/>
  <c r="N6" i="7" s="1"/>
  <c r="S6" i="7" s="1"/>
  <c r="X6" i="7" s="1"/>
  <c r="AH6" i="7" s="1"/>
  <c r="I5" i="7"/>
  <c r="FU33" i="6"/>
  <c r="FT33" i="6"/>
  <c r="FS33" i="6"/>
  <c r="FR33" i="6"/>
  <c r="FU32" i="6"/>
  <c r="FT32" i="6"/>
  <c r="FS32" i="6"/>
  <c r="FQ32" i="6"/>
  <c r="FU30" i="6"/>
  <c r="FT30" i="6"/>
  <c r="FS30" i="6"/>
  <c r="FU26" i="6"/>
  <c r="FT26" i="6"/>
  <c r="FS26" i="6"/>
  <c r="FR25" i="6"/>
  <c r="FQ25" i="6"/>
  <c r="FR24" i="6"/>
  <c r="FQ24" i="6"/>
  <c r="FR23" i="6"/>
  <c r="FR32" i="6" s="1"/>
  <c r="FQ23" i="6"/>
  <c r="FR22" i="6"/>
  <c r="FQ22" i="6"/>
  <c r="FR21" i="6"/>
  <c r="FQ21" i="6"/>
  <c r="FQ33" i="6" s="1"/>
  <c r="FR20" i="6"/>
  <c r="FQ20" i="6"/>
  <c r="FR19" i="6"/>
  <c r="FR26" i="6" s="1"/>
  <c r="FQ19" i="6"/>
  <c r="FQ26" i="6" s="1"/>
  <c r="FR17" i="6"/>
  <c r="FR30" i="6" s="1"/>
  <c r="FQ17" i="6"/>
  <c r="FQ30" i="6" s="1"/>
  <c r="FU16" i="6"/>
  <c r="FU34" i="6" s="1"/>
  <c r="FT16" i="6"/>
  <c r="FT34" i="6" s="1"/>
  <c r="FS16" i="6"/>
  <c r="FS34" i="6" s="1"/>
  <c r="FQ16" i="6"/>
  <c r="FQ34" i="6" s="1"/>
  <c r="FR15" i="6"/>
  <c r="FR16" i="6" s="1"/>
  <c r="FR34" i="6" s="1"/>
  <c r="FQ15" i="6"/>
  <c r="FR14" i="6"/>
  <c r="FQ14" i="6"/>
  <c r="FR13" i="6"/>
  <c r="FQ13" i="6"/>
  <c r="FR12" i="6"/>
  <c r="FQ12" i="6"/>
  <c r="FU11" i="6"/>
  <c r="FU27" i="6" s="1"/>
  <c r="FT11" i="6"/>
  <c r="FT27" i="6" s="1"/>
  <c r="FS11" i="6"/>
  <c r="FS27" i="6" s="1"/>
  <c r="FR10" i="6"/>
  <c r="FQ10" i="6"/>
  <c r="FR9" i="6"/>
  <c r="FQ9" i="6"/>
  <c r="FR8" i="6"/>
  <c r="FQ8" i="6"/>
  <c r="FR7" i="6"/>
  <c r="FQ7" i="6"/>
  <c r="FR6" i="6"/>
  <c r="FQ6" i="6"/>
  <c r="FR5" i="6"/>
  <c r="FR11" i="6" s="1"/>
  <c r="FQ5" i="6"/>
  <c r="FQ11" i="6" s="1"/>
  <c r="FR4" i="6"/>
  <c r="FQ4" i="6"/>
  <c r="FP33" i="6"/>
  <c r="FO33" i="6"/>
  <c r="FN33" i="6"/>
  <c r="FP32" i="6"/>
  <c r="FO32" i="6"/>
  <c r="FN32" i="6"/>
  <c r="FP30" i="6"/>
  <c r="FO30" i="6"/>
  <c r="FN30" i="6"/>
  <c r="FP26" i="6"/>
  <c r="FO26" i="6"/>
  <c r="FN26" i="6"/>
  <c r="FM25" i="6"/>
  <c r="FL25" i="6"/>
  <c r="FM24" i="6"/>
  <c r="FL24" i="6"/>
  <c r="FM23" i="6"/>
  <c r="FM32" i="6" s="1"/>
  <c r="FL23" i="6"/>
  <c r="FL32" i="6" s="1"/>
  <c r="FM22" i="6"/>
  <c r="FL22" i="6"/>
  <c r="FL33" i="6" s="1"/>
  <c r="FM21" i="6"/>
  <c r="FM33" i="6" s="1"/>
  <c r="FL21" i="6"/>
  <c r="FM20" i="6"/>
  <c r="FL20" i="6"/>
  <c r="FM19" i="6"/>
  <c r="FM26" i="6" s="1"/>
  <c r="FL19" i="6"/>
  <c r="FL26" i="6" s="1"/>
  <c r="FM17" i="6"/>
  <c r="FM30" i="6" s="1"/>
  <c r="FL17" i="6"/>
  <c r="FL30" i="6" s="1"/>
  <c r="FP16" i="6"/>
  <c r="FP34" i="6" s="1"/>
  <c r="FO16" i="6"/>
  <c r="FO34" i="6" s="1"/>
  <c r="FN16" i="6"/>
  <c r="FN34" i="6" s="1"/>
  <c r="FM16" i="6"/>
  <c r="FM34" i="6" s="1"/>
  <c r="FL16" i="6"/>
  <c r="FL34" i="6" s="1"/>
  <c r="FM15" i="6"/>
  <c r="FL15" i="6"/>
  <c r="FM14" i="6"/>
  <c r="FL14" i="6"/>
  <c r="FM13" i="6"/>
  <c r="FL13" i="6"/>
  <c r="FM12" i="6"/>
  <c r="FL12" i="6"/>
  <c r="FP11" i="6"/>
  <c r="FP27" i="6" s="1"/>
  <c r="FO11" i="6"/>
  <c r="FO27" i="6" s="1"/>
  <c r="FN11" i="6"/>
  <c r="FN27" i="6" s="1"/>
  <c r="FM10" i="6"/>
  <c r="FL10" i="6"/>
  <c r="FM9" i="6"/>
  <c r="FL9" i="6"/>
  <c r="FM8" i="6"/>
  <c r="FL8" i="6"/>
  <c r="FM7" i="6"/>
  <c r="FL7" i="6"/>
  <c r="FM6" i="6"/>
  <c r="FL6" i="6"/>
  <c r="FM5" i="6"/>
  <c r="FM11" i="6" s="1"/>
  <c r="FL5" i="6"/>
  <c r="FM4" i="6"/>
  <c r="FL4" i="6"/>
  <c r="FL11" i="6" s="1"/>
  <c r="FK34" i="6"/>
  <c r="FJ34" i="6"/>
  <c r="FI34" i="6"/>
  <c r="FK33" i="6"/>
  <c r="FJ33" i="6"/>
  <c r="FI33" i="6"/>
  <c r="FK32" i="6"/>
  <c r="FJ32" i="6"/>
  <c r="FI32" i="6"/>
  <c r="FH32" i="6"/>
  <c r="FG32" i="6"/>
  <c r="FI31" i="6"/>
  <c r="FK30" i="6"/>
  <c r="FK35" i="6" s="1"/>
  <c r="FJ30" i="6"/>
  <c r="FI30" i="6"/>
  <c r="FI35" i="6" s="1"/>
  <c r="FK27" i="6"/>
  <c r="FJ27" i="6"/>
  <c r="FK26" i="6"/>
  <c r="FJ26" i="6"/>
  <c r="FI26" i="6"/>
  <c r="FH25" i="6"/>
  <c r="FG25" i="6"/>
  <c r="FH24" i="6"/>
  <c r="FH33" i="6" s="1"/>
  <c r="FG24" i="6"/>
  <c r="FH23" i="6"/>
  <c r="FG23" i="6"/>
  <c r="FH22" i="6"/>
  <c r="FG22" i="6"/>
  <c r="FH21" i="6"/>
  <c r="FG21" i="6"/>
  <c r="FG33" i="6" s="1"/>
  <c r="FH20" i="6"/>
  <c r="FG20" i="6"/>
  <c r="FH19" i="6"/>
  <c r="FH26" i="6" s="1"/>
  <c r="FG19" i="6"/>
  <c r="FG26" i="6" s="1"/>
  <c r="FH17" i="6"/>
  <c r="FH30" i="6" s="1"/>
  <c r="FG17" i="6"/>
  <c r="FG30" i="6" s="1"/>
  <c r="FK16" i="6"/>
  <c r="FJ16" i="6"/>
  <c r="FI16" i="6"/>
  <c r="FH15" i="6"/>
  <c r="FG15" i="6"/>
  <c r="FH14" i="6"/>
  <c r="FG14" i="6"/>
  <c r="FH13" i="6"/>
  <c r="FG13" i="6"/>
  <c r="FG16" i="6" s="1"/>
  <c r="FG34" i="6" s="1"/>
  <c r="FH12" i="6"/>
  <c r="FH16" i="6" s="1"/>
  <c r="FH34" i="6" s="1"/>
  <c r="FG12" i="6"/>
  <c r="FK11" i="6"/>
  <c r="FK31" i="6" s="1"/>
  <c r="FJ11" i="6"/>
  <c r="FJ31" i="6" s="1"/>
  <c r="FJ35" i="6" s="1"/>
  <c r="FI11" i="6"/>
  <c r="FI27" i="6" s="1"/>
  <c r="FH10" i="6"/>
  <c r="FG10" i="6"/>
  <c r="FH9" i="6"/>
  <c r="FG9" i="6"/>
  <c r="FH8" i="6"/>
  <c r="FG8" i="6"/>
  <c r="FH7" i="6"/>
  <c r="FG7" i="6"/>
  <c r="FH6" i="6"/>
  <c r="FG6" i="6"/>
  <c r="FH5" i="6"/>
  <c r="FH11" i="6" s="1"/>
  <c r="FG5" i="6"/>
  <c r="FG11" i="6" s="1"/>
  <c r="FH4" i="6"/>
  <c r="FG4" i="6"/>
  <c r="FF33" i="6"/>
  <c r="FE33" i="6"/>
  <c r="FD33" i="6"/>
  <c r="FF32" i="6"/>
  <c r="FE32" i="6"/>
  <c r="FD32" i="6"/>
  <c r="FF30" i="6"/>
  <c r="FF35" i="6" s="1"/>
  <c r="FE30" i="6"/>
  <c r="FD30" i="6"/>
  <c r="FF26" i="6"/>
  <c r="FE26" i="6"/>
  <c r="FD26" i="6"/>
  <c r="FC25" i="6"/>
  <c r="FB25" i="6"/>
  <c r="FC24" i="6"/>
  <c r="FB24" i="6"/>
  <c r="FC23" i="6"/>
  <c r="FC32" i="6" s="1"/>
  <c r="FB23" i="6"/>
  <c r="FB32" i="6" s="1"/>
  <c r="FC22" i="6"/>
  <c r="FB22" i="6"/>
  <c r="FB33" i="6" s="1"/>
  <c r="FC21" i="6"/>
  <c r="FC33" i="6" s="1"/>
  <c r="FB21" i="6"/>
  <c r="FC20" i="6"/>
  <c r="FB20" i="6"/>
  <c r="FC19" i="6"/>
  <c r="FC26" i="6" s="1"/>
  <c r="FB19" i="6"/>
  <c r="FB26" i="6" s="1"/>
  <c r="FC17" i="6"/>
  <c r="FC30" i="6" s="1"/>
  <c r="FB17" i="6"/>
  <c r="FB30" i="6" s="1"/>
  <c r="FF16" i="6"/>
  <c r="FF34" i="6" s="1"/>
  <c r="FE16" i="6"/>
  <c r="FE34" i="6" s="1"/>
  <c r="FD16" i="6"/>
  <c r="FD34" i="6" s="1"/>
  <c r="FC16" i="6"/>
  <c r="FC34" i="6" s="1"/>
  <c r="FC15" i="6"/>
  <c r="FB15" i="6"/>
  <c r="FC14" i="6"/>
  <c r="FB14" i="6"/>
  <c r="FC13" i="6"/>
  <c r="FB13" i="6"/>
  <c r="FC12" i="6"/>
  <c r="FB12" i="6"/>
  <c r="FB16" i="6" s="1"/>
  <c r="FB34" i="6" s="1"/>
  <c r="FF11" i="6"/>
  <c r="FF31" i="6" s="1"/>
  <c r="FE11" i="6"/>
  <c r="FE27" i="6" s="1"/>
  <c r="FD11" i="6"/>
  <c r="FD27" i="6" s="1"/>
  <c r="FC10" i="6"/>
  <c r="FB10" i="6"/>
  <c r="FC9" i="6"/>
  <c r="FB9" i="6"/>
  <c r="FC8" i="6"/>
  <c r="FB8" i="6"/>
  <c r="FC7" i="6"/>
  <c r="FB7" i="6"/>
  <c r="FC6" i="6"/>
  <c r="FB6" i="6"/>
  <c r="FC5" i="6"/>
  <c r="FB5" i="6"/>
  <c r="FC4" i="6"/>
  <c r="FC11" i="6" s="1"/>
  <c r="FB4" i="6"/>
  <c r="FB11" i="6" s="1"/>
  <c r="FA33" i="6"/>
  <c r="EZ33" i="6"/>
  <c r="EY33" i="6"/>
  <c r="FA32" i="6"/>
  <c r="EZ32" i="6"/>
  <c r="EY32" i="6"/>
  <c r="FA30" i="6"/>
  <c r="FA35" i="6" s="1"/>
  <c r="EZ30" i="6"/>
  <c r="EZ35" i="6" s="1"/>
  <c r="EY30" i="6"/>
  <c r="FA26" i="6"/>
  <c r="EZ26" i="6"/>
  <c r="EY26" i="6"/>
  <c r="EX25" i="6"/>
  <c r="EW25" i="6"/>
  <c r="EX24" i="6"/>
  <c r="EW24" i="6"/>
  <c r="EX23" i="6"/>
  <c r="EW23" i="6"/>
  <c r="EW32" i="6" s="1"/>
  <c r="EX22" i="6"/>
  <c r="EX33" i="6" s="1"/>
  <c r="EW22" i="6"/>
  <c r="EW33" i="6" s="1"/>
  <c r="EX21" i="6"/>
  <c r="EW21" i="6"/>
  <c r="EX20" i="6"/>
  <c r="EW20" i="6"/>
  <c r="EX19" i="6"/>
  <c r="EX26" i="6" s="1"/>
  <c r="EW19" i="6"/>
  <c r="EW26" i="6" s="1"/>
  <c r="EX17" i="6"/>
  <c r="EX30" i="6" s="1"/>
  <c r="EW17" i="6"/>
  <c r="EW30" i="6" s="1"/>
  <c r="FA16" i="6"/>
  <c r="FA34" i="6" s="1"/>
  <c r="EZ16" i="6"/>
  <c r="EZ34" i="6" s="1"/>
  <c r="EY16" i="6"/>
  <c r="EY34" i="6" s="1"/>
  <c r="EX16" i="6"/>
  <c r="EX34" i="6" s="1"/>
  <c r="EX15" i="6"/>
  <c r="EW15" i="6"/>
  <c r="EX14" i="6"/>
  <c r="EW14" i="6"/>
  <c r="EX13" i="6"/>
  <c r="EW13" i="6"/>
  <c r="EX12" i="6"/>
  <c r="EW12" i="6"/>
  <c r="EW16" i="6" s="1"/>
  <c r="EW34" i="6" s="1"/>
  <c r="FA11" i="6"/>
  <c r="FA31" i="6" s="1"/>
  <c r="EZ11" i="6"/>
  <c r="EZ31" i="6" s="1"/>
  <c r="EY11" i="6"/>
  <c r="EY27" i="6" s="1"/>
  <c r="EX10" i="6"/>
  <c r="EW10" i="6"/>
  <c r="EX9" i="6"/>
  <c r="EW9" i="6"/>
  <c r="EX8" i="6"/>
  <c r="EW8" i="6"/>
  <c r="EX7" i="6"/>
  <c r="EW7" i="6"/>
  <c r="EX6" i="6"/>
  <c r="EW6" i="6"/>
  <c r="EX5" i="6"/>
  <c r="EW5" i="6"/>
  <c r="EX4" i="6"/>
  <c r="EX11" i="6" s="1"/>
  <c r="EW4" i="6"/>
  <c r="EW11" i="6" s="1"/>
  <c r="EV33" i="6"/>
  <c r="EU33" i="6"/>
  <c r="ET33" i="6"/>
  <c r="EV32" i="6"/>
  <c r="EU32" i="6"/>
  <c r="ET32" i="6"/>
  <c r="EV30" i="6"/>
  <c r="EV35" i="6" s="1"/>
  <c r="EU30" i="6"/>
  <c r="ET30" i="6"/>
  <c r="EV26" i="6"/>
  <c r="EU26" i="6"/>
  <c r="ET26" i="6"/>
  <c r="ES25" i="6"/>
  <c r="ER25" i="6"/>
  <c r="ES24" i="6"/>
  <c r="ER24" i="6"/>
  <c r="ES23" i="6"/>
  <c r="ER23" i="6"/>
  <c r="ER32" i="6" s="1"/>
  <c r="ES22" i="6"/>
  <c r="ER22" i="6"/>
  <c r="ES21" i="6"/>
  <c r="ES33" i="6" s="1"/>
  <c r="ER21" i="6"/>
  <c r="ER33" i="6" s="1"/>
  <c r="ES20" i="6"/>
  <c r="ER20" i="6"/>
  <c r="ER26" i="6" s="1"/>
  <c r="ES19" i="6"/>
  <c r="ES26" i="6" s="1"/>
  <c r="ER19" i="6"/>
  <c r="ES17" i="6"/>
  <c r="ES30" i="6" s="1"/>
  <c r="ER17" i="6"/>
  <c r="ER30" i="6" s="1"/>
  <c r="EV16" i="6"/>
  <c r="EV34" i="6" s="1"/>
  <c r="EU16" i="6"/>
  <c r="EU34" i="6" s="1"/>
  <c r="ET16" i="6"/>
  <c r="ET34" i="6" s="1"/>
  <c r="ER16" i="6"/>
  <c r="ER34" i="6" s="1"/>
  <c r="ES15" i="6"/>
  <c r="ES16" i="6" s="1"/>
  <c r="ES34" i="6" s="1"/>
  <c r="ER15" i="6"/>
  <c r="ES14" i="6"/>
  <c r="ER14" i="6"/>
  <c r="ES13" i="6"/>
  <c r="ER13" i="6"/>
  <c r="ES12" i="6"/>
  <c r="ER12" i="6"/>
  <c r="EV11" i="6"/>
  <c r="EV31" i="6" s="1"/>
  <c r="EU11" i="6"/>
  <c r="EU27" i="6" s="1"/>
  <c r="ET11" i="6"/>
  <c r="ET27" i="6" s="1"/>
  <c r="ES10" i="6"/>
  <c r="ER10" i="6"/>
  <c r="ES9" i="6"/>
  <c r="ER9" i="6"/>
  <c r="ES8" i="6"/>
  <c r="ER8" i="6"/>
  <c r="ES7" i="6"/>
  <c r="ER7" i="6"/>
  <c r="ES6" i="6"/>
  <c r="ER6" i="6"/>
  <c r="ES5" i="6"/>
  <c r="ES11" i="6" s="1"/>
  <c r="ER5" i="6"/>
  <c r="ER11" i="6" s="1"/>
  <c r="ES4" i="6"/>
  <c r="ER4" i="6"/>
  <c r="EJ16" i="6"/>
  <c r="BU33" i="7" l="1"/>
  <c r="BZ13" i="7"/>
  <c r="BQ14" i="7"/>
  <c r="BL33" i="7"/>
  <c r="BL18" i="7"/>
  <c r="BV32" i="7"/>
  <c r="AR33" i="7"/>
  <c r="S13" i="7"/>
  <c r="N33" i="7"/>
  <c r="BB17" i="7"/>
  <c r="AW33" i="7"/>
  <c r="N5" i="7"/>
  <c r="S5" i="7" s="1"/>
  <c r="X5" i="7" s="1"/>
  <c r="AH5" i="7" s="1"/>
  <c r="AM5" i="7" s="1"/>
  <c r="AR5" i="7" s="1"/>
  <c r="BG49" i="7"/>
  <c r="BB49" i="7"/>
  <c r="R39" i="7"/>
  <c r="M49" i="7"/>
  <c r="S49" i="7"/>
  <c r="X39" i="7"/>
  <c r="E28" i="7"/>
  <c r="BB24" i="7"/>
  <c r="BG24" i="7" s="1"/>
  <c r="F28" i="7"/>
  <c r="BB26" i="7"/>
  <c r="BG26" i="7" s="1"/>
  <c r="M7" i="7"/>
  <c r="N7" i="7"/>
  <c r="N18" i="7"/>
  <c r="S11" i="7"/>
  <c r="S32" i="7" s="1"/>
  <c r="R18" i="7"/>
  <c r="W11" i="7"/>
  <c r="W32" i="7" s="1"/>
  <c r="AW23" i="7"/>
  <c r="AV24" i="7"/>
  <c r="BA24" i="7" s="1"/>
  <c r="BF24" i="7" s="1"/>
  <c r="G28" i="7"/>
  <c r="AB6" i="7"/>
  <c r="AG6" i="7" s="1"/>
  <c r="AL6" i="7" s="1"/>
  <c r="AQ6" i="7" s="1"/>
  <c r="AV25" i="7"/>
  <c r="BA25" i="7" s="1"/>
  <c r="BF25" i="7" s="1"/>
  <c r="AV26" i="7"/>
  <c r="BA26" i="7" s="1"/>
  <c r="BF26" i="7" s="1"/>
  <c r="AR6" i="7"/>
  <c r="Z28" i="7"/>
  <c r="T28" i="7"/>
  <c r="AW25" i="7"/>
  <c r="BB25" i="7" s="1"/>
  <c r="J27" i="7"/>
  <c r="AW21" i="7"/>
  <c r="U28" i="7"/>
  <c r="V28" i="7"/>
  <c r="P28" i="7"/>
  <c r="O28" i="7"/>
  <c r="Q28" i="7"/>
  <c r="AA28" i="7"/>
  <c r="AD28" i="7"/>
  <c r="AE28" i="7"/>
  <c r="AF28" i="7"/>
  <c r="K28" i="7"/>
  <c r="AI28" i="7"/>
  <c r="L28" i="7"/>
  <c r="AJ28" i="7"/>
  <c r="Y28" i="7"/>
  <c r="AK28" i="7"/>
  <c r="Q36" i="7"/>
  <c r="F36" i="7"/>
  <c r="L36" i="7"/>
  <c r="K36" i="7"/>
  <c r="Z36" i="7"/>
  <c r="T36" i="7"/>
  <c r="U36" i="7"/>
  <c r="Y36" i="7"/>
  <c r="P36" i="7"/>
  <c r="O36" i="7"/>
  <c r="AF36" i="7"/>
  <c r="AJ36" i="7"/>
  <c r="G36" i="7"/>
  <c r="E36" i="7"/>
  <c r="AA36" i="7"/>
  <c r="AD36" i="7"/>
  <c r="AE36" i="7"/>
  <c r="AK36" i="7"/>
  <c r="AI36" i="7"/>
  <c r="V36" i="7"/>
  <c r="FQ27" i="6"/>
  <c r="FQ31" i="6"/>
  <c r="FR27" i="6"/>
  <c r="FR31" i="6"/>
  <c r="FQ35" i="6"/>
  <c r="FR35" i="6"/>
  <c r="FS31" i="6"/>
  <c r="FS35" i="6" s="1"/>
  <c r="FT31" i="6"/>
  <c r="FT35" i="6" s="1"/>
  <c r="FU31" i="6"/>
  <c r="FU35" i="6" s="1"/>
  <c r="FL31" i="6"/>
  <c r="FL27" i="6"/>
  <c r="FM27" i="6"/>
  <c r="FM31" i="6"/>
  <c r="FL35" i="6"/>
  <c r="FM35" i="6"/>
  <c r="FN31" i="6"/>
  <c r="FN35" i="6" s="1"/>
  <c r="FO31" i="6"/>
  <c r="FO35" i="6" s="1"/>
  <c r="FP31" i="6"/>
  <c r="FP35" i="6" s="1"/>
  <c r="FH27" i="6"/>
  <c r="FH31" i="6"/>
  <c r="FH35" i="6"/>
  <c r="FG27" i="6"/>
  <c r="FG31" i="6"/>
  <c r="FG35" i="6" s="1"/>
  <c r="FB31" i="6"/>
  <c r="FB27" i="6"/>
  <c r="FC27" i="6"/>
  <c r="FC31" i="6"/>
  <c r="FC35" i="6"/>
  <c r="FB35" i="6"/>
  <c r="FD31" i="6"/>
  <c r="FD35" i="6" s="1"/>
  <c r="FF27" i="6"/>
  <c r="FE31" i="6"/>
  <c r="FE35" i="6" s="1"/>
  <c r="EW31" i="6"/>
  <c r="EW35" i="6" s="1"/>
  <c r="EW27" i="6"/>
  <c r="EX31" i="6"/>
  <c r="EX27" i="6"/>
  <c r="FA27" i="6"/>
  <c r="EX32" i="6"/>
  <c r="EX35" i="6" s="1"/>
  <c r="EY31" i="6"/>
  <c r="EY35" i="6" s="1"/>
  <c r="EZ27" i="6"/>
  <c r="ER31" i="6"/>
  <c r="ER27" i="6"/>
  <c r="ER35" i="6"/>
  <c r="ES27" i="6"/>
  <c r="ES31" i="6"/>
  <c r="ES35" i="6" s="1"/>
  <c r="EU31" i="6"/>
  <c r="EU35" i="6" s="1"/>
  <c r="EV27" i="6"/>
  <c r="ET31" i="6"/>
  <c r="ET35" i="6" s="1"/>
  <c r="ES32" i="6"/>
  <c r="EQ33" i="6"/>
  <c r="EP33" i="6"/>
  <c r="EO33" i="6"/>
  <c r="EQ32" i="6"/>
  <c r="EP32" i="6"/>
  <c r="EO32" i="6"/>
  <c r="EQ30" i="6"/>
  <c r="EP30" i="6"/>
  <c r="EP35" i="6" s="1"/>
  <c r="EO30" i="6"/>
  <c r="EQ26" i="6"/>
  <c r="EP26" i="6"/>
  <c r="EO26" i="6"/>
  <c r="EQ16" i="6"/>
  <c r="EQ34" i="6" s="1"/>
  <c r="EP16" i="6"/>
  <c r="EP34" i="6" s="1"/>
  <c r="EO16" i="6"/>
  <c r="EO34" i="6" s="1"/>
  <c r="EQ11" i="6"/>
  <c r="EQ31" i="6" s="1"/>
  <c r="EP11" i="6"/>
  <c r="EP31" i="6" s="1"/>
  <c r="EO11" i="6"/>
  <c r="EO31" i="6" s="1"/>
  <c r="BZ33" i="7" l="1"/>
  <c r="CE13" i="7"/>
  <c r="CE33" i="7" s="1"/>
  <c r="BV14" i="7"/>
  <c r="BQ18" i="7"/>
  <c r="BQ33" i="7"/>
  <c r="AW5" i="7"/>
  <c r="BB5" i="7" s="1"/>
  <c r="BG5" i="7" s="1"/>
  <c r="J28" i="7"/>
  <c r="J34" i="7"/>
  <c r="J36" i="7" s="1"/>
  <c r="AW6" i="7"/>
  <c r="BB6" i="7" s="1"/>
  <c r="BG6" i="7" s="1"/>
  <c r="BL6" i="7" s="1"/>
  <c r="AV6" i="7"/>
  <c r="BG17" i="7"/>
  <c r="BG33" i="7" s="1"/>
  <c r="X13" i="7"/>
  <c r="S33" i="7"/>
  <c r="X49" i="7"/>
  <c r="AC39" i="7"/>
  <c r="R49" i="7"/>
  <c r="W39" i="7"/>
  <c r="S7" i="7"/>
  <c r="BB23" i="7"/>
  <c r="BG23" i="7" s="1"/>
  <c r="R7" i="7"/>
  <c r="BB21" i="7"/>
  <c r="BG21" i="7" s="1"/>
  <c r="S18" i="7"/>
  <c r="X11" i="7"/>
  <c r="X32" i="7" s="1"/>
  <c r="W18" i="7"/>
  <c r="AB11" i="7"/>
  <c r="AB32" i="7" s="1"/>
  <c r="BG25" i="7"/>
  <c r="AV21" i="7"/>
  <c r="BA21" i="7" s="1"/>
  <c r="BF21" i="7" s="1"/>
  <c r="EO35" i="6"/>
  <c r="EQ35" i="6"/>
  <c r="EO27" i="6"/>
  <c r="EP27" i="6"/>
  <c r="EQ27" i="6"/>
  <c r="BV18" i="7" l="1"/>
  <c r="BV33" i="7"/>
  <c r="BL8" i="7"/>
  <c r="BL28" i="7" s="1"/>
  <c r="BQ6" i="7"/>
  <c r="AC13" i="7"/>
  <c r="X33" i="7"/>
  <c r="BF6" i="7"/>
  <c r="BK6" i="7" s="1"/>
  <c r="AC49" i="7"/>
  <c r="AH39" i="7"/>
  <c r="W49" i="7"/>
  <c r="AB39" i="7"/>
  <c r="X7" i="7"/>
  <c r="W7" i="7"/>
  <c r="AB18" i="7"/>
  <c r="AG11" i="7"/>
  <c r="AG32" i="7" s="1"/>
  <c r="AC11" i="7"/>
  <c r="AC32" i="7" s="1"/>
  <c r="X18" i="7"/>
  <c r="DZ14" i="6"/>
  <c r="DZ13" i="6"/>
  <c r="EL33" i="6"/>
  <c r="EK33" i="6"/>
  <c r="EJ33" i="6"/>
  <c r="EL32" i="6"/>
  <c r="EK32" i="6"/>
  <c r="EJ32" i="6"/>
  <c r="EL30" i="6"/>
  <c r="EK30" i="6"/>
  <c r="EJ30" i="6"/>
  <c r="EL26" i="6"/>
  <c r="EK26" i="6"/>
  <c r="EJ26" i="6"/>
  <c r="EL16" i="6"/>
  <c r="EL34" i="6" s="1"/>
  <c r="EK16" i="6"/>
  <c r="EK34" i="6" s="1"/>
  <c r="EJ34" i="6"/>
  <c r="EL11" i="6"/>
  <c r="EK11" i="6"/>
  <c r="EJ11" i="6"/>
  <c r="BP6" i="7" l="1"/>
  <c r="BK8" i="7"/>
  <c r="BL35" i="7"/>
  <c r="BL36" i="7" s="1"/>
  <c r="BV6" i="7"/>
  <c r="BV8" i="7" s="1"/>
  <c r="BQ8" i="7"/>
  <c r="AH13" i="7"/>
  <c r="AH33" i="7" s="1"/>
  <c r="AC33" i="7"/>
  <c r="AB49" i="7"/>
  <c r="AG39" i="7"/>
  <c r="AH49" i="7"/>
  <c r="AM39" i="7"/>
  <c r="AB7" i="7"/>
  <c r="AC7" i="7"/>
  <c r="AC18" i="7"/>
  <c r="AH11" i="7"/>
  <c r="AH32" i="7" s="1"/>
  <c r="AL11" i="7"/>
  <c r="AL32" i="7" s="1"/>
  <c r="AG18" i="7"/>
  <c r="H4" i="7"/>
  <c r="EJ27" i="6"/>
  <c r="EK27" i="6"/>
  <c r="EL27" i="6"/>
  <c r="EJ31" i="6"/>
  <c r="EJ35" i="6" s="1"/>
  <c r="EL31" i="6"/>
  <c r="EL35" i="6" s="1"/>
  <c r="EK31" i="6"/>
  <c r="EK35" i="6" s="1"/>
  <c r="BK35" i="7" l="1"/>
  <c r="BK28" i="7"/>
  <c r="BU6" i="7"/>
  <c r="BU8" i="7" s="1"/>
  <c r="BP8" i="7"/>
  <c r="BQ35" i="7"/>
  <c r="BQ36" i="7" s="1"/>
  <c r="BQ28" i="7"/>
  <c r="BV35" i="7"/>
  <c r="BV36" i="7" s="1"/>
  <c r="BV28" i="7"/>
  <c r="AG49" i="7"/>
  <c r="AL39" i="7"/>
  <c r="AR49" i="7"/>
  <c r="AM49" i="7"/>
  <c r="AG7" i="7"/>
  <c r="AH7" i="7"/>
  <c r="AL18" i="7"/>
  <c r="AQ11" i="7"/>
  <c r="AQ32" i="7" s="1"/>
  <c r="AM11" i="7"/>
  <c r="AM32" i="7" s="1"/>
  <c r="AH18" i="7"/>
  <c r="M4" i="7"/>
  <c r="DR16" i="6"/>
  <c r="BP28" i="7" l="1"/>
  <c r="BP35" i="7"/>
  <c r="BU35" i="7"/>
  <c r="BU28" i="7"/>
  <c r="AQ49" i="7"/>
  <c r="AL49" i="7"/>
  <c r="AM7" i="7"/>
  <c r="AL7" i="7"/>
  <c r="AR11" i="7"/>
  <c r="AR32" i="7" s="1"/>
  <c r="AM18" i="7"/>
  <c r="AV11" i="7"/>
  <c r="AV32" i="7" s="1"/>
  <c r="AQ18" i="7"/>
  <c r="R4" i="7"/>
  <c r="EG33" i="6"/>
  <c r="EF33" i="6"/>
  <c r="EE33" i="6"/>
  <c r="EG32" i="6"/>
  <c r="EF32" i="6"/>
  <c r="EE32" i="6"/>
  <c r="EG30" i="6"/>
  <c r="EF30" i="6"/>
  <c r="EE30" i="6"/>
  <c r="EG26" i="6"/>
  <c r="EF26" i="6"/>
  <c r="EE26" i="6"/>
  <c r="EG16" i="6"/>
  <c r="EG34" i="6" s="1"/>
  <c r="EF16" i="6"/>
  <c r="EF34" i="6" s="1"/>
  <c r="EE16" i="6"/>
  <c r="EE34" i="6" s="1"/>
  <c r="EG11" i="6"/>
  <c r="EG31" i="6" s="1"/>
  <c r="EF11" i="6"/>
  <c r="EF31" i="6" s="1"/>
  <c r="EE11" i="6"/>
  <c r="EB33" i="6"/>
  <c r="EA33" i="6"/>
  <c r="DZ33" i="6"/>
  <c r="EB32" i="6"/>
  <c r="EA32" i="6"/>
  <c r="DZ32" i="6"/>
  <c r="EB30" i="6"/>
  <c r="EA30" i="6"/>
  <c r="DZ30" i="6"/>
  <c r="EB26" i="6"/>
  <c r="EA26" i="6"/>
  <c r="DZ26" i="6"/>
  <c r="EB16" i="6"/>
  <c r="EB34" i="6" s="1"/>
  <c r="EA16" i="6"/>
  <c r="EA34" i="6" s="1"/>
  <c r="DZ16" i="6"/>
  <c r="DZ34" i="6" s="1"/>
  <c r="DX14" i="6"/>
  <c r="EC14" i="6" s="1"/>
  <c r="EH14" i="6" s="1"/>
  <c r="EM14" i="6" s="1"/>
  <c r="DX12" i="6"/>
  <c r="EC12" i="6" s="1"/>
  <c r="EH12" i="6" s="1"/>
  <c r="EM12" i="6" s="1"/>
  <c r="EB11" i="6"/>
  <c r="EB31" i="6" s="1"/>
  <c r="EA11" i="6"/>
  <c r="EA31" i="6" s="1"/>
  <c r="DZ11" i="6"/>
  <c r="DZ31" i="6" s="1"/>
  <c r="AQ7" i="7" l="1"/>
  <c r="AV7" i="7" s="1"/>
  <c r="AV8" i="7" s="1"/>
  <c r="AV35" i="7" s="1"/>
  <c r="AR7" i="7"/>
  <c r="AW7" i="7" s="1"/>
  <c r="AV18" i="7"/>
  <c r="BA32" i="7"/>
  <c r="AR18" i="7"/>
  <c r="AW11" i="7"/>
  <c r="AW32" i="7" s="1"/>
  <c r="W4" i="7"/>
  <c r="AB4" i="7" s="1"/>
  <c r="EE27" i="6"/>
  <c r="EG35" i="6"/>
  <c r="DZ35" i="6"/>
  <c r="EA35" i="6"/>
  <c r="EB35" i="6"/>
  <c r="EF35" i="6"/>
  <c r="EF27" i="6"/>
  <c r="EG27" i="6"/>
  <c r="EE31" i="6"/>
  <c r="EE35" i="6" s="1"/>
  <c r="DZ27" i="6"/>
  <c r="EA27" i="6"/>
  <c r="EB27" i="6"/>
  <c r="DP13" i="6"/>
  <c r="DK13" i="6"/>
  <c r="DW33" i="6"/>
  <c r="DV33" i="6"/>
  <c r="DU33" i="6"/>
  <c r="DW32" i="6"/>
  <c r="DV32" i="6"/>
  <c r="DU32" i="6"/>
  <c r="DW30" i="6"/>
  <c r="DV30" i="6"/>
  <c r="DU30" i="6"/>
  <c r="DW26" i="6"/>
  <c r="DV26" i="6"/>
  <c r="DU26" i="6"/>
  <c r="DW16" i="6"/>
  <c r="DW34" i="6" s="1"/>
  <c r="DV16" i="6"/>
  <c r="DV34" i="6" s="1"/>
  <c r="DU16" i="6"/>
  <c r="DW11" i="6"/>
  <c r="DW31" i="6" s="1"/>
  <c r="DV11" i="6"/>
  <c r="DV31" i="6" s="1"/>
  <c r="DU11" i="6"/>
  <c r="DU31" i="6" s="1"/>
  <c r="DF19" i="6"/>
  <c r="DF13" i="6"/>
  <c r="BB11" i="7" l="1"/>
  <c r="BB32" i="7" s="1"/>
  <c r="AW18" i="7"/>
  <c r="BF11" i="7"/>
  <c r="BK11" i="7" s="1"/>
  <c r="BP11" i="7" s="1"/>
  <c r="BA18" i="7"/>
  <c r="DU27" i="6"/>
  <c r="DV35" i="6"/>
  <c r="DU34" i="6"/>
  <c r="DU35" i="6" s="1"/>
  <c r="DW35" i="6"/>
  <c r="DV27" i="6"/>
  <c r="DW27" i="6"/>
  <c r="BP18" i="7" l="1"/>
  <c r="BU11" i="7"/>
  <c r="BZ11" i="7" s="1"/>
  <c r="BP32" i="7"/>
  <c r="BP36" i="7" s="1"/>
  <c r="BK32" i="7"/>
  <c r="BK36" i="7" s="1"/>
  <c r="BK18" i="7"/>
  <c r="BF18" i="7"/>
  <c r="BF32" i="7"/>
  <c r="BA7" i="7"/>
  <c r="BB7" i="7"/>
  <c r="BG11" i="7"/>
  <c r="BB18" i="7"/>
  <c r="AV20" i="7"/>
  <c r="BA20" i="7" s="1"/>
  <c r="AG4" i="7"/>
  <c r="AL4" i="7" s="1"/>
  <c r="DR33" i="6"/>
  <c r="DQ33" i="6"/>
  <c r="DP33" i="6"/>
  <c r="DR32" i="6"/>
  <c r="DQ32" i="6"/>
  <c r="DP32" i="6"/>
  <c r="DR30" i="6"/>
  <c r="DQ30" i="6"/>
  <c r="DP30" i="6"/>
  <c r="DR26" i="6"/>
  <c r="DQ26" i="6"/>
  <c r="DP26" i="6"/>
  <c r="DR34" i="6"/>
  <c r="DQ16" i="6"/>
  <c r="DP16" i="6"/>
  <c r="DP34" i="6" s="1"/>
  <c r="DR11" i="6"/>
  <c r="DR31" i="6" s="1"/>
  <c r="DQ11" i="6"/>
  <c r="DQ31" i="6" s="1"/>
  <c r="DP11" i="6"/>
  <c r="DP31" i="6" s="1"/>
  <c r="DM33" i="6"/>
  <c r="DL33" i="6"/>
  <c r="DK33" i="6"/>
  <c r="DM32" i="6"/>
  <c r="DL32" i="6"/>
  <c r="DK32" i="6"/>
  <c r="DM30" i="6"/>
  <c r="DL30" i="6"/>
  <c r="DK30" i="6"/>
  <c r="DM26" i="6"/>
  <c r="DL26" i="6"/>
  <c r="DK26" i="6"/>
  <c r="DM16" i="6"/>
  <c r="DM34" i="6" s="1"/>
  <c r="DL16" i="6"/>
  <c r="DL34" i="6" s="1"/>
  <c r="DK16" i="6"/>
  <c r="DK34" i="6" s="1"/>
  <c r="DM11" i="6"/>
  <c r="DM31" i="6" s="1"/>
  <c r="DL11" i="6"/>
  <c r="DL31" i="6" s="1"/>
  <c r="DK11" i="6"/>
  <c r="DH33" i="6"/>
  <c r="DG33" i="6"/>
  <c r="DF33" i="6"/>
  <c r="DH32" i="6"/>
  <c r="DG32" i="6"/>
  <c r="DF32" i="6"/>
  <c r="DH30" i="6"/>
  <c r="DG30" i="6"/>
  <c r="DF30" i="6"/>
  <c r="DH26" i="6"/>
  <c r="DG26" i="6"/>
  <c r="DF26" i="6"/>
  <c r="DH16" i="6"/>
  <c r="DH34" i="6" s="1"/>
  <c r="DG16" i="6"/>
  <c r="DG34" i="6" s="1"/>
  <c r="DF16" i="6"/>
  <c r="DF34" i="6" s="1"/>
  <c r="DH11" i="6"/>
  <c r="DG11" i="6"/>
  <c r="DF11" i="6"/>
  <c r="DC33" i="6"/>
  <c r="DB33" i="6"/>
  <c r="DA33" i="6"/>
  <c r="DC32" i="6"/>
  <c r="DB32" i="6"/>
  <c r="DA32" i="6"/>
  <c r="DC30" i="6"/>
  <c r="DB30" i="6"/>
  <c r="DA30" i="6"/>
  <c r="DC26" i="6"/>
  <c r="DB26" i="6"/>
  <c r="DA26" i="6"/>
  <c r="DC16" i="6"/>
  <c r="DC34" i="6" s="1"/>
  <c r="DB16" i="6"/>
  <c r="DB34" i="6" s="1"/>
  <c r="DA16" i="6"/>
  <c r="DA34" i="6" s="1"/>
  <c r="CZ15" i="6"/>
  <c r="DE15" i="6" s="1"/>
  <c r="DJ15" i="6" s="1"/>
  <c r="DO15" i="6" s="1"/>
  <c r="DT15" i="6" s="1"/>
  <c r="DY15" i="6" s="1"/>
  <c r="ED15" i="6" s="1"/>
  <c r="CY15" i="6"/>
  <c r="DD15" i="6" s="1"/>
  <c r="DI15" i="6" s="1"/>
  <c r="DN15" i="6" s="1"/>
  <c r="DS15" i="6" s="1"/>
  <c r="DX15" i="6" s="1"/>
  <c r="EC15" i="6" s="1"/>
  <c r="EH15" i="6" s="1"/>
  <c r="EM15" i="6" s="1"/>
  <c r="CY14" i="6"/>
  <c r="DD14" i="6" s="1"/>
  <c r="DI14" i="6" s="1"/>
  <c r="DN14" i="6" s="1"/>
  <c r="DC11" i="6"/>
  <c r="DC31" i="6" s="1"/>
  <c r="DB11" i="6"/>
  <c r="DA11" i="6"/>
  <c r="DA31" i="6" s="1"/>
  <c r="CK12" i="6"/>
  <c r="CQ13" i="6"/>
  <c r="CO12" i="6"/>
  <c r="CT12" i="6" s="1"/>
  <c r="CY12" i="6" s="1"/>
  <c r="DD12" i="6" s="1"/>
  <c r="CL13" i="6"/>
  <c r="CL16" i="6" s="1"/>
  <c r="CL34" i="6" s="1"/>
  <c r="CX33" i="6"/>
  <c r="CW33" i="6"/>
  <c r="CV33" i="6"/>
  <c r="CX32" i="6"/>
  <c r="CW32" i="6"/>
  <c r="CV32" i="6"/>
  <c r="CX30" i="6"/>
  <c r="CW30" i="6"/>
  <c r="CV30" i="6"/>
  <c r="CX26" i="6"/>
  <c r="CW26" i="6"/>
  <c r="CV26" i="6"/>
  <c r="CX16" i="6"/>
  <c r="CX34" i="6" s="1"/>
  <c r="CW16" i="6"/>
  <c r="CW34" i="6" s="1"/>
  <c r="CV16" i="6"/>
  <c r="CV34" i="6" s="1"/>
  <c r="CX11" i="6"/>
  <c r="CX31" i="6" s="1"/>
  <c r="CW11" i="6"/>
  <c r="CV11" i="6"/>
  <c r="CS33" i="6"/>
  <c r="CR33" i="6"/>
  <c r="CQ33" i="6"/>
  <c r="CS32" i="6"/>
  <c r="CR32" i="6"/>
  <c r="CQ32" i="6"/>
  <c r="CS30" i="6"/>
  <c r="CR30" i="6"/>
  <c r="CQ30" i="6"/>
  <c r="CS26" i="6"/>
  <c r="CR26" i="6"/>
  <c r="CQ26" i="6"/>
  <c r="CS16" i="6"/>
  <c r="CS34" i="6" s="1"/>
  <c r="CR16" i="6"/>
  <c r="CR34" i="6" s="1"/>
  <c r="CQ16" i="6"/>
  <c r="CQ34" i="6" s="1"/>
  <c r="CT14" i="6"/>
  <c r="CS11" i="6"/>
  <c r="CS31" i="6" s="1"/>
  <c r="CR11" i="6"/>
  <c r="CR31" i="6" s="1"/>
  <c r="CQ11" i="6"/>
  <c r="CQ31" i="6" s="1"/>
  <c r="CG16" i="6"/>
  <c r="CG34" i="6" s="1"/>
  <c r="CF15" i="6"/>
  <c r="CK15" i="6" s="1"/>
  <c r="CP15" i="6" s="1"/>
  <c r="CU15" i="6" s="1"/>
  <c r="CE15" i="6"/>
  <c r="CJ15" i="6" s="1"/>
  <c r="CO15" i="6" s="1"/>
  <c r="CT15" i="6" s="1"/>
  <c r="BB15" i="6"/>
  <c r="BA15" i="6"/>
  <c r="AB14" i="6"/>
  <c r="AG14" i="6" s="1"/>
  <c r="AL14" i="6" s="1"/>
  <c r="AQ14" i="6" s="1"/>
  <c r="AV14" i="6" s="1"/>
  <c r="BA14" i="6" s="1"/>
  <c r="BF14" i="6" s="1"/>
  <c r="BK14" i="6" s="1"/>
  <c r="BP14" i="6" s="1"/>
  <c r="BU14" i="6" s="1"/>
  <c r="BZ14" i="6" s="1"/>
  <c r="CE14" i="6" s="1"/>
  <c r="CJ14" i="6" s="1"/>
  <c r="S14" i="6"/>
  <c r="X14" i="6" s="1"/>
  <c r="AC14" i="6" s="1"/>
  <c r="AH14" i="6" s="1"/>
  <c r="AM14" i="6" s="1"/>
  <c r="AR14" i="6" s="1"/>
  <c r="AW14" i="6" s="1"/>
  <c r="BB14" i="6" s="1"/>
  <c r="BG14" i="6" s="1"/>
  <c r="BL14" i="6" s="1"/>
  <c r="BQ14" i="6" s="1"/>
  <c r="BV14" i="6" s="1"/>
  <c r="CA14" i="6" s="1"/>
  <c r="CF14" i="6" s="1"/>
  <c r="CK14" i="6" s="1"/>
  <c r="CP14" i="6" s="1"/>
  <c r="CU14" i="6" s="1"/>
  <c r="CZ14" i="6" s="1"/>
  <c r="DE14" i="6" s="1"/>
  <c r="DJ14" i="6" s="1"/>
  <c r="DO14" i="6" s="1"/>
  <c r="DT14" i="6" s="1"/>
  <c r="DY14" i="6" s="1"/>
  <c r="ED14" i="6" s="1"/>
  <c r="EI14" i="6" s="1"/>
  <c r="EN14" i="6" s="1"/>
  <c r="R14" i="6"/>
  <c r="R12" i="6"/>
  <c r="S12" i="6"/>
  <c r="X12" i="6" s="1"/>
  <c r="AC12" i="6" s="1"/>
  <c r="AH12" i="6" s="1"/>
  <c r="AM12" i="6" s="1"/>
  <c r="AR12" i="6" s="1"/>
  <c r="AW12" i="6" s="1"/>
  <c r="BB12" i="6" s="1"/>
  <c r="BG12" i="6" s="1"/>
  <c r="BL12" i="6" s="1"/>
  <c r="BQ12" i="6" s="1"/>
  <c r="BV12" i="6" s="1"/>
  <c r="CA12" i="6" s="1"/>
  <c r="CF12" i="6" s="1"/>
  <c r="AB12" i="6"/>
  <c r="AG12" i="6" s="1"/>
  <c r="AL12" i="6" s="1"/>
  <c r="AQ12" i="6" s="1"/>
  <c r="AV12" i="6" s="1"/>
  <c r="BA12" i="6" s="1"/>
  <c r="BF12" i="6" s="1"/>
  <c r="BK12" i="6" s="1"/>
  <c r="BP12" i="6" s="1"/>
  <c r="BU12" i="6" s="1"/>
  <c r="BZ12" i="6" s="1"/>
  <c r="CB24" i="6"/>
  <c r="CB21" i="6"/>
  <c r="CB13" i="6"/>
  <c r="CB16" i="6" s="1"/>
  <c r="CN33" i="6"/>
  <c r="CM33" i="6"/>
  <c r="CL33" i="6"/>
  <c r="CN32" i="6"/>
  <c r="CM32" i="6"/>
  <c r="CL32" i="6"/>
  <c r="CN30" i="6"/>
  <c r="CM30" i="6"/>
  <c r="CL30" i="6"/>
  <c r="CN26" i="6"/>
  <c r="CM26" i="6"/>
  <c r="CL26" i="6"/>
  <c r="CN16" i="6"/>
  <c r="CN34" i="6" s="1"/>
  <c r="CM16" i="6"/>
  <c r="CM34" i="6" s="1"/>
  <c r="CN11" i="6"/>
  <c r="CN31" i="6" s="1"/>
  <c r="CM11" i="6"/>
  <c r="CL11" i="6"/>
  <c r="CL31" i="6" s="1"/>
  <c r="CI33" i="6"/>
  <c r="CH33" i="6"/>
  <c r="CG33" i="6"/>
  <c r="CI32" i="6"/>
  <c r="CH32" i="6"/>
  <c r="CG32" i="6"/>
  <c r="CI30" i="6"/>
  <c r="CH30" i="6"/>
  <c r="CG30" i="6"/>
  <c r="CI26" i="6"/>
  <c r="CH26" i="6"/>
  <c r="CG26" i="6"/>
  <c r="CE25" i="6"/>
  <c r="CJ25" i="6" s="1"/>
  <c r="CO25" i="6" s="1"/>
  <c r="CT25" i="6" s="1"/>
  <c r="CY25" i="6" s="1"/>
  <c r="DD25" i="6" s="1"/>
  <c r="DI25" i="6" s="1"/>
  <c r="DN25" i="6" s="1"/>
  <c r="DS25" i="6" s="1"/>
  <c r="DX25" i="6" s="1"/>
  <c r="EC25" i="6" s="1"/>
  <c r="EH25" i="6" s="1"/>
  <c r="EM25" i="6" s="1"/>
  <c r="CI16" i="6"/>
  <c r="CI34" i="6" s="1"/>
  <c r="CH16" i="6"/>
  <c r="CH34" i="6" s="1"/>
  <c r="CI11" i="6"/>
  <c r="CH11" i="6"/>
  <c r="CG11" i="6"/>
  <c r="CD33" i="6"/>
  <c r="CC33" i="6"/>
  <c r="BY33" i="6"/>
  <c r="BX33" i="6"/>
  <c r="BW33" i="6"/>
  <c r="BT33" i="6"/>
  <c r="BS33" i="6"/>
  <c r="BR33" i="6"/>
  <c r="BO33" i="6"/>
  <c r="BN33" i="6"/>
  <c r="BM33" i="6"/>
  <c r="BJ33" i="6"/>
  <c r="BI33" i="6"/>
  <c r="BH33" i="6"/>
  <c r="BE33" i="6"/>
  <c r="BD33" i="6"/>
  <c r="BC33" i="6"/>
  <c r="AZ33" i="6"/>
  <c r="AY33" i="6"/>
  <c r="AX33" i="6"/>
  <c r="AU33" i="6"/>
  <c r="AT33" i="6"/>
  <c r="AS33" i="6"/>
  <c r="AP33" i="6"/>
  <c r="AO33" i="6"/>
  <c r="AN33" i="6"/>
  <c r="AK33" i="6"/>
  <c r="AJ33" i="6"/>
  <c r="AI33" i="6"/>
  <c r="AF33" i="6"/>
  <c r="AE33" i="6"/>
  <c r="AD33" i="6"/>
  <c r="AA33" i="6"/>
  <c r="Z33" i="6"/>
  <c r="Y33" i="6"/>
  <c r="V33" i="6"/>
  <c r="U33" i="6"/>
  <c r="T33" i="6"/>
  <c r="Q33" i="6"/>
  <c r="P33" i="6"/>
  <c r="O33" i="6"/>
  <c r="L33" i="6"/>
  <c r="K33" i="6"/>
  <c r="J33" i="6"/>
  <c r="G33" i="6"/>
  <c r="F33" i="6"/>
  <c r="E33" i="6"/>
  <c r="D33" i="6"/>
  <c r="C33" i="6"/>
  <c r="CD32" i="6"/>
  <c r="CC32" i="6"/>
  <c r="CB32" i="6"/>
  <c r="BY32" i="6"/>
  <c r="BX32" i="6"/>
  <c r="BW32" i="6"/>
  <c r="BT32" i="6"/>
  <c r="BS32" i="6"/>
  <c r="BR32" i="6"/>
  <c r="BO32" i="6"/>
  <c r="BN32" i="6"/>
  <c r="BM32" i="6"/>
  <c r="BJ32" i="6"/>
  <c r="BI32" i="6"/>
  <c r="BH32" i="6"/>
  <c r="BE32" i="6"/>
  <c r="BD32" i="6"/>
  <c r="BC32" i="6"/>
  <c r="AZ32" i="6"/>
  <c r="AY32" i="6"/>
  <c r="AX32" i="6"/>
  <c r="AU32" i="6"/>
  <c r="AT32" i="6"/>
  <c r="AS32" i="6"/>
  <c r="AP32" i="6"/>
  <c r="AO32" i="6"/>
  <c r="AK32" i="6"/>
  <c r="AJ32" i="6"/>
  <c r="AI32" i="6"/>
  <c r="AF32" i="6"/>
  <c r="AE32" i="6"/>
  <c r="AD32" i="6"/>
  <c r="AA32" i="6"/>
  <c r="Z32" i="6"/>
  <c r="Y32" i="6"/>
  <c r="V32" i="6"/>
  <c r="U32" i="6"/>
  <c r="T32" i="6"/>
  <c r="Q32" i="6"/>
  <c r="P32" i="6"/>
  <c r="O32" i="6"/>
  <c r="L32" i="6"/>
  <c r="K32" i="6"/>
  <c r="J32" i="6"/>
  <c r="G32" i="6"/>
  <c r="F32" i="6"/>
  <c r="E32" i="6"/>
  <c r="D32" i="6"/>
  <c r="C32" i="6"/>
  <c r="CD26" i="6"/>
  <c r="CC26" i="6"/>
  <c r="BY26" i="6"/>
  <c r="BX26" i="6"/>
  <c r="BW26" i="6"/>
  <c r="BT26" i="6"/>
  <c r="BS26" i="6"/>
  <c r="BR26" i="6"/>
  <c r="BO26" i="6"/>
  <c r="BN26" i="6"/>
  <c r="BM26" i="6"/>
  <c r="BJ26" i="6"/>
  <c r="BI26" i="6"/>
  <c r="BH26" i="6"/>
  <c r="BE26" i="6"/>
  <c r="BD26" i="6"/>
  <c r="BC26" i="6"/>
  <c r="AZ26" i="6"/>
  <c r="AY26" i="6"/>
  <c r="AX26" i="6"/>
  <c r="AU26" i="6"/>
  <c r="AT26" i="6"/>
  <c r="AS26" i="6"/>
  <c r="AP26" i="6"/>
  <c r="AO26" i="6"/>
  <c r="AK26" i="6"/>
  <c r="AJ26" i="6"/>
  <c r="AI26" i="6"/>
  <c r="AF26" i="6"/>
  <c r="AE26" i="6"/>
  <c r="AD26" i="6"/>
  <c r="AA26" i="6"/>
  <c r="Z26" i="6"/>
  <c r="Y26" i="6"/>
  <c r="V26" i="6"/>
  <c r="U26" i="6"/>
  <c r="T26" i="6"/>
  <c r="Q26" i="6"/>
  <c r="P26" i="6"/>
  <c r="O26" i="6"/>
  <c r="L26" i="6"/>
  <c r="K26" i="6"/>
  <c r="J26" i="6"/>
  <c r="G26" i="6"/>
  <c r="F26" i="6"/>
  <c r="E26" i="6"/>
  <c r="D26" i="6"/>
  <c r="C26" i="6"/>
  <c r="CD16" i="6"/>
  <c r="CD34" i="6" s="1"/>
  <c r="CC16" i="6"/>
  <c r="CC34" i="6" s="1"/>
  <c r="BY16" i="6"/>
  <c r="BY34" i="6" s="1"/>
  <c r="BX16" i="6"/>
  <c r="BX34" i="6" s="1"/>
  <c r="BW16" i="6"/>
  <c r="BW34" i="6" s="1"/>
  <c r="BT16" i="6"/>
  <c r="BT34" i="6" s="1"/>
  <c r="BS16" i="6"/>
  <c r="BS34" i="6" s="1"/>
  <c r="BO16" i="6"/>
  <c r="BO34" i="6" s="1"/>
  <c r="BN16" i="6"/>
  <c r="BN34" i="6" s="1"/>
  <c r="BM16" i="6"/>
  <c r="BM34" i="6" s="1"/>
  <c r="BJ16" i="6"/>
  <c r="BJ34" i="6" s="1"/>
  <c r="BI16" i="6"/>
  <c r="BI34" i="6" s="1"/>
  <c r="BH16" i="6"/>
  <c r="BH34" i="6" s="1"/>
  <c r="BE16" i="6"/>
  <c r="BE34" i="6" s="1"/>
  <c r="BD16" i="6"/>
  <c r="BD34" i="6" s="1"/>
  <c r="BC16" i="6"/>
  <c r="BC34" i="6" s="1"/>
  <c r="AZ16" i="6"/>
  <c r="AZ34" i="6" s="1"/>
  <c r="AY16" i="6"/>
  <c r="AY34" i="6" s="1"/>
  <c r="AX16" i="6"/>
  <c r="AX34" i="6" s="1"/>
  <c r="AU16" i="6"/>
  <c r="AU34" i="6" s="1"/>
  <c r="AT16" i="6"/>
  <c r="AT34" i="6" s="1"/>
  <c r="AS16" i="6"/>
  <c r="AS34" i="6" s="1"/>
  <c r="AP16" i="6"/>
  <c r="AP34" i="6" s="1"/>
  <c r="AO16" i="6"/>
  <c r="AO34" i="6" s="1"/>
  <c r="AN16" i="6"/>
  <c r="AN34" i="6" s="1"/>
  <c r="AK16" i="6"/>
  <c r="AK34" i="6" s="1"/>
  <c r="AJ16" i="6"/>
  <c r="AJ34" i="6" s="1"/>
  <c r="AI16" i="6"/>
  <c r="AI34" i="6" s="1"/>
  <c r="AF16" i="6"/>
  <c r="AF34" i="6" s="1"/>
  <c r="AE16" i="6"/>
  <c r="AE34" i="6" s="1"/>
  <c r="AD16" i="6"/>
  <c r="AD34" i="6" s="1"/>
  <c r="AA16" i="6"/>
  <c r="AA34" i="6" s="1"/>
  <c r="Z16" i="6"/>
  <c r="Z34" i="6" s="1"/>
  <c r="Y16" i="6"/>
  <c r="Y34" i="6" s="1"/>
  <c r="W16" i="6"/>
  <c r="W34" i="6" s="1"/>
  <c r="V16" i="6"/>
  <c r="V34" i="6" s="1"/>
  <c r="U16" i="6"/>
  <c r="U34" i="6" s="1"/>
  <c r="T16" i="6"/>
  <c r="T34" i="6" s="1"/>
  <c r="Q16" i="6"/>
  <c r="Q34" i="6" s="1"/>
  <c r="P16" i="6"/>
  <c r="P34" i="6" s="1"/>
  <c r="O16" i="6"/>
  <c r="O34" i="6" s="1"/>
  <c r="N16" i="6"/>
  <c r="N34" i="6" s="1"/>
  <c r="M16" i="6"/>
  <c r="M34" i="6" s="1"/>
  <c r="L16" i="6"/>
  <c r="L34" i="6" s="1"/>
  <c r="K16" i="6"/>
  <c r="K34" i="6" s="1"/>
  <c r="J16" i="6"/>
  <c r="J34" i="6" s="1"/>
  <c r="I16" i="6"/>
  <c r="I34" i="6" s="1"/>
  <c r="H16" i="6"/>
  <c r="H34" i="6" s="1"/>
  <c r="G16" i="6"/>
  <c r="G34" i="6" s="1"/>
  <c r="F16" i="6"/>
  <c r="F34" i="6" s="1"/>
  <c r="E16" i="6"/>
  <c r="E34" i="6" s="1"/>
  <c r="D16" i="6"/>
  <c r="D34" i="6" s="1"/>
  <c r="C16" i="6"/>
  <c r="C34" i="6" s="1"/>
  <c r="CD11" i="6"/>
  <c r="CD31" i="6" s="1"/>
  <c r="CC11" i="6"/>
  <c r="CB11" i="6"/>
  <c r="CB31" i="6" s="1"/>
  <c r="BY11" i="6"/>
  <c r="BY31" i="6" s="1"/>
  <c r="BX11" i="6"/>
  <c r="BW11" i="6"/>
  <c r="BW31" i="6" s="1"/>
  <c r="BT11" i="6"/>
  <c r="BT31" i="6" s="1"/>
  <c r="BS11" i="6"/>
  <c r="BR11" i="6"/>
  <c r="BR31" i="6" s="1"/>
  <c r="BO11" i="6"/>
  <c r="BO31" i="6" s="1"/>
  <c r="BN11" i="6"/>
  <c r="BM11" i="6"/>
  <c r="BM31" i="6" s="1"/>
  <c r="BJ11" i="6"/>
  <c r="BJ31" i="6" s="1"/>
  <c r="BI11" i="6"/>
  <c r="BI31" i="6" s="1"/>
  <c r="BH11" i="6"/>
  <c r="BH31" i="6" s="1"/>
  <c r="BE11" i="6"/>
  <c r="BE31" i="6" s="1"/>
  <c r="BD11" i="6"/>
  <c r="BD31" i="6" s="1"/>
  <c r="BC11" i="6"/>
  <c r="BC31" i="6" s="1"/>
  <c r="AZ11" i="6"/>
  <c r="AY11" i="6"/>
  <c r="AY31" i="6" s="1"/>
  <c r="AX11" i="6"/>
  <c r="AX31" i="6" s="1"/>
  <c r="AU11" i="6"/>
  <c r="AT11" i="6"/>
  <c r="AT31" i="6" s="1"/>
  <c r="AS11" i="6"/>
  <c r="AP11" i="6"/>
  <c r="AP31" i="6" s="1"/>
  <c r="AO11" i="6"/>
  <c r="AO31" i="6" s="1"/>
  <c r="AN11" i="6"/>
  <c r="AK11" i="6"/>
  <c r="AK31" i="6" s="1"/>
  <c r="AJ11" i="6"/>
  <c r="AJ31" i="6" s="1"/>
  <c r="AI11" i="6"/>
  <c r="AI31" i="6" s="1"/>
  <c r="AF11" i="6"/>
  <c r="AF31" i="6" s="1"/>
  <c r="AE11" i="6"/>
  <c r="AE31" i="6" s="1"/>
  <c r="AD11" i="6"/>
  <c r="AA11" i="6"/>
  <c r="AA31" i="6" s="1"/>
  <c r="Z11" i="6"/>
  <c r="Z31" i="6" s="1"/>
  <c r="Y11" i="6"/>
  <c r="Y31" i="6" s="1"/>
  <c r="V11" i="6"/>
  <c r="V31" i="6" s="1"/>
  <c r="U11" i="6"/>
  <c r="T11" i="6"/>
  <c r="T31" i="6" s="1"/>
  <c r="Q11" i="6"/>
  <c r="Q31" i="6" s="1"/>
  <c r="P11" i="6"/>
  <c r="O11" i="6"/>
  <c r="O31" i="6" s="1"/>
  <c r="L11" i="6"/>
  <c r="L31" i="6" s="1"/>
  <c r="K11" i="6"/>
  <c r="K31" i="6" s="1"/>
  <c r="J11" i="6"/>
  <c r="J31" i="6" s="1"/>
  <c r="G11" i="6"/>
  <c r="G31" i="6" s="1"/>
  <c r="F11" i="6"/>
  <c r="E11" i="6"/>
  <c r="E31" i="6" s="1"/>
  <c r="D11" i="6"/>
  <c r="C11" i="6"/>
  <c r="C31" i="6" s="1"/>
  <c r="CD30" i="6"/>
  <c r="CC30" i="6"/>
  <c r="CB30" i="6"/>
  <c r="BY30" i="6"/>
  <c r="BX30" i="6"/>
  <c r="BW30" i="6"/>
  <c r="BT30" i="6"/>
  <c r="BS30" i="6"/>
  <c r="BR30" i="6"/>
  <c r="BO30" i="6"/>
  <c r="BN30" i="6"/>
  <c r="BM30" i="6"/>
  <c r="BJ30" i="6"/>
  <c r="BI30" i="6"/>
  <c r="BH30" i="6"/>
  <c r="BE30" i="6"/>
  <c r="BD30" i="6"/>
  <c r="BC30" i="6"/>
  <c r="AZ30" i="6"/>
  <c r="AY30" i="6"/>
  <c r="AX30" i="6"/>
  <c r="AU30" i="6"/>
  <c r="AT30" i="6"/>
  <c r="AS30" i="6"/>
  <c r="AP30" i="6"/>
  <c r="AO30" i="6"/>
  <c r="AN30" i="6"/>
  <c r="AK30" i="6"/>
  <c r="AJ30" i="6"/>
  <c r="AI30" i="6"/>
  <c r="AH30" i="6"/>
  <c r="AG30" i="6"/>
  <c r="AF30" i="6"/>
  <c r="AE30" i="6"/>
  <c r="AD30" i="6"/>
  <c r="AA30" i="6"/>
  <c r="Y30" i="6"/>
  <c r="V30" i="6"/>
  <c r="U30" i="6"/>
  <c r="T30" i="6"/>
  <c r="Q30" i="6"/>
  <c r="P30" i="6"/>
  <c r="O30" i="6"/>
  <c r="L30" i="6"/>
  <c r="K30" i="6"/>
  <c r="J30" i="6"/>
  <c r="G30" i="6"/>
  <c r="F30" i="6"/>
  <c r="E30" i="6"/>
  <c r="D30" i="6"/>
  <c r="C30" i="6"/>
  <c r="BR13" i="6"/>
  <c r="BR16" i="6" s="1"/>
  <c r="BR34" i="6" s="1"/>
  <c r="BB13" i="6"/>
  <c r="BG13" i="6" s="1"/>
  <c r="BL13" i="6" s="1"/>
  <c r="BQ13" i="6" s="1"/>
  <c r="BV13" i="6" s="1"/>
  <c r="CA13" i="6" s="1"/>
  <c r="BA13" i="6"/>
  <c r="BF13" i="6" s="1"/>
  <c r="BK13" i="6" s="1"/>
  <c r="BP13" i="6" s="1"/>
  <c r="BU13" i="6" s="1"/>
  <c r="BZ13" i="6" s="1"/>
  <c r="CE13" i="6" s="1"/>
  <c r="CJ13" i="6" s="1"/>
  <c r="CO13" i="6" s="1"/>
  <c r="CT13" i="6" s="1"/>
  <c r="CY13" i="6" s="1"/>
  <c r="DD13" i="6" s="1"/>
  <c r="DI13" i="6" s="1"/>
  <c r="DN13" i="6" s="1"/>
  <c r="DS13" i="6" s="1"/>
  <c r="BZ32" i="7" l="1"/>
  <c r="BZ36" i="7" s="1"/>
  <c r="CE11" i="7"/>
  <c r="BZ18" i="7"/>
  <c r="BU32" i="7"/>
  <c r="BU36" i="7" s="1"/>
  <c r="BU18" i="7"/>
  <c r="BG18" i="7"/>
  <c r="BG32" i="7"/>
  <c r="BG7" i="7"/>
  <c r="BF7" i="7"/>
  <c r="BF20" i="7"/>
  <c r="DX13" i="6"/>
  <c r="DS16" i="6"/>
  <c r="DS34" i="6" s="1"/>
  <c r="EI15" i="6"/>
  <c r="EN15" i="6" s="1"/>
  <c r="DQ27" i="6"/>
  <c r="CP12" i="6"/>
  <c r="CU12" i="6" s="1"/>
  <c r="CZ12" i="6" s="1"/>
  <c r="DE12" i="6" s="1"/>
  <c r="DR35" i="6"/>
  <c r="DK27" i="6"/>
  <c r="DP27" i="6"/>
  <c r="DR27" i="6"/>
  <c r="DP35" i="6"/>
  <c r="DL35" i="6"/>
  <c r="DM35" i="6"/>
  <c r="DQ34" i="6"/>
  <c r="DQ35" i="6" s="1"/>
  <c r="DJ12" i="6"/>
  <c r="DO12" i="6" s="1"/>
  <c r="CY16" i="6"/>
  <c r="CY34" i="6" s="1"/>
  <c r="DD16" i="6"/>
  <c r="DD34" i="6" s="1"/>
  <c r="DI12" i="6"/>
  <c r="DN12" i="6" s="1"/>
  <c r="DN16" i="6" s="1"/>
  <c r="DN34" i="6" s="1"/>
  <c r="DF27" i="6"/>
  <c r="DG27" i="6"/>
  <c r="DH27" i="6"/>
  <c r="DL27" i="6"/>
  <c r="DK31" i="6"/>
  <c r="DK35" i="6" s="1"/>
  <c r="DM27" i="6"/>
  <c r="DH31" i="6"/>
  <c r="DH35" i="6" s="1"/>
  <c r="DF31" i="6"/>
  <c r="DF35" i="6" s="1"/>
  <c r="DG31" i="6"/>
  <c r="DG35" i="6" s="1"/>
  <c r="DC35" i="6"/>
  <c r="DA35" i="6"/>
  <c r="DB27" i="6"/>
  <c r="DB31" i="6"/>
  <c r="DB35" i="6" s="1"/>
  <c r="DA27" i="6"/>
  <c r="DC27" i="6"/>
  <c r="CV27" i="6"/>
  <c r="CW27" i="6"/>
  <c r="CB26" i="6"/>
  <c r="CB27" i="6" s="1"/>
  <c r="CV31" i="6"/>
  <c r="CV35" i="6" s="1"/>
  <c r="CW31" i="6"/>
  <c r="CW35" i="6" s="1"/>
  <c r="E35" i="6"/>
  <c r="P27" i="6"/>
  <c r="D27" i="6"/>
  <c r="CB33" i="6"/>
  <c r="CX35" i="6"/>
  <c r="CQ27" i="6"/>
  <c r="CR27" i="6"/>
  <c r="CX27" i="6"/>
  <c r="CQ35" i="6"/>
  <c r="CR35" i="6"/>
  <c r="CS35" i="6"/>
  <c r="CS27" i="6"/>
  <c r="BX27" i="6"/>
  <c r="BR35" i="6"/>
  <c r="P31" i="6"/>
  <c r="P35" i="6" s="1"/>
  <c r="BX31" i="6"/>
  <c r="BX35" i="6" s="1"/>
  <c r="C35" i="6"/>
  <c r="CF13" i="6"/>
  <c r="CK13" i="6" s="1"/>
  <c r="CP13" i="6" s="1"/>
  <c r="CU13" i="6" s="1"/>
  <c r="AF27" i="6"/>
  <c r="AZ27" i="6"/>
  <c r="BT27" i="6"/>
  <c r="AK35" i="6"/>
  <c r="BY35" i="6"/>
  <c r="O35" i="6"/>
  <c r="AI27" i="6"/>
  <c r="BC27" i="6"/>
  <c r="BW35" i="6"/>
  <c r="AZ31" i="6"/>
  <c r="AZ35" i="6" s="1"/>
  <c r="J35" i="6"/>
  <c r="BM35" i="6"/>
  <c r="C27" i="6"/>
  <c r="CM27" i="6"/>
  <c r="CM31" i="6"/>
  <c r="CM35" i="6" s="1"/>
  <c r="Q35" i="6"/>
  <c r="AA27" i="6"/>
  <c r="L27" i="6"/>
  <c r="AK27" i="6"/>
  <c r="T27" i="6"/>
  <c r="BH27" i="6"/>
  <c r="U27" i="6"/>
  <c r="AO35" i="6"/>
  <c r="Y35" i="6"/>
  <c r="AA35" i="6"/>
  <c r="AU27" i="6"/>
  <c r="BO27" i="6"/>
  <c r="AE27" i="6"/>
  <c r="AY35" i="6"/>
  <c r="BS27" i="6"/>
  <c r="V35" i="6"/>
  <c r="AO27" i="6"/>
  <c r="CC27" i="6"/>
  <c r="BI27" i="6"/>
  <c r="AT35" i="6"/>
  <c r="BJ35" i="6"/>
  <c r="BJ27" i="6"/>
  <c r="CL27" i="6"/>
  <c r="AS27" i="6"/>
  <c r="BI35" i="6"/>
  <c r="BM27" i="6"/>
  <c r="AX35" i="6"/>
  <c r="BT35" i="6"/>
  <c r="AP35" i="6"/>
  <c r="BC35" i="6"/>
  <c r="BD27" i="6"/>
  <c r="E27" i="6"/>
  <c r="BD35" i="6"/>
  <c r="AD31" i="6"/>
  <c r="AD35" i="6" s="1"/>
  <c r="AD27" i="6"/>
  <c r="BE27" i="6"/>
  <c r="J27" i="6"/>
  <c r="AN31" i="6"/>
  <c r="BE35" i="6"/>
  <c r="G35" i="6"/>
  <c r="O27" i="6"/>
  <c r="AP27" i="6"/>
  <c r="AS31" i="6"/>
  <c r="AS35" i="6" s="1"/>
  <c r="BS31" i="6"/>
  <c r="BS35" i="6" s="1"/>
  <c r="BH35" i="6"/>
  <c r="G27" i="6"/>
  <c r="Q27" i="6"/>
  <c r="AT27" i="6"/>
  <c r="U31" i="6"/>
  <c r="U35" i="6" s="1"/>
  <c r="AU31" i="6"/>
  <c r="AU35" i="6" s="1"/>
  <c r="V27" i="6"/>
  <c r="BW27" i="6"/>
  <c r="BR27" i="6"/>
  <c r="T35" i="6"/>
  <c r="F31" i="6"/>
  <c r="F35" i="6" s="1"/>
  <c r="F27" i="6"/>
  <c r="AI35" i="6"/>
  <c r="K35" i="6"/>
  <c r="AJ35" i="6"/>
  <c r="AJ27" i="6"/>
  <c r="Y27" i="6"/>
  <c r="AX27" i="6"/>
  <c r="BY27" i="6"/>
  <c r="AE35" i="6"/>
  <c r="L35" i="6"/>
  <c r="K27" i="6"/>
  <c r="AY27" i="6"/>
  <c r="D31" i="6"/>
  <c r="D35" i="6" s="1"/>
  <c r="AF35" i="6"/>
  <c r="CC31" i="6"/>
  <c r="CC35" i="6" s="1"/>
  <c r="BO35" i="6"/>
  <c r="BN31" i="6"/>
  <c r="BN35" i="6" s="1"/>
  <c r="BN27" i="6"/>
  <c r="CL35" i="6"/>
  <c r="CD35" i="6"/>
  <c r="CD27" i="6"/>
  <c r="CB34" i="6"/>
  <c r="CN27" i="6"/>
  <c r="CN35" i="6"/>
  <c r="CH27" i="6"/>
  <c r="CI27" i="6"/>
  <c r="CI31" i="6"/>
  <c r="CI35" i="6" s="1"/>
  <c r="CG27" i="6"/>
  <c r="CG31" i="6"/>
  <c r="CG35" i="6" s="1"/>
  <c r="CH31" i="6"/>
  <c r="CH35" i="6" s="1"/>
  <c r="AN19" i="6"/>
  <c r="CE32" i="7" l="1"/>
  <c r="CE36" i="7" s="1"/>
  <c r="CE18" i="7"/>
  <c r="BA4" i="7"/>
  <c r="BF4" i="7" s="1"/>
  <c r="EC13" i="6"/>
  <c r="DX16" i="6"/>
  <c r="DX34" i="6" s="1"/>
  <c r="CU16" i="6"/>
  <c r="CU34" i="6" s="1"/>
  <c r="CZ13" i="6"/>
  <c r="CB35" i="6"/>
  <c r="DT12" i="6"/>
  <c r="DI16" i="6"/>
  <c r="DI34" i="6" s="1"/>
  <c r="CP16" i="6"/>
  <c r="CP34" i="6" s="1"/>
  <c r="AN26" i="6"/>
  <c r="AN27" i="6" s="1"/>
  <c r="AN32" i="6"/>
  <c r="AN35" i="6" s="1"/>
  <c r="AM17" i="6"/>
  <c r="EH13" i="6" l="1"/>
  <c r="EC16" i="6"/>
  <c r="EC34" i="6" s="1"/>
  <c r="DY12" i="6"/>
  <c r="DE13" i="6"/>
  <c r="CZ16" i="6"/>
  <c r="CZ34" i="6" s="1"/>
  <c r="AR17" i="6"/>
  <c r="AR30" i="6" s="1"/>
  <c r="AM30" i="6"/>
  <c r="AW17" i="6"/>
  <c r="AW30" i="6" s="1"/>
  <c r="AL17" i="6"/>
  <c r="AL30" i="6" s="1"/>
  <c r="I10" i="6"/>
  <c r="N10" i="6" s="1"/>
  <c r="H10" i="6"/>
  <c r="M10" i="6" s="1"/>
  <c r="R10" i="6" s="1"/>
  <c r="AB10" i="6" s="1"/>
  <c r="AG10" i="6" s="1"/>
  <c r="AL10" i="6" s="1"/>
  <c r="AQ10" i="6" s="1"/>
  <c r="AV10" i="6" s="1"/>
  <c r="BA10" i="6" s="1"/>
  <c r="BF10" i="6" s="1"/>
  <c r="BK10" i="6" s="1"/>
  <c r="BP10" i="6" s="1"/>
  <c r="BU10" i="6" s="1"/>
  <c r="BZ10" i="6" s="1"/>
  <c r="CE10" i="6" s="1"/>
  <c r="CJ10" i="6" s="1"/>
  <c r="CO10" i="6" s="1"/>
  <c r="CT10" i="6" s="1"/>
  <c r="CY10" i="6" s="1"/>
  <c r="DD10" i="6" s="1"/>
  <c r="DI10" i="6" s="1"/>
  <c r="DN10" i="6" s="1"/>
  <c r="DS10" i="6" s="1"/>
  <c r="DX10" i="6" s="1"/>
  <c r="EC10" i="6" s="1"/>
  <c r="EH10" i="6" s="1"/>
  <c r="EM10" i="6" s="1"/>
  <c r="I25" i="6"/>
  <c r="N25" i="6" s="1"/>
  <c r="S25" i="6" s="1"/>
  <c r="X25" i="6" s="1"/>
  <c r="AC25" i="6" s="1"/>
  <c r="H25" i="6"/>
  <c r="M25" i="6" s="1"/>
  <c r="R25" i="6" s="1"/>
  <c r="W25" i="6" s="1"/>
  <c r="AB25" i="6" s="1"/>
  <c r="AG25" i="6" s="1"/>
  <c r="AL25" i="6" s="1"/>
  <c r="AQ25" i="6" s="1"/>
  <c r="AV25" i="6" s="1"/>
  <c r="BA25" i="6" s="1"/>
  <c r="BF25" i="6" s="1"/>
  <c r="BK25" i="6" s="1"/>
  <c r="BP25" i="6" s="1"/>
  <c r="BU25" i="6" s="1"/>
  <c r="H24" i="6"/>
  <c r="M24" i="6" s="1"/>
  <c r="R24" i="6" s="1"/>
  <c r="I24" i="6"/>
  <c r="N24" i="6" s="1"/>
  <c r="S24" i="6" s="1"/>
  <c r="X24" i="6" s="1"/>
  <c r="AC24" i="6" s="1"/>
  <c r="I23" i="6"/>
  <c r="N23" i="6" s="1"/>
  <c r="S23" i="6" s="1"/>
  <c r="H23" i="6"/>
  <c r="M23" i="6" s="1"/>
  <c r="R23" i="6" s="1"/>
  <c r="H22" i="6"/>
  <c r="M22" i="6" s="1"/>
  <c r="R22" i="6" s="1"/>
  <c r="W22" i="6" s="1"/>
  <c r="AB22" i="6" s="1"/>
  <c r="AG22" i="6" s="1"/>
  <c r="AL22" i="6" s="1"/>
  <c r="AQ22" i="6" s="1"/>
  <c r="AV22" i="6" s="1"/>
  <c r="BA22" i="6" s="1"/>
  <c r="BF22" i="6" s="1"/>
  <c r="BK22" i="6" s="1"/>
  <c r="BP22" i="6" s="1"/>
  <c r="BU22" i="6" s="1"/>
  <c r="BZ22" i="6" s="1"/>
  <c r="CE22" i="6" s="1"/>
  <c r="CJ22" i="6" s="1"/>
  <c r="CO22" i="6" s="1"/>
  <c r="CT22" i="6" s="1"/>
  <c r="CY22" i="6" s="1"/>
  <c r="DD22" i="6" s="1"/>
  <c r="DI22" i="6" s="1"/>
  <c r="DN22" i="6" s="1"/>
  <c r="DS22" i="6" s="1"/>
  <c r="DX22" i="6" s="1"/>
  <c r="EC22" i="6" s="1"/>
  <c r="EH22" i="6" s="1"/>
  <c r="EM22" i="6" s="1"/>
  <c r="H20" i="6"/>
  <c r="M20" i="6" s="1"/>
  <c r="R20" i="6" s="1"/>
  <c r="W20" i="6" s="1"/>
  <c r="AB20" i="6" s="1"/>
  <c r="AG20" i="6" s="1"/>
  <c r="AL20" i="6" s="1"/>
  <c r="AQ20" i="6" s="1"/>
  <c r="AV20" i="6" s="1"/>
  <c r="BA20" i="6" s="1"/>
  <c r="BF20" i="6" s="1"/>
  <c r="BK20" i="6" s="1"/>
  <c r="BP20" i="6" s="1"/>
  <c r="BU20" i="6" s="1"/>
  <c r="I17" i="6"/>
  <c r="H17" i="6"/>
  <c r="H9" i="6"/>
  <c r="M9" i="6" s="1"/>
  <c r="R9" i="6" s="1"/>
  <c r="AB9" i="6" s="1"/>
  <c r="AG9" i="6" s="1"/>
  <c r="AL9" i="6" s="1"/>
  <c r="AQ9" i="6" s="1"/>
  <c r="AV9" i="6" s="1"/>
  <c r="BA9" i="6" s="1"/>
  <c r="BF9" i="6" s="1"/>
  <c r="BK9" i="6" s="1"/>
  <c r="BP9" i="6" s="1"/>
  <c r="BU9" i="6" s="1"/>
  <c r="BZ9" i="6" s="1"/>
  <c r="CE9" i="6" s="1"/>
  <c r="CJ9" i="6" s="1"/>
  <c r="CO9" i="6" s="1"/>
  <c r="CT9" i="6" s="1"/>
  <c r="CY9" i="6" s="1"/>
  <c r="DD9" i="6" s="1"/>
  <c r="DI9" i="6" s="1"/>
  <c r="DN9" i="6" s="1"/>
  <c r="DS9" i="6" s="1"/>
  <c r="DX9" i="6" s="1"/>
  <c r="EC9" i="6" s="1"/>
  <c r="EH9" i="6" s="1"/>
  <c r="EM9" i="6" s="1"/>
  <c r="I9" i="6"/>
  <c r="N9" i="6" s="1"/>
  <c r="H8" i="6"/>
  <c r="M8" i="6" s="1"/>
  <c r="R8" i="6" s="1"/>
  <c r="W8" i="6" s="1"/>
  <c r="AB8" i="6" s="1"/>
  <c r="AG8" i="6" s="1"/>
  <c r="AL8" i="6" s="1"/>
  <c r="AQ8" i="6" s="1"/>
  <c r="AV8" i="6" s="1"/>
  <c r="BA8" i="6" s="1"/>
  <c r="BF8" i="6" s="1"/>
  <c r="BK8" i="6" s="1"/>
  <c r="BP8" i="6" s="1"/>
  <c r="BU8" i="6" s="1"/>
  <c r="BZ8" i="6" s="1"/>
  <c r="CE8" i="6" s="1"/>
  <c r="CJ8" i="6" s="1"/>
  <c r="CO8" i="6" s="1"/>
  <c r="CT8" i="6" s="1"/>
  <c r="CY8" i="6" s="1"/>
  <c r="DD8" i="6" s="1"/>
  <c r="DI8" i="6" s="1"/>
  <c r="DN8" i="6" s="1"/>
  <c r="DS8" i="6" s="1"/>
  <c r="DX8" i="6" s="1"/>
  <c r="EC8" i="6" s="1"/>
  <c r="EH8" i="6" s="1"/>
  <c r="EM8" i="6" s="1"/>
  <c r="I8" i="6"/>
  <c r="N8" i="6" s="1"/>
  <c r="H7" i="6"/>
  <c r="M7" i="6" s="1"/>
  <c r="R7" i="6" s="1"/>
  <c r="W7" i="6" s="1"/>
  <c r="AB7" i="6" s="1"/>
  <c r="AG7" i="6" s="1"/>
  <c r="I7" i="6"/>
  <c r="N7" i="6" s="1"/>
  <c r="H6" i="6"/>
  <c r="R6" i="6" s="1"/>
  <c r="W6" i="6" s="1"/>
  <c r="H5" i="6"/>
  <c r="M5" i="6" s="1"/>
  <c r="R5" i="6" s="1"/>
  <c r="AB5" i="6" s="1"/>
  <c r="AG5" i="6" s="1"/>
  <c r="AL5" i="6" s="1"/>
  <c r="AQ5" i="6" s="1"/>
  <c r="AV5" i="6" s="1"/>
  <c r="BA5" i="6" s="1"/>
  <c r="BF5" i="6" s="1"/>
  <c r="BK5" i="6" s="1"/>
  <c r="BP5" i="6" s="1"/>
  <c r="BU5" i="6" s="1"/>
  <c r="BZ5" i="6" s="1"/>
  <c r="CE5" i="6" s="1"/>
  <c r="I5" i="6"/>
  <c r="N5" i="6" s="1"/>
  <c r="EH11" i="5"/>
  <c r="EH21" i="5" s="1"/>
  <c r="EH24" i="5"/>
  <c r="EG24" i="5"/>
  <c r="EF24" i="5"/>
  <c r="EH23" i="5"/>
  <c r="EG23" i="5"/>
  <c r="EF23" i="5"/>
  <c r="EH20" i="5"/>
  <c r="EG20" i="5"/>
  <c r="EF20" i="5"/>
  <c r="EE19" i="5"/>
  <c r="ED19" i="5"/>
  <c r="EE18" i="5"/>
  <c r="ED18" i="5"/>
  <c r="EE17" i="5"/>
  <c r="ED17" i="5"/>
  <c r="EE16" i="5"/>
  <c r="ED16" i="5"/>
  <c r="EE15" i="5"/>
  <c r="ED15" i="5"/>
  <c r="ED24" i="5" s="1"/>
  <c r="EE14" i="5"/>
  <c r="ED14" i="5"/>
  <c r="EE13" i="5"/>
  <c r="ED13" i="5"/>
  <c r="ED20" i="5" s="1"/>
  <c r="EG11" i="5"/>
  <c r="EF11" i="5"/>
  <c r="EE10" i="5"/>
  <c r="ED10" i="5"/>
  <c r="EE9" i="5"/>
  <c r="ED9" i="5"/>
  <c r="EE8" i="5"/>
  <c r="ED8" i="5"/>
  <c r="EE7" i="5"/>
  <c r="ED7" i="5"/>
  <c r="EE6" i="5"/>
  <c r="ED6" i="5"/>
  <c r="EE5" i="5"/>
  <c r="ED5" i="5"/>
  <c r="ED11" i="5" s="1"/>
  <c r="EE4" i="5"/>
  <c r="ED4" i="5"/>
  <c r="H5" i="7" l="1"/>
  <c r="EM13" i="6"/>
  <c r="EM16" i="6" s="1"/>
  <c r="EM34" i="6" s="1"/>
  <c r="EH16" i="6"/>
  <c r="EH34" i="6" s="1"/>
  <c r="DJ13" i="6"/>
  <c r="DE16" i="6"/>
  <c r="DE34" i="6" s="1"/>
  <c r="ED12" i="6"/>
  <c r="W11" i="6"/>
  <c r="W31" i="6" s="1"/>
  <c r="S16" i="6"/>
  <c r="S34" i="6" s="1"/>
  <c r="CJ5" i="6"/>
  <c r="CO5" i="6" s="1"/>
  <c r="M17" i="6"/>
  <c r="M30" i="6" s="1"/>
  <c r="H30" i="6"/>
  <c r="N17" i="6"/>
  <c r="N30" i="6" s="1"/>
  <c r="I30" i="6"/>
  <c r="R16" i="6"/>
  <c r="R34" i="6" s="1"/>
  <c r="BZ20" i="6"/>
  <c r="CE20" i="6" s="1"/>
  <c r="CJ20" i="6" s="1"/>
  <c r="CO20" i="6" s="1"/>
  <c r="CT20" i="6" s="1"/>
  <c r="CY20" i="6" s="1"/>
  <c r="DD20" i="6" s="1"/>
  <c r="DI20" i="6" s="1"/>
  <c r="DN20" i="6" s="1"/>
  <c r="DS20" i="6" s="1"/>
  <c r="DX20" i="6" s="1"/>
  <c r="EC20" i="6" s="1"/>
  <c r="AQ17" i="6"/>
  <c r="AQ30" i="6" s="1"/>
  <c r="BB17" i="6"/>
  <c r="BB30" i="6" s="1"/>
  <c r="AL7" i="6"/>
  <c r="AQ7" i="6" s="1"/>
  <c r="AV7" i="6" s="1"/>
  <c r="BA7" i="6" s="1"/>
  <c r="BF7" i="6" s="1"/>
  <c r="BK7" i="6" s="1"/>
  <c r="BP7" i="6" s="1"/>
  <c r="BU7" i="6" s="1"/>
  <c r="BZ7" i="6" s="1"/>
  <c r="CE7" i="6" s="1"/>
  <c r="CJ7" i="6" s="1"/>
  <c r="CO7" i="6" s="1"/>
  <c r="CT7" i="6" s="1"/>
  <c r="CY7" i="6" s="1"/>
  <c r="DD7" i="6" s="1"/>
  <c r="DI7" i="6" s="1"/>
  <c r="DN7" i="6" s="1"/>
  <c r="DS7" i="6" s="1"/>
  <c r="DX7" i="6" s="1"/>
  <c r="EC7" i="6" s="1"/>
  <c r="EH7" i="6" s="1"/>
  <c r="EM7" i="6" s="1"/>
  <c r="X23" i="6"/>
  <c r="AC23" i="6" s="1"/>
  <c r="W24" i="6"/>
  <c r="AB24" i="6" s="1"/>
  <c r="AG24" i="6" s="1"/>
  <c r="AL24" i="6" s="1"/>
  <c r="AQ24" i="6" s="1"/>
  <c r="AV24" i="6" s="1"/>
  <c r="BA24" i="6" s="1"/>
  <c r="BF24" i="6" s="1"/>
  <c r="BK24" i="6" s="1"/>
  <c r="BP24" i="6" s="1"/>
  <c r="BU24" i="6" s="1"/>
  <c r="BZ24" i="6" s="1"/>
  <c r="CE24" i="6" s="1"/>
  <c r="CJ24" i="6" s="1"/>
  <c r="CO24" i="6" s="1"/>
  <c r="CT24" i="6" s="1"/>
  <c r="CY24" i="6" s="1"/>
  <c r="DD24" i="6" s="1"/>
  <c r="DI24" i="6" s="1"/>
  <c r="DN24" i="6" s="1"/>
  <c r="DS24" i="6" s="1"/>
  <c r="DX24" i="6" s="1"/>
  <c r="EC24" i="6" s="1"/>
  <c r="EH24" i="6" s="1"/>
  <c r="EM24" i="6" s="1"/>
  <c r="W23" i="6"/>
  <c r="AB23" i="6" s="1"/>
  <c r="AG23" i="6" s="1"/>
  <c r="AL23" i="6" s="1"/>
  <c r="AQ23" i="6" s="1"/>
  <c r="AV23" i="6" s="1"/>
  <c r="BA23" i="6" s="1"/>
  <c r="BF23" i="6" s="1"/>
  <c r="AB6" i="6"/>
  <c r="AG6" i="6" s="1"/>
  <c r="AL6" i="6" s="1"/>
  <c r="AQ6" i="6" s="1"/>
  <c r="AV6" i="6" s="1"/>
  <c r="BA6" i="6" s="1"/>
  <c r="BF6" i="6" s="1"/>
  <c r="BK6" i="6" s="1"/>
  <c r="BP6" i="6" s="1"/>
  <c r="BU6" i="6" s="1"/>
  <c r="I6" i="6"/>
  <c r="N6" i="6" s="1"/>
  <c r="I20" i="6"/>
  <c r="N20" i="6" s="1"/>
  <c r="S20" i="6" s="1"/>
  <c r="X20" i="6" s="1"/>
  <c r="AC20" i="6" s="1"/>
  <c r="I22" i="6"/>
  <c r="N22" i="6" s="1"/>
  <c r="S22" i="6" s="1"/>
  <c r="X22" i="6" s="1"/>
  <c r="AC22" i="6" s="1"/>
  <c r="EE24" i="5"/>
  <c r="EE20" i="5"/>
  <c r="EE11" i="5"/>
  <c r="EF21" i="5"/>
  <c r="EG21" i="5"/>
  <c r="ED21" i="5"/>
  <c r="ED23" i="5"/>
  <c r="EE23" i="5"/>
  <c r="M5" i="7" l="1"/>
  <c r="H8" i="7"/>
  <c r="H35" i="7" s="1"/>
  <c r="EI12" i="6"/>
  <c r="EH20" i="6"/>
  <c r="EM20" i="6" s="1"/>
  <c r="DO13" i="6"/>
  <c r="DJ16" i="6"/>
  <c r="DJ34" i="6" s="1"/>
  <c r="BG17" i="6"/>
  <c r="BG30" i="6" s="1"/>
  <c r="CT5" i="6"/>
  <c r="CY5" i="6" s="1"/>
  <c r="DD5" i="6" s="1"/>
  <c r="X16" i="6"/>
  <c r="X34" i="6" s="1"/>
  <c r="R17" i="6"/>
  <c r="S17" i="6"/>
  <c r="AB16" i="6"/>
  <c r="AB34" i="6" s="1"/>
  <c r="BZ6" i="6"/>
  <c r="CE6" i="6" s="1"/>
  <c r="CJ6" i="6" s="1"/>
  <c r="CO6" i="6" s="1"/>
  <c r="CT6" i="6" s="1"/>
  <c r="CY6" i="6" s="1"/>
  <c r="DD6" i="6" s="1"/>
  <c r="DI6" i="6" s="1"/>
  <c r="DN6" i="6" s="1"/>
  <c r="DS6" i="6" s="1"/>
  <c r="DX6" i="6" s="1"/>
  <c r="EC6" i="6" s="1"/>
  <c r="EH6" i="6" s="1"/>
  <c r="EM6" i="6" s="1"/>
  <c r="BK23" i="6"/>
  <c r="AV17" i="6"/>
  <c r="EE21" i="5"/>
  <c r="R5" i="7" l="1"/>
  <c r="M8" i="7"/>
  <c r="M35" i="7" s="1"/>
  <c r="DI5" i="6"/>
  <c r="DN5" i="6" s="1"/>
  <c r="DS5" i="6" s="1"/>
  <c r="DX5" i="6" s="1"/>
  <c r="EC5" i="6" s="1"/>
  <c r="EH5" i="6" s="1"/>
  <c r="EM5" i="6" s="1"/>
  <c r="DT13" i="6"/>
  <c r="DO16" i="6"/>
  <c r="DO34" i="6" s="1"/>
  <c r="BL17" i="6"/>
  <c r="BL30" i="6" s="1"/>
  <c r="EN12" i="6"/>
  <c r="AV30" i="6"/>
  <c r="BA17" i="6"/>
  <c r="BA30" i="6" s="1"/>
  <c r="AG16" i="6"/>
  <c r="AG34" i="6" s="1"/>
  <c r="X17" i="6"/>
  <c r="S30" i="6"/>
  <c r="W17" i="6"/>
  <c r="R30" i="6"/>
  <c r="AC16" i="6"/>
  <c r="AC34" i="6" s="1"/>
  <c r="BP23" i="6"/>
  <c r="BU23" i="6" s="1"/>
  <c r="BZ23" i="6" s="1"/>
  <c r="CE23" i="6" s="1"/>
  <c r="CJ23" i="6" s="1"/>
  <c r="CO23" i="6" s="1"/>
  <c r="CT23" i="6" s="1"/>
  <c r="CY23" i="6" s="1"/>
  <c r="DD23" i="6" s="1"/>
  <c r="DI23" i="6" s="1"/>
  <c r="DN23" i="6" s="1"/>
  <c r="DS23" i="6" s="1"/>
  <c r="DX23" i="6" s="1"/>
  <c r="EC23" i="6" s="1"/>
  <c r="EC24" i="5"/>
  <c r="EB24" i="5"/>
  <c r="EA24" i="5"/>
  <c r="DZ24" i="5"/>
  <c r="DY24" i="5"/>
  <c r="DX24" i="5"/>
  <c r="DW24" i="5"/>
  <c r="DV24" i="5"/>
  <c r="DU24" i="5"/>
  <c r="DT24" i="5"/>
  <c r="DS24" i="5"/>
  <c r="DR24" i="5"/>
  <c r="DQ24" i="5"/>
  <c r="DP24" i="5"/>
  <c r="DO24" i="5"/>
  <c r="DN24" i="5"/>
  <c r="DM24" i="5"/>
  <c r="DL24" i="5"/>
  <c r="DK24" i="5"/>
  <c r="DJ24" i="5"/>
  <c r="DI24" i="5"/>
  <c r="DH24" i="5"/>
  <c r="DG24" i="5"/>
  <c r="DF24" i="5"/>
  <c r="DE24" i="5"/>
  <c r="DD24" i="5"/>
  <c r="DC24" i="5"/>
  <c r="DB24" i="5"/>
  <c r="DA24" i="5"/>
  <c r="CZ24" i="5"/>
  <c r="CY24" i="5"/>
  <c r="CX24" i="5"/>
  <c r="CW24" i="5"/>
  <c r="CV24" i="5"/>
  <c r="CU24" i="5"/>
  <c r="CT24" i="5"/>
  <c r="CS24" i="5"/>
  <c r="CR24" i="5"/>
  <c r="CQ24" i="5"/>
  <c r="CP24" i="5"/>
  <c r="CO24" i="5"/>
  <c r="CN24" i="5"/>
  <c r="CM24" i="5"/>
  <c r="CL24" i="5"/>
  <c r="CK24" i="5"/>
  <c r="CJ24" i="5"/>
  <c r="CI24" i="5"/>
  <c r="CH24" i="5"/>
  <c r="CG24" i="5"/>
  <c r="CF24" i="5"/>
  <c r="CE24" i="5"/>
  <c r="CD24" i="5"/>
  <c r="CC24" i="5"/>
  <c r="CB24" i="5"/>
  <c r="CA24" i="5"/>
  <c r="BZ24" i="5"/>
  <c r="BY24" i="5"/>
  <c r="BX24" i="5"/>
  <c r="BW24" i="5"/>
  <c r="BV24" i="5"/>
  <c r="BU24" i="5"/>
  <c r="BT24" i="5"/>
  <c r="BS24" i="5"/>
  <c r="BR24" i="5"/>
  <c r="BQ24" i="5"/>
  <c r="BP24" i="5"/>
  <c r="BO24" i="5"/>
  <c r="BN24" i="5"/>
  <c r="BM24" i="5"/>
  <c r="BL24" i="5"/>
  <c r="BK24" i="5"/>
  <c r="BJ24" i="5"/>
  <c r="BI24" i="5"/>
  <c r="BH24" i="5"/>
  <c r="BG24" i="5"/>
  <c r="BF24" i="5"/>
  <c r="BE24" i="5"/>
  <c r="BD24" i="5"/>
  <c r="BC24" i="5"/>
  <c r="BB24" i="5"/>
  <c r="BA24" i="5"/>
  <c r="AZ24" i="5"/>
  <c r="AY24" i="5"/>
  <c r="AX24" i="5"/>
  <c r="AW24" i="5"/>
  <c r="AV24" i="5"/>
  <c r="AU24" i="5"/>
  <c r="AT24" i="5"/>
  <c r="AS24" i="5"/>
  <c r="AR24" i="5"/>
  <c r="AQ24" i="5"/>
  <c r="AP24" i="5"/>
  <c r="AO24" i="5"/>
  <c r="AN24" i="5"/>
  <c r="AM24" i="5"/>
  <c r="AL24" i="5"/>
  <c r="AK24" i="5"/>
  <c r="AJ24" i="5"/>
  <c r="AI24" i="5"/>
  <c r="AH24" i="5"/>
  <c r="AG24" i="5"/>
  <c r="AF24" i="5"/>
  <c r="AE24" i="5"/>
  <c r="AD24" i="5"/>
  <c r="AC24" i="5"/>
  <c r="AB24" i="5"/>
  <c r="AA24" i="5"/>
  <c r="Z24" i="5"/>
  <c r="Y24" i="5"/>
  <c r="X24" i="5"/>
  <c r="W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  <c r="F24" i="5"/>
  <c r="E24" i="5"/>
  <c r="EC23" i="5"/>
  <c r="EB23" i="5"/>
  <c r="EA23" i="5"/>
  <c r="DZ23" i="5"/>
  <c r="DY23" i="5"/>
  <c r="DX23" i="5"/>
  <c r="DW23" i="5"/>
  <c r="DV23" i="5"/>
  <c r="DU23" i="5"/>
  <c r="DT23" i="5"/>
  <c r="DS23" i="5"/>
  <c r="DR23" i="5"/>
  <c r="DQ23" i="5"/>
  <c r="DP23" i="5"/>
  <c r="DO23" i="5"/>
  <c r="DN23" i="5"/>
  <c r="DM23" i="5"/>
  <c r="DL23" i="5"/>
  <c r="DK23" i="5"/>
  <c r="DJ23" i="5"/>
  <c r="DI23" i="5"/>
  <c r="DH23" i="5"/>
  <c r="DG23" i="5"/>
  <c r="DF23" i="5"/>
  <c r="DE23" i="5"/>
  <c r="DD23" i="5"/>
  <c r="DC23" i="5"/>
  <c r="DB23" i="5"/>
  <c r="DA23" i="5"/>
  <c r="CZ23" i="5"/>
  <c r="CY23" i="5"/>
  <c r="CX23" i="5"/>
  <c r="CW23" i="5"/>
  <c r="CV23" i="5"/>
  <c r="CU23" i="5"/>
  <c r="CT23" i="5"/>
  <c r="CS23" i="5"/>
  <c r="CR23" i="5"/>
  <c r="CQ23" i="5"/>
  <c r="CP23" i="5"/>
  <c r="CO23" i="5"/>
  <c r="CN23" i="5"/>
  <c r="CM23" i="5"/>
  <c r="CL23" i="5"/>
  <c r="CK23" i="5"/>
  <c r="CJ23" i="5"/>
  <c r="CI23" i="5"/>
  <c r="CH23" i="5"/>
  <c r="CG23" i="5"/>
  <c r="CF23" i="5"/>
  <c r="CE23" i="5"/>
  <c r="CD23" i="5"/>
  <c r="CC23" i="5"/>
  <c r="CB23" i="5"/>
  <c r="CA23" i="5"/>
  <c r="BZ23" i="5"/>
  <c r="BY23" i="5"/>
  <c r="BX23" i="5"/>
  <c r="BW23" i="5"/>
  <c r="BV23" i="5"/>
  <c r="BU23" i="5"/>
  <c r="BT23" i="5"/>
  <c r="BS23" i="5"/>
  <c r="BR23" i="5"/>
  <c r="BQ23" i="5"/>
  <c r="BP23" i="5"/>
  <c r="BO23" i="5"/>
  <c r="BN23" i="5"/>
  <c r="BM23" i="5"/>
  <c r="BL23" i="5"/>
  <c r="BK23" i="5"/>
  <c r="BJ23" i="5"/>
  <c r="BI23" i="5"/>
  <c r="BH23" i="5"/>
  <c r="BG23" i="5"/>
  <c r="BF23" i="5"/>
  <c r="BE23" i="5"/>
  <c r="BD23" i="5"/>
  <c r="BC23" i="5"/>
  <c r="BB23" i="5"/>
  <c r="BA23" i="5"/>
  <c r="AZ23" i="5"/>
  <c r="AY23" i="5"/>
  <c r="AX23" i="5"/>
  <c r="AW23" i="5"/>
  <c r="AV23" i="5"/>
  <c r="AU23" i="5"/>
  <c r="AT23" i="5"/>
  <c r="AS23" i="5"/>
  <c r="AR23" i="5"/>
  <c r="AQ23" i="5"/>
  <c r="AP23" i="5"/>
  <c r="AO23" i="5"/>
  <c r="AN23" i="5"/>
  <c r="AM23" i="5"/>
  <c r="AL23" i="5"/>
  <c r="AK23" i="5"/>
  <c r="AJ23" i="5"/>
  <c r="AI23" i="5"/>
  <c r="AH23" i="5"/>
  <c r="AG23" i="5"/>
  <c r="AF23" i="5"/>
  <c r="AE23" i="5"/>
  <c r="AD23" i="5"/>
  <c r="AC23" i="5"/>
  <c r="AB23" i="5"/>
  <c r="AA23" i="5"/>
  <c r="Z23" i="5"/>
  <c r="Y23" i="5"/>
  <c r="X23" i="5"/>
  <c r="W23" i="5"/>
  <c r="V23" i="5"/>
  <c r="U23" i="5"/>
  <c r="T23" i="5"/>
  <c r="S23" i="5"/>
  <c r="R23" i="5"/>
  <c r="Q23" i="5"/>
  <c r="P23" i="5"/>
  <c r="O23" i="5"/>
  <c r="N23" i="5"/>
  <c r="M23" i="5"/>
  <c r="L23" i="5"/>
  <c r="K23" i="5"/>
  <c r="J23" i="5"/>
  <c r="I23" i="5"/>
  <c r="H23" i="5"/>
  <c r="G23" i="5"/>
  <c r="F23" i="5"/>
  <c r="E23" i="5"/>
  <c r="D24" i="5"/>
  <c r="D23" i="5"/>
  <c r="DX11" i="5"/>
  <c r="EC20" i="5"/>
  <c r="EB20" i="5"/>
  <c r="EA20" i="5"/>
  <c r="EC11" i="5"/>
  <c r="EB11" i="5"/>
  <c r="EA11" i="5"/>
  <c r="DX20" i="5"/>
  <c r="DW20" i="5"/>
  <c r="DV20" i="5"/>
  <c r="DV21" i="5" s="1"/>
  <c r="DW11" i="5"/>
  <c r="DV11" i="5"/>
  <c r="DS20" i="5"/>
  <c r="DR20" i="5"/>
  <c r="DQ20" i="5"/>
  <c r="DP19" i="5"/>
  <c r="DU19" i="5" s="1"/>
  <c r="DO19" i="5"/>
  <c r="DT19" i="5" s="1"/>
  <c r="DY19" i="5" s="1"/>
  <c r="DO18" i="5"/>
  <c r="DT18" i="5" s="1"/>
  <c r="DY18" i="5" s="1"/>
  <c r="DP17" i="5"/>
  <c r="DU17" i="5" s="1"/>
  <c r="DO17" i="5"/>
  <c r="DT17" i="5" s="1"/>
  <c r="DY17" i="5" s="1"/>
  <c r="DP16" i="5"/>
  <c r="DU16" i="5" s="1"/>
  <c r="DZ16" i="5" s="1"/>
  <c r="DO16" i="5"/>
  <c r="DT16" i="5" s="1"/>
  <c r="DY16" i="5" s="1"/>
  <c r="DP15" i="5"/>
  <c r="DU15" i="5" s="1"/>
  <c r="DZ15" i="5" s="1"/>
  <c r="DO15" i="5"/>
  <c r="DT15" i="5" s="1"/>
  <c r="DO14" i="5"/>
  <c r="DT14" i="5" s="1"/>
  <c r="DY14" i="5" s="1"/>
  <c r="DP13" i="5"/>
  <c r="DU13" i="5" s="1"/>
  <c r="DZ13" i="5" s="1"/>
  <c r="DO13" i="5"/>
  <c r="DS11" i="5"/>
  <c r="DS21" i="5" s="1"/>
  <c r="DR11" i="5"/>
  <c r="DQ11" i="5"/>
  <c r="DO10" i="5"/>
  <c r="DT10" i="5" s="1"/>
  <c r="DY10" i="5" s="1"/>
  <c r="DO9" i="5"/>
  <c r="DT9" i="5" s="1"/>
  <c r="DY9" i="5" s="1"/>
  <c r="DP8" i="5"/>
  <c r="DU8" i="5" s="1"/>
  <c r="DZ8" i="5" s="1"/>
  <c r="DO8" i="5"/>
  <c r="DT8" i="5" s="1"/>
  <c r="DY8" i="5" s="1"/>
  <c r="DO7" i="5"/>
  <c r="DT7" i="5" s="1"/>
  <c r="DY7" i="5" s="1"/>
  <c r="DP6" i="5"/>
  <c r="DU6" i="5" s="1"/>
  <c r="DZ6" i="5" s="1"/>
  <c r="DO6" i="5"/>
  <c r="DT6" i="5" s="1"/>
  <c r="DY6" i="5" s="1"/>
  <c r="DO5" i="5"/>
  <c r="DT5" i="5" s="1"/>
  <c r="DO4" i="5"/>
  <c r="DN20" i="5"/>
  <c r="DM20" i="5"/>
  <c r="DL20" i="5"/>
  <c r="DK19" i="5"/>
  <c r="DJ19" i="5"/>
  <c r="DK18" i="5"/>
  <c r="DP18" i="5" s="1"/>
  <c r="DU18" i="5" s="1"/>
  <c r="DJ18" i="5"/>
  <c r="DK17" i="5"/>
  <c r="DJ17" i="5"/>
  <c r="DK16" i="5"/>
  <c r="DJ16" i="5"/>
  <c r="DK15" i="5"/>
  <c r="DJ15" i="5"/>
  <c r="DK14" i="5"/>
  <c r="DP14" i="5" s="1"/>
  <c r="DU14" i="5" s="1"/>
  <c r="DZ14" i="5" s="1"/>
  <c r="DJ14" i="5"/>
  <c r="DK13" i="5"/>
  <c r="DJ13" i="5"/>
  <c r="DN11" i="5"/>
  <c r="DN21" i="5" s="1"/>
  <c r="DM11" i="5"/>
  <c r="DL11" i="5"/>
  <c r="DJ10" i="5"/>
  <c r="DK9" i="5"/>
  <c r="DP9" i="5" s="1"/>
  <c r="DU9" i="5" s="1"/>
  <c r="DZ9" i="5" s="1"/>
  <c r="DJ9" i="5"/>
  <c r="DK8" i="5"/>
  <c r="DJ8" i="5"/>
  <c r="DK7" i="5"/>
  <c r="DP7" i="5" s="1"/>
  <c r="DU7" i="5" s="1"/>
  <c r="DZ7" i="5" s="1"/>
  <c r="DJ7" i="5"/>
  <c r="DK6" i="5"/>
  <c r="DJ6" i="5"/>
  <c r="DK5" i="5"/>
  <c r="DP5" i="5" s="1"/>
  <c r="DU5" i="5" s="1"/>
  <c r="DZ5" i="5" s="1"/>
  <c r="DJ5" i="5"/>
  <c r="DJ11" i="5" s="1"/>
  <c r="DK4" i="5"/>
  <c r="DP4" i="5" s="1"/>
  <c r="DJ4" i="5"/>
  <c r="CW6" i="5"/>
  <c r="CP16" i="5"/>
  <c r="W5" i="7" l="1"/>
  <c r="AB5" i="7" s="1"/>
  <c r="R8" i="7"/>
  <c r="R35" i="7" s="1"/>
  <c r="EH23" i="6"/>
  <c r="EM23" i="6" s="1"/>
  <c r="EC32" i="6"/>
  <c r="BQ17" i="6"/>
  <c r="BQ30" i="6" s="1"/>
  <c r="DY13" i="6"/>
  <c r="DT16" i="6"/>
  <c r="DT34" i="6" s="1"/>
  <c r="AH16" i="6"/>
  <c r="AH34" i="6" s="1"/>
  <c r="X30" i="6"/>
  <c r="Z17" i="6"/>
  <c r="AC17" i="6" s="1"/>
  <c r="AC30" i="6" s="1"/>
  <c r="W30" i="6"/>
  <c r="AL16" i="6"/>
  <c r="AL34" i="6" s="1"/>
  <c r="BV17" i="6"/>
  <c r="BV30" i="6" s="1"/>
  <c r="BF17" i="6"/>
  <c r="BF30" i="6" s="1"/>
  <c r="EA21" i="5"/>
  <c r="EB21" i="5"/>
  <c r="DQ21" i="5"/>
  <c r="EC21" i="5"/>
  <c r="DL21" i="5"/>
  <c r="DX21" i="5"/>
  <c r="DR21" i="5"/>
  <c r="DM21" i="5"/>
  <c r="DO11" i="5"/>
  <c r="DW21" i="5"/>
  <c r="DY5" i="5"/>
  <c r="DZ18" i="5"/>
  <c r="DT4" i="5"/>
  <c r="DY4" i="5" s="1"/>
  <c r="DO20" i="5"/>
  <c r="DO21" i="5" s="1"/>
  <c r="DU4" i="5"/>
  <c r="DY15" i="5"/>
  <c r="DP20" i="5"/>
  <c r="DT13" i="5"/>
  <c r="DT20" i="5" s="1"/>
  <c r="DU20" i="5"/>
  <c r="DJ20" i="5"/>
  <c r="DJ21" i="5" s="1"/>
  <c r="DK20" i="5"/>
  <c r="DI20" i="5"/>
  <c r="DH20" i="5"/>
  <c r="DG20" i="5"/>
  <c r="DI11" i="5"/>
  <c r="DH11" i="5"/>
  <c r="DH21" i="5" s="1"/>
  <c r="DG11" i="5"/>
  <c r="DD20" i="5"/>
  <c r="DC20" i="5"/>
  <c r="DB20" i="5"/>
  <c r="DA19" i="5"/>
  <c r="DF19" i="5" s="1"/>
  <c r="DA18" i="5"/>
  <c r="DF18" i="5" s="1"/>
  <c r="DA17" i="5"/>
  <c r="DF17" i="5" s="1"/>
  <c r="DA16" i="5"/>
  <c r="DF16" i="5" s="1"/>
  <c r="DA15" i="5"/>
  <c r="DF15" i="5" s="1"/>
  <c r="DA14" i="5"/>
  <c r="DF14" i="5" s="1"/>
  <c r="DA13" i="5"/>
  <c r="DD11" i="5"/>
  <c r="DC11" i="5"/>
  <c r="DB11" i="5"/>
  <c r="DF10" i="5"/>
  <c r="DK10" i="5" s="1"/>
  <c r="DP10" i="5" s="1"/>
  <c r="DU10" i="5" s="1"/>
  <c r="DZ10" i="5" s="1"/>
  <c r="DA9" i="5"/>
  <c r="DF9" i="5" s="1"/>
  <c r="DA8" i="5"/>
  <c r="DF8" i="5" s="1"/>
  <c r="DA7" i="5"/>
  <c r="DF7" i="5" s="1"/>
  <c r="DA6" i="5"/>
  <c r="DF6" i="5" s="1"/>
  <c r="DA5" i="5"/>
  <c r="DF5" i="5" s="1"/>
  <c r="DA4" i="5"/>
  <c r="DF4" i="5" s="1"/>
  <c r="W8" i="7" l="1"/>
  <c r="W35" i="7" s="1"/>
  <c r="ED13" i="6"/>
  <c r="DY16" i="6"/>
  <c r="DY34" i="6" s="1"/>
  <c r="AB17" i="6"/>
  <c r="AB30" i="6" s="1"/>
  <c r="AQ16" i="6"/>
  <c r="AQ34" i="6" s="1"/>
  <c r="Z30" i="6"/>
  <c r="Z35" i="6" s="1"/>
  <c r="Z27" i="6"/>
  <c r="AM16" i="6"/>
  <c r="AM34" i="6" s="1"/>
  <c r="CA17" i="6"/>
  <c r="BK17" i="6"/>
  <c r="BK30" i="6" s="1"/>
  <c r="DK11" i="5"/>
  <c r="DK21" i="5" s="1"/>
  <c r="DP11" i="5"/>
  <c r="DP21" i="5" s="1"/>
  <c r="DG21" i="5"/>
  <c r="DZ20" i="5"/>
  <c r="DU11" i="5"/>
  <c r="DU21" i="5" s="1"/>
  <c r="DZ4" i="5"/>
  <c r="DZ11" i="5" s="1"/>
  <c r="DY11" i="5"/>
  <c r="DY13" i="5"/>
  <c r="DT11" i="5"/>
  <c r="DT21" i="5" s="1"/>
  <c r="DB21" i="5"/>
  <c r="DC21" i="5"/>
  <c r="DA20" i="5"/>
  <c r="DA11" i="5"/>
  <c r="DF13" i="5"/>
  <c r="DF20" i="5" s="1"/>
  <c r="DI21" i="5"/>
  <c r="DD21" i="5"/>
  <c r="DF11" i="5"/>
  <c r="CM11" i="5"/>
  <c r="CC11" i="5"/>
  <c r="BX13" i="5"/>
  <c r="BX11" i="5"/>
  <c r="BS6" i="5"/>
  <c r="BS11" i="5" s="1"/>
  <c r="BS4" i="5"/>
  <c r="BN13" i="5"/>
  <c r="BN6" i="5"/>
  <c r="BN11" i="5" s="1"/>
  <c r="BZ11" i="5"/>
  <c r="BZ21" i="5" s="1"/>
  <c r="CY20" i="5"/>
  <c r="CX20" i="5"/>
  <c r="CW20" i="5"/>
  <c r="CY11" i="5"/>
  <c r="CX11" i="5"/>
  <c r="CX21" i="5" s="1"/>
  <c r="CW11" i="5"/>
  <c r="CT20" i="5"/>
  <c r="CS20" i="5"/>
  <c r="CR20" i="5"/>
  <c r="CT11" i="5"/>
  <c r="CS11" i="5"/>
  <c r="CR11" i="5"/>
  <c r="CO20" i="5"/>
  <c r="CN20" i="5"/>
  <c r="CN21" i="5" s="1"/>
  <c r="CM20" i="5"/>
  <c r="CO11" i="5"/>
  <c r="CN11" i="5"/>
  <c r="CJ20" i="5"/>
  <c r="CI20" i="5"/>
  <c r="CI21" i="5" s="1"/>
  <c r="CH20" i="5"/>
  <c r="CJ11" i="5"/>
  <c r="CI11" i="5"/>
  <c r="CE20" i="5"/>
  <c r="CD20" i="5"/>
  <c r="CE11" i="5"/>
  <c r="CE21" i="5" s="1"/>
  <c r="CD11" i="5"/>
  <c r="BZ20" i="5"/>
  <c r="BY20" i="5"/>
  <c r="CF16" i="5"/>
  <c r="CK16" i="5" s="1"/>
  <c r="CU16" i="5" s="1"/>
  <c r="CZ16" i="5" s="1"/>
  <c r="DE16" i="5" s="1"/>
  <c r="CF15" i="5"/>
  <c r="BY11" i="5"/>
  <c r="CF9" i="5"/>
  <c r="CK9" i="5" s="1"/>
  <c r="CP9" i="5" s="1"/>
  <c r="CU9" i="5" s="1"/>
  <c r="CZ9" i="5" s="1"/>
  <c r="DE9" i="5" s="1"/>
  <c r="CA8" i="5"/>
  <c r="CF8" i="5" s="1"/>
  <c r="CK8" i="5" s="1"/>
  <c r="CP8" i="5" s="1"/>
  <c r="CU8" i="5" s="1"/>
  <c r="CZ8" i="5" s="1"/>
  <c r="DE8" i="5" s="1"/>
  <c r="BW7" i="5"/>
  <c r="CB7" i="5" s="1"/>
  <c r="CG7" i="5" s="1"/>
  <c r="CF7" i="5"/>
  <c r="CK7" i="5" s="1"/>
  <c r="CP7" i="5" s="1"/>
  <c r="CU7" i="5" s="1"/>
  <c r="CZ7" i="5" s="1"/>
  <c r="DE7" i="5" s="1"/>
  <c r="BG13" i="5"/>
  <c r="BG14" i="5"/>
  <c r="BG15" i="5"/>
  <c r="BG16" i="5"/>
  <c r="BL16" i="5" s="1"/>
  <c r="BQ16" i="5" s="1"/>
  <c r="BG17" i="5"/>
  <c r="BG18" i="5"/>
  <c r="BG19" i="5"/>
  <c r="BM5" i="5"/>
  <c r="BR5" i="5" s="1"/>
  <c r="BW5" i="5" s="1"/>
  <c r="BM8" i="5"/>
  <c r="BR8" i="5" s="1"/>
  <c r="BW8" i="5" s="1"/>
  <c r="BM9" i="5"/>
  <c r="BR9" i="5" s="1"/>
  <c r="BW9" i="5" s="1"/>
  <c r="CB9" i="5" s="1"/>
  <c r="CG9" i="5" s="1"/>
  <c r="CL9" i="5" s="1"/>
  <c r="BM10" i="5"/>
  <c r="BR10" i="5" s="1"/>
  <c r="BW10" i="5" s="1"/>
  <c r="CB10" i="5" s="1"/>
  <c r="CG10" i="5" s="1"/>
  <c r="CL10" i="5" s="1"/>
  <c r="CQ10" i="5" s="1"/>
  <c r="CV10" i="5" s="1"/>
  <c r="BM4" i="5"/>
  <c r="BU20" i="5"/>
  <c r="BT20" i="5"/>
  <c r="BS20" i="5"/>
  <c r="BR19" i="5"/>
  <c r="BW19" i="5" s="1"/>
  <c r="CB19" i="5" s="1"/>
  <c r="CG19" i="5" s="1"/>
  <c r="BR18" i="5"/>
  <c r="BW18" i="5" s="1"/>
  <c r="CB18" i="5" s="1"/>
  <c r="CG18" i="5" s="1"/>
  <c r="BR17" i="5"/>
  <c r="BW17" i="5" s="1"/>
  <c r="CB17" i="5" s="1"/>
  <c r="CG17" i="5" s="1"/>
  <c r="CL17" i="5" s="1"/>
  <c r="CQ17" i="5" s="1"/>
  <c r="CV17" i="5" s="1"/>
  <c r="BU11" i="5"/>
  <c r="BT11" i="5"/>
  <c r="BP20" i="5"/>
  <c r="BO20" i="5"/>
  <c r="BN20" i="5"/>
  <c r="BM19" i="5"/>
  <c r="BL19" i="5"/>
  <c r="BQ19" i="5" s="1"/>
  <c r="CF19" i="5" s="1"/>
  <c r="CK19" i="5" s="1"/>
  <c r="CP19" i="5" s="1"/>
  <c r="CU19" i="5" s="1"/>
  <c r="CZ19" i="5" s="1"/>
  <c r="DE19" i="5" s="1"/>
  <c r="BM18" i="5"/>
  <c r="BL18" i="5"/>
  <c r="BQ18" i="5" s="1"/>
  <c r="CF18" i="5" s="1"/>
  <c r="CK18" i="5" s="1"/>
  <c r="CP18" i="5" s="1"/>
  <c r="CU18" i="5" s="1"/>
  <c r="CZ18" i="5" s="1"/>
  <c r="DE18" i="5" s="1"/>
  <c r="BM17" i="5"/>
  <c r="BL17" i="5"/>
  <c r="BQ17" i="5" s="1"/>
  <c r="CF17" i="5" s="1"/>
  <c r="CK17" i="5" s="1"/>
  <c r="CP17" i="5" s="1"/>
  <c r="CU17" i="5" s="1"/>
  <c r="CZ17" i="5" s="1"/>
  <c r="DE17" i="5" s="1"/>
  <c r="BM16" i="5"/>
  <c r="BR16" i="5" s="1"/>
  <c r="BW16" i="5" s="1"/>
  <c r="CB16" i="5" s="1"/>
  <c r="BM15" i="5"/>
  <c r="BL15" i="5"/>
  <c r="BQ15" i="5" s="1"/>
  <c r="BM14" i="5"/>
  <c r="BR14" i="5" s="1"/>
  <c r="BW14" i="5" s="1"/>
  <c r="BL14" i="5"/>
  <c r="BQ14" i="5" s="1"/>
  <c r="BM13" i="5"/>
  <c r="BR13" i="5" s="1"/>
  <c r="BW13" i="5" s="1"/>
  <c r="BL13" i="5"/>
  <c r="BP11" i="5"/>
  <c r="BO11" i="5"/>
  <c r="BL10" i="5"/>
  <c r="BQ10" i="5" s="1"/>
  <c r="CF10" i="5" s="1"/>
  <c r="CK10" i="5" s="1"/>
  <c r="CP10" i="5" s="1"/>
  <c r="CU10" i="5" s="1"/>
  <c r="CZ10" i="5" s="1"/>
  <c r="DE10" i="5" s="1"/>
  <c r="BM7" i="5"/>
  <c r="BR7" i="5" s="1"/>
  <c r="BM6" i="5"/>
  <c r="BL6" i="5"/>
  <c r="BQ6" i="5" s="1"/>
  <c r="AY20" i="5"/>
  <c r="BK20" i="5"/>
  <c r="BJ20" i="5"/>
  <c r="BI20" i="5"/>
  <c r="BK11" i="5"/>
  <c r="BI11" i="5"/>
  <c r="BI21" i="5" s="1"/>
  <c r="BH10" i="5"/>
  <c r="BG10" i="5"/>
  <c r="BH7" i="5"/>
  <c r="BG6" i="5"/>
  <c r="BH5" i="5"/>
  <c r="BG5" i="5"/>
  <c r="BF20" i="5"/>
  <c r="BE20" i="5"/>
  <c r="BD20" i="5"/>
  <c r="BB19" i="5"/>
  <c r="BB18" i="5"/>
  <c r="BB17" i="5"/>
  <c r="BB16" i="5"/>
  <c r="BB15" i="5"/>
  <c r="BB14" i="5"/>
  <c r="BB13" i="5"/>
  <c r="BF11" i="5"/>
  <c r="BE11" i="5"/>
  <c r="BD11" i="5"/>
  <c r="BC10" i="5"/>
  <c r="BB9" i="5"/>
  <c r="BG9" i="5" s="1"/>
  <c r="BL9" i="5" s="1"/>
  <c r="BQ9" i="5" s="1"/>
  <c r="BB8" i="5"/>
  <c r="BG8" i="5" s="1"/>
  <c r="BL8" i="5" s="1"/>
  <c r="BQ8" i="5" s="1"/>
  <c r="BC7" i="5"/>
  <c r="BB7" i="5"/>
  <c r="BG7" i="5" s="1"/>
  <c r="BL7" i="5" s="1"/>
  <c r="BQ7" i="5" s="1"/>
  <c r="BC5" i="5"/>
  <c r="BB5" i="5"/>
  <c r="BB4" i="5"/>
  <c r="AG5" i="7" l="1"/>
  <c r="AB8" i="7"/>
  <c r="AB35" i="7" s="1"/>
  <c r="EI13" i="6"/>
  <c r="ED16" i="6"/>
  <c r="ED34" i="6" s="1"/>
  <c r="AR16" i="6"/>
  <c r="AR34" i="6" s="1"/>
  <c r="CA30" i="6"/>
  <c r="CF17" i="6"/>
  <c r="AV16" i="6"/>
  <c r="AV34" i="6" s="1"/>
  <c r="BP17" i="6"/>
  <c r="DZ21" i="5"/>
  <c r="DY20" i="5"/>
  <c r="DY21" i="5" s="1"/>
  <c r="DA21" i="5"/>
  <c r="CW21" i="5"/>
  <c r="CY21" i="5"/>
  <c r="DF21" i="5"/>
  <c r="CS21" i="5"/>
  <c r="CR21" i="5"/>
  <c r="CQ9" i="5"/>
  <c r="CV9" i="5" s="1"/>
  <c r="CL19" i="5"/>
  <c r="CQ19" i="5" s="1"/>
  <c r="CV19" i="5" s="1"/>
  <c r="CL18" i="5"/>
  <c r="CQ18" i="5" s="1"/>
  <c r="CV18" i="5" s="1"/>
  <c r="CL7" i="5"/>
  <c r="CQ7" i="5" s="1"/>
  <c r="CV7" i="5" s="1"/>
  <c r="CH11" i="5"/>
  <c r="CH21" i="5" s="1"/>
  <c r="CM21" i="5"/>
  <c r="CC20" i="5"/>
  <c r="CC21" i="5" s="1"/>
  <c r="BX20" i="5"/>
  <c r="BX21" i="5" s="1"/>
  <c r="CB14" i="5"/>
  <c r="CG14" i="5" s="1"/>
  <c r="CL14" i="5" s="1"/>
  <c r="CQ14" i="5" s="1"/>
  <c r="CV14" i="5" s="1"/>
  <c r="CB8" i="5"/>
  <c r="CG8" i="5" s="1"/>
  <c r="CL8" i="5" s="1"/>
  <c r="CQ8" i="5" s="1"/>
  <c r="CV8" i="5" s="1"/>
  <c r="BS21" i="5"/>
  <c r="BR6" i="5"/>
  <c r="BW6" i="5" s="1"/>
  <c r="CB6" i="5" s="1"/>
  <c r="CG6" i="5" s="1"/>
  <c r="CL6" i="5" s="1"/>
  <c r="CQ6" i="5" s="1"/>
  <c r="CV6" i="5" s="1"/>
  <c r="CF6" i="5"/>
  <c r="CK6" i="5" s="1"/>
  <c r="CP6" i="5" s="1"/>
  <c r="CU6" i="5" s="1"/>
  <c r="CZ6" i="5" s="1"/>
  <c r="BT21" i="5"/>
  <c r="CB13" i="5"/>
  <c r="CG13" i="5" s="1"/>
  <c r="CL13" i="5" s="1"/>
  <c r="CQ13" i="5" s="1"/>
  <c r="CV13" i="5" s="1"/>
  <c r="CG16" i="5"/>
  <c r="CL16" i="5" s="1"/>
  <c r="CQ16" i="5" s="1"/>
  <c r="CV16" i="5" s="1"/>
  <c r="CB5" i="5"/>
  <c r="CG5" i="5" s="1"/>
  <c r="CL5" i="5" s="1"/>
  <c r="CQ5" i="5" s="1"/>
  <c r="CV5" i="5" s="1"/>
  <c r="CF14" i="5"/>
  <c r="CK14" i="5" s="1"/>
  <c r="CU14" i="5" s="1"/>
  <c r="CZ14" i="5" s="1"/>
  <c r="DE14" i="5" s="1"/>
  <c r="CD21" i="5"/>
  <c r="CK15" i="5"/>
  <c r="CP15" i="5" s="1"/>
  <c r="CJ21" i="5"/>
  <c r="CO21" i="5"/>
  <c r="CT21" i="5"/>
  <c r="BY21" i="5"/>
  <c r="BR15" i="5"/>
  <c r="BW15" i="5" s="1"/>
  <c r="BQ13" i="5"/>
  <c r="BK21" i="5"/>
  <c r="BL5" i="5"/>
  <c r="BQ5" i="5" s="1"/>
  <c r="BV5" i="5" s="1"/>
  <c r="CF5" i="5" s="1"/>
  <c r="CK5" i="5" s="1"/>
  <c r="CP5" i="5" s="1"/>
  <c r="CU5" i="5" s="1"/>
  <c r="CZ5" i="5" s="1"/>
  <c r="DE5" i="5" s="1"/>
  <c r="BJ11" i="5"/>
  <c r="BJ21" i="5" s="1"/>
  <c r="BM11" i="5"/>
  <c r="BR4" i="5"/>
  <c r="BM20" i="5"/>
  <c r="BB11" i="5"/>
  <c r="BG4" i="5"/>
  <c r="BL4" i="5" s="1"/>
  <c r="BU21" i="5"/>
  <c r="BL20" i="5"/>
  <c r="BR20" i="5"/>
  <c r="BO21" i="5"/>
  <c r="BP21" i="5"/>
  <c r="BN21" i="5"/>
  <c r="BG20" i="5"/>
  <c r="BB20" i="5"/>
  <c r="BE21" i="5"/>
  <c r="BF21" i="5"/>
  <c r="BD21" i="5"/>
  <c r="BA20" i="5"/>
  <c r="AZ20" i="5"/>
  <c r="BA11" i="5"/>
  <c r="AZ11" i="5"/>
  <c r="AY11" i="5"/>
  <c r="AY21" i="5" s="1"/>
  <c r="AI13" i="5"/>
  <c r="AI14" i="5"/>
  <c r="AI15" i="5"/>
  <c r="AI16" i="5"/>
  <c r="AI17" i="5"/>
  <c r="AI18" i="5"/>
  <c r="AI19" i="5"/>
  <c r="AV20" i="5"/>
  <c r="AU20" i="5"/>
  <c r="AT20" i="5"/>
  <c r="AR19" i="5"/>
  <c r="AW19" i="5" s="1"/>
  <c r="AV11" i="5"/>
  <c r="AU11" i="5"/>
  <c r="AT11" i="5"/>
  <c r="AS10" i="5"/>
  <c r="AX10" i="5" s="1"/>
  <c r="AX9" i="5"/>
  <c r="BC9" i="5" s="1"/>
  <c r="BH9" i="5" s="1"/>
  <c r="AX8" i="5"/>
  <c r="BC8" i="5" s="1"/>
  <c r="BH8" i="5" s="1"/>
  <c r="AS5" i="5"/>
  <c r="AX5" i="5" s="1"/>
  <c r="AS4" i="5"/>
  <c r="AX4" i="5" s="1"/>
  <c r="BC4" i="5" s="1"/>
  <c r="BH4" i="5" s="1"/>
  <c r="BH11" i="5" s="1"/>
  <c r="U13" i="5"/>
  <c r="Y13" i="5"/>
  <c r="AQ20" i="5"/>
  <c r="AP20" i="5"/>
  <c r="AO20" i="5"/>
  <c r="AO21" i="5" s="1"/>
  <c r="AR15" i="5"/>
  <c r="AW15" i="5" s="1"/>
  <c r="AR14" i="5"/>
  <c r="AW14" i="5" s="1"/>
  <c r="AR13" i="5"/>
  <c r="AW13" i="5" s="1"/>
  <c r="AQ11" i="5"/>
  <c r="AP11" i="5"/>
  <c r="AO11" i="5"/>
  <c r="AN10" i="5"/>
  <c r="AN8" i="5"/>
  <c r="AN6" i="5"/>
  <c r="AS6" i="5" s="1"/>
  <c r="AX6" i="5" s="1"/>
  <c r="BC6" i="5" s="1"/>
  <c r="BH6" i="5" s="1"/>
  <c r="AL20" i="5"/>
  <c r="AK20" i="5"/>
  <c r="AK21" i="5" s="1"/>
  <c r="AJ20" i="5"/>
  <c r="AH19" i="5"/>
  <c r="AH18" i="5"/>
  <c r="AR18" i="5" s="1"/>
  <c r="AW18" i="5" s="1"/>
  <c r="AH17" i="5"/>
  <c r="AR17" i="5" s="1"/>
  <c r="AW17" i="5" s="1"/>
  <c r="AH16" i="5"/>
  <c r="AR16" i="5" s="1"/>
  <c r="AW16" i="5" s="1"/>
  <c r="AH15" i="5"/>
  <c r="AH14" i="5"/>
  <c r="AH13" i="5"/>
  <c r="AL11" i="5"/>
  <c r="AK11" i="5"/>
  <c r="AJ11" i="5"/>
  <c r="AI10" i="5"/>
  <c r="AH10" i="5"/>
  <c r="AM10" i="5" s="1"/>
  <c r="AR10" i="5" s="1"/>
  <c r="AW10" i="5" s="1"/>
  <c r="AI9" i="5"/>
  <c r="AN9" i="5" s="1"/>
  <c r="AH9" i="5"/>
  <c r="AM9" i="5" s="1"/>
  <c r="AR9" i="5" s="1"/>
  <c r="AW9" i="5" s="1"/>
  <c r="AI8" i="5"/>
  <c r="AH8" i="5"/>
  <c r="AM8" i="5" s="1"/>
  <c r="AR8" i="5" s="1"/>
  <c r="AW8" i="5" s="1"/>
  <c r="AI7" i="5"/>
  <c r="AN7" i="5" s="1"/>
  <c r="AS7" i="5" s="1"/>
  <c r="AX7" i="5" s="1"/>
  <c r="AH7" i="5"/>
  <c r="AM7" i="5" s="1"/>
  <c r="AR7" i="5" s="1"/>
  <c r="AW7" i="5" s="1"/>
  <c r="AI6" i="5"/>
  <c r="AH6" i="5"/>
  <c r="AM6" i="5" s="1"/>
  <c r="AR6" i="5" s="1"/>
  <c r="AW6" i="5" s="1"/>
  <c r="AI5" i="5"/>
  <c r="AN5" i="5" s="1"/>
  <c r="AH5" i="5"/>
  <c r="AM5" i="5" s="1"/>
  <c r="AR5" i="5" s="1"/>
  <c r="AW5" i="5" s="1"/>
  <c r="AI4" i="5"/>
  <c r="AN4" i="5" s="1"/>
  <c r="AH4" i="5"/>
  <c r="AM4" i="5" s="1"/>
  <c r="AR4" i="5" s="1"/>
  <c r="AW4" i="5" s="1"/>
  <c r="Y10" i="5"/>
  <c r="Y8" i="5"/>
  <c r="Y7" i="5"/>
  <c r="AD7" i="5" s="1"/>
  <c r="Y5" i="5"/>
  <c r="AD5" i="5" s="1"/>
  <c r="AD10" i="5"/>
  <c r="AD9" i="5"/>
  <c r="AD8" i="5"/>
  <c r="T8" i="5"/>
  <c r="T6" i="5"/>
  <c r="AG20" i="5"/>
  <c r="AF20" i="5"/>
  <c r="AE20" i="5"/>
  <c r="AG11" i="5"/>
  <c r="AF11" i="5"/>
  <c r="AE11" i="5"/>
  <c r="AB20" i="5"/>
  <c r="AA20" i="5"/>
  <c r="Z20" i="5"/>
  <c r="AB11" i="5"/>
  <c r="AA11" i="5"/>
  <c r="Z11" i="5"/>
  <c r="X10" i="5"/>
  <c r="X9" i="5"/>
  <c r="AC9" i="5" s="1"/>
  <c r="X8" i="5"/>
  <c r="X7" i="5"/>
  <c r="X6" i="5"/>
  <c r="X5" i="5"/>
  <c r="AC5" i="5" s="1"/>
  <c r="Y4" i="5"/>
  <c r="X4" i="5"/>
  <c r="W20" i="5"/>
  <c r="V20" i="5"/>
  <c r="U20" i="5"/>
  <c r="W11" i="5"/>
  <c r="V11" i="5"/>
  <c r="U11" i="5"/>
  <c r="E6" i="5"/>
  <c r="F19" i="5"/>
  <c r="F18" i="5"/>
  <c r="F16" i="5"/>
  <c r="D5" i="5"/>
  <c r="D6" i="5"/>
  <c r="D7" i="5"/>
  <c r="D8" i="5"/>
  <c r="D9" i="5"/>
  <c r="D10" i="5"/>
  <c r="D4" i="5"/>
  <c r="AG8" i="7" l="1"/>
  <c r="AG35" i="7" s="1"/>
  <c r="AL5" i="7"/>
  <c r="EN13" i="6"/>
  <c r="EN16" i="6" s="1"/>
  <c r="EN34" i="6" s="1"/>
  <c r="EI16" i="6"/>
  <c r="EI34" i="6" s="1"/>
  <c r="BU17" i="6"/>
  <c r="BU30" i="6" s="1"/>
  <c r="BP30" i="6"/>
  <c r="CF30" i="6"/>
  <c r="CK17" i="6"/>
  <c r="AW16" i="6"/>
  <c r="AW34" i="6" s="1"/>
  <c r="BA16" i="6"/>
  <c r="BA34" i="6" s="1"/>
  <c r="DE6" i="5"/>
  <c r="CB15" i="5"/>
  <c r="CU15" i="5"/>
  <c r="BW20" i="5"/>
  <c r="BR11" i="5"/>
  <c r="BR21" i="5" s="1"/>
  <c r="BW4" i="5"/>
  <c r="BQ20" i="5"/>
  <c r="BL11" i="5"/>
  <c r="BL21" i="5" s="1"/>
  <c r="BM21" i="5"/>
  <c r="BB21" i="5"/>
  <c r="BQ4" i="5"/>
  <c r="BG11" i="5"/>
  <c r="BG21" i="5" s="1"/>
  <c r="BC11" i="5"/>
  <c r="AU21" i="5"/>
  <c r="AP21" i="5"/>
  <c r="AX11" i="5"/>
  <c r="AW11" i="5"/>
  <c r="AW20" i="5"/>
  <c r="AZ21" i="5"/>
  <c r="BA21" i="5"/>
  <c r="AS11" i="5"/>
  <c r="AV21" i="5"/>
  <c r="AR11" i="5"/>
  <c r="AR20" i="5"/>
  <c r="AT21" i="5"/>
  <c r="AE21" i="5"/>
  <c r="AQ21" i="5"/>
  <c r="AL21" i="5"/>
  <c r="AH20" i="5"/>
  <c r="AI11" i="5"/>
  <c r="AH11" i="5"/>
  <c r="AM20" i="5"/>
  <c r="AM11" i="5"/>
  <c r="AN11" i="5"/>
  <c r="AJ21" i="5"/>
  <c r="AD6" i="5"/>
  <c r="AB21" i="5"/>
  <c r="V21" i="5"/>
  <c r="X11" i="5"/>
  <c r="Y11" i="5"/>
  <c r="AD4" i="5"/>
  <c r="U21" i="5"/>
  <c r="AC11" i="5"/>
  <c r="AF21" i="5"/>
  <c r="AG21" i="5"/>
  <c r="Z21" i="5"/>
  <c r="AA21" i="5"/>
  <c r="W21" i="5"/>
  <c r="K11" i="5"/>
  <c r="R20" i="5"/>
  <c r="Q20" i="5"/>
  <c r="P20" i="5"/>
  <c r="M20" i="5"/>
  <c r="L20" i="5"/>
  <c r="H20" i="5"/>
  <c r="H21" i="5" s="1"/>
  <c r="G20" i="5"/>
  <c r="E20" i="5"/>
  <c r="J19" i="5"/>
  <c r="O19" i="5" s="1"/>
  <c r="AD19" i="5" s="1"/>
  <c r="D19" i="5"/>
  <c r="I19" i="5" s="1"/>
  <c r="N19" i="5" s="1"/>
  <c r="S19" i="5" s="1"/>
  <c r="X19" i="5" s="1"/>
  <c r="AC19" i="5" s="1"/>
  <c r="J18" i="5"/>
  <c r="O18" i="5" s="1"/>
  <c r="AD18" i="5" s="1"/>
  <c r="D18" i="5"/>
  <c r="I18" i="5" s="1"/>
  <c r="N18" i="5" s="1"/>
  <c r="S18" i="5" s="1"/>
  <c r="X18" i="5" s="1"/>
  <c r="AC18" i="5" s="1"/>
  <c r="J17" i="5"/>
  <c r="O17" i="5" s="1"/>
  <c r="T17" i="5" s="1"/>
  <c r="Y17" i="5" s="1"/>
  <c r="AD17" i="5" s="1"/>
  <c r="D17" i="5"/>
  <c r="I17" i="5" s="1"/>
  <c r="N17" i="5" s="1"/>
  <c r="S17" i="5" s="1"/>
  <c r="X17" i="5" s="1"/>
  <c r="AC17" i="5" s="1"/>
  <c r="D16" i="5"/>
  <c r="I16" i="5" s="1"/>
  <c r="N16" i="5" s="1"/>
  <c r="S16" i="5" s="1"/>
  <c r="X16" i="5" s="1"/>
  <c r="AC16" i="5" s="1"/>
  <c r="J15" i="5"/>
  <c r="D15" i="5"/>
  <c r="I15" i="5" s="1"/>
  <c r="J14" i="5"/>
  <c r="O14" i="5" s="1"/>
  <c r="T14" i="5" s="1"/>
  <c r="Y14" i="5" s="1"/>
  <c r="AD14" i="5" s="1"/>
  <c r="D14" i="5"/>
  <c r="J13" i="5"/>
  <c r="D13" i="5"/>
  <c r="I13" i="5" s="1"/>
  <c r="N13" i="5" s="1"/>
  <c r="S13" i="5" s="1"/>
  <c r="X13" i="5" s="1"/>
  <c r="AC13" i="5" s="1"/>
  <c r="R11" i="5"/>
  <c r="Q11" i="5"/>
  <c r="P11" i="5"/>
  <c r="M11" i="5"/>
  <c r="L11" i="5"/>
  <c r="E11" i="5"/>
  <c r="J10" i="5"/>
  <c r="O10" i="5" s="1"/>
  <c r="T10" i="5" s="1"/>
  <c r="I10" i="5"/>
  <c r="N10" i="5" s="1"/>
  <c r="S10" i="5" s="1"/>
  <c r="J9" i="5"/>
  <c r="O9" i="5" s="1"/>
  <c r="T9" i="5" s="1"/>
  <c r="I9" i="5"/>
  <c r="N9" i="5" s="1"/>
  <c r="S9" i="5" s="1"/>
  <c r="J8" i="5"/>
  <c r="J7" i="5"/>
  <c r="O7" i="5" s="1"/>
  <c r="T7" i="5" s="1"/>
  <c r="I7" i="5"/>
  <c r="N7" i="5" s="1"/>
  <c r="S7" i="5" s="1"/>
  <c r="I6" i="5"/>
  <c r="N6" i="5" s="1"/>
  <c r="S6" i="5" s="1"/>
  <c r="J5" i="5"/>
  <c r="O5" i="5" s="1"/>
  <c r="T5" i="5" s="1"/>
  <c r="I5" i="5"/>
  <c r="N5" i="5" s="1"/>
  <c r="S5" i="5" s="1"/>
  <c r="G11" i="5"/>
  <c r="DQ6" i="4"/>
  <c r="DQ11" i="4" s="1"/>
  <c r="DL13" i="4"/>
  <c r="DG15" i="4"/>
  <c r="DS24" i="4"/>
  <c r="DR24" i="4"/>
  <c r="DQ24" i="4"/>
  <c r="DS23" i="4"/>
  <c r="DR23" i="4"/>
  <c r="DQ23" i="4"/>
  <c r="DS20" i="4"/>
  <c r="DR20" i="4"/>
  <c r="DQ20" i="4"/>
  <c r="DS11" i="4"/>
  <c r="DR11" i="4"/>
  <c r="AL8" i="7" l="1"/>
  <c r="AL35" i="7" s="1"/>
  <c r="BZ17" i="6"/>
  <c r="CE17" i="6" s="1"/>
  <c r="CK30" i="6"/>
  <c r="CP17" i="6"/>
  <c r="BB16" i="6"/>
  <c r="BB34" i="6" s="1"/>
  <c r="BF16" i="6"/>
  <c r="BF34" i="6" s="1"/>
  <c r="CZ15" i="5"/>
  <c r="CG15" i="5"/>
  <c r="CB20" i="5"/>
  <c r="CB4" i="5"/>
  <c r="BW11" i="5"/>
  <c r="BW21" i="5" s="1"/>
  <c r="BV20" i="5"/>
  <c r="BQ11" i="5"/>
  <c r="BQ21" i="5" s="1"/>
  <c r="BV4" i="5"/>
  <c r="AW21" i="5"/>
  <c r="AR21" i="5"/>
  <c r="AH21" i="5"/>
  <c r="AM21" i="5"/>
  <c r="AD11" i="5"/>
  <c r="M21" i="5"/>
  <c r="P21" i="5"/>
  <c r="Q21" i="5"/>
  <c r="E21" i="5"/>
  <c r="J4" i="5"/>
  <c r="O4" i="5" s="1"/>
  <c r="T4" i="5" s="1"/>
  <c r="T11" i="5" s="1"/>
  <c r="R21" i="5"/>
  <c r="I4" i="5"/>
  <c r="N4" i="5" s="1"/>
  <c r="S4" i="5" s="1"/>
  <c r="S11" i="5" s="1"/>
  <c r="K20" i="5"/>
  <c r="K21" i="5" s="1"/>
  <c r="F11" i="5"/>
  <c r="L21" i="5"/>
  <c r="O15" i="5"/>
  <c r="D11" i="5"/>
  <c r="I8" i="5"/>
  <c r="N8" i="5" s="1"/>
  <c r="S8" i="5" s="1"/>
  <c r="D20" i="5"/>
  <c r="O13" i="5"/>
  <c r="N15" i="5"/>
  <c r="S15" i="5" s="1"/>
  <c r="F20" i="5"/>
  <c r="J16" i="5"/>
  <c r="O16" i="5" s="1"/>
  <c r="Y16" i="5" s="1"/>
  <c r="AD16" i="5" s="1"/>
  <c r="G21" i="5"/>
  <c r="I14" i="5"/>
  <c r="DQ21" i="4"/>
  <c r="DS21" i="4"/>
  <c r="DR21" i="4"/>
  <c r="AQ8" i="7" l="1"/>
  <c r="AQ35" i="7" s="1"/>
  <c r="H9" i="7"/>
  <c r="H31" i="7" s="1"/>
  <c r="BZ30" i="6"/>
  <c r="CP30" i="6"/>
  <c r="CU17" i="6"/>
  <c r="BK16" i="6"/>
  <c r="BK34" i="6" s="1"/>
  <c r="CE30" i="6"/>
  <c r="CJ17" i="6"/>
  <c r="BG16" i="6"/>
  <c r="BG34" i="6" s="1"/>
  <c r="H21" i="6"/>
  <c r="H33" i="6" s="1"/>
  <c r="H19" i="6"/>
  <c r="DE15" i="5"/>
  <c r="CL15" i="5"/>
  <c r="CG20" i="5"/>
  <c r="CG4" i="5"/>
  <c r="CB11" i="5"/>
  <c r="CB21" i="5" s="1"/>
  <c r="CA20" i="5"/>
  <c r="CF13" i="5"/>
  <c r="BV11" i="5"/>
  <c r="BV21" i="5" s="1"/>
  <c r="AD15" i="5"/>
  <c r="X15" i="5"/>
  <c r="AD13" i="5"/>
  <c r="T20" i="5"/>
  <c r="T21" i="5" s="1"/>
  <c r="D21" i="5"/>
  <c r="O11" i="5"/>
  <c r="J11" i="5"/>
  <c r="F21" i="5"/>
  <c r="I11" i="5"/>
  <c r="J20" i="5"/>
  <c r="I20" i="5"/>
  <c r="N14" i="5"/>
  <c r="S14" i="5" s="1"/>
  <c r="X14" i="5" s="1"/>
  <c r="AC14" i="5" s="1"/>
  <c r="O20" i="5"/>
  <c r="N11" i="5"/>
  <c r="DN24" i="4"/>
  <c r="DM24" i="4"/>
  <c r="DL24" i="4"/>
  <c r="DN23" i="4"/>
  <c r="DM23" i="4"/>
  <c r="DL23" i="4"/>
  <c r="DN20" i="4"/>
  <c r="DM20" i="4"/>
  <c r="DL20" i="4"/>
  <c r="DN11" i="4"/>
  <c r="DM11" i="4"/>
  <c r="DL11" i="4"/>
  <c r="DI24" i="4"/>
  <c r="DH24" i="4"/>
  <c r="DG24" i="4"/>
  <c r="DI23" i="4"/>
  <c r="DH23" i="4"/>
  <c r="DG23" i="4"/>
  <c r="DI20" i="4"/>
  <c r="DH20" i="4"/>
  <c r="DG20" i="4"/>
  <c r="DI11" i="4"/>
  <c r="DH11" i="4"/>
  <c r="DG11" i="4"/>
  <c r="CW6" i="4"/>
  <c r="CW11" i="4" s="1"/>
  <c r="DD24" i="4"/>
  <c r="DC24" i="4"/>
  <c r="DB24" i="4"/>
  <c r="DD23" i="4"/>
  <c r="DC23" i="4"/>
  <c r="DB23" i="4"/>
  <c r="DD20" i="4"/>
  <c r="DC20" i="4"/>
  <c r="DB20" i="4"/>
  <c r="DD11" i="4"/>
  <c r="DC11" i="4"/>
  <c r="DB11" i="4"/>
  <c r="CY24" i="4"/>
  <c r="CX24" i="4"/>
  <c r="CW24" i="4"/>
  <c r="CY23" i="4"/>
  <c r="CX23" i="4"/>
  <c r="CW23" i="4"/>
  <c r="CY20" i="4"/>
  <c r="CX20" i="4"/>
  <c r="CW20" i="4"/>
  <c r="CY11" i="4"/>
  <c r="CX11" i="4"/>
  <c r="CT24" i="4"/>
  <c r="CS24" i="4"/>
  <c r="CR24" i="4"/>
  <c r="CT23" i="4"/>
  <c r="CS23" i="4"/>
  <c r="CR23" i="4"/>
  <c r="CT20" i="4"/>
  <c r="CS20" i="4"/>
  <c r="CR20" i="4"/>
  <c r="CT11" i="4"/>
  <c r="CS11" i="4"/>
  <c r="CR11" i="4"/>
  <c r="CH6" i="4"/>
  <c r="CH4" i="4"/>
  <c r="CH14" i="4"/>
  <c r="CH13" i="4"/>
  <c r="BA5" i="7" l="1"/>
  <c r="I9" i="7"/>
  <c r="I31" i="7" s="1"/>
  <c r="M9" i="7"/>
  <c r="M31" i="7" s="1"/>
  <c r="CU30" i="6"/>
  <c r="CZ17" i="6"/>
  <c r="CJ30" i="6"/>
  <c r="CO17" i="6"/>
  <c r="BP16" i="6"/>
  <c r="BP34" i="6" s="1"/>
  <c r="H26" i="6"/>
  <c r="H32" i="6"/>
  <c r="BL16" i="6"/>
  <c r="BL34" i="6" s="1"/>
  <c r="M19" i="6"/>
  <c r="M21" i="6"/>
  <c r="M33" i="6" s="1"/>
  <c r="CQ15" i="5"/>
  <c r="CL20" i="5"/>
  <c r="CG11" i="5"/>
  <c r="CG21" i="5" s="1"/>
  <c r="CL4" i="5"/>
  <c r="CK13" i="5"/>
  <c r="CF20" i="5"/>
  <c r="CF4" i="5"/>
  <c r="CA11" i="5"/>
  <c r="CA21" i="5" s="1"/>
  <c r="AC15" i="5"/>
  <c r="AD20" i="5"/>
  <c r="AD21" i="5" s="1"/>
  <c r="X20" i="5"/>
  <c r="X21" i="5" s="1"/>
  <c r="Y20" i="5"/>
  <c r="Y21" i="5" s="1"/>
  <c r="S20" i="5"/>
  <c r="S21" i="5" s="1"/>
  <c r="O21" i="5"/>
  <c r="J21" i="5"/>
  <c r="I21" i="5"/>
  <c r="N20" i="5"/>
  <c r="N21" i="5" s="1"/>
  <c r="DL21" i="4"/>
  <c r="DM21" i="4"/>
  <c r="DN21" i="4"/>
  <c r="DB21" i="4"/>
  <c r="DH21" i="4"/>
  <c r="DI21" i="4"/>
  <c r="DG21" i="4"/>
  <c r="CW21" i="4"/>
  <c r="CX21" i="4"/>
  <c r="CY21" i="4"/>
  <c r="DC21" i="4"/>
  <c r="DD21" i="4"/>
  <c r="CR21" i="4"/>
  <c r="CS21" i="4"/>
  <c r="CT21" i="4"/>
  <c r="CD6" i="4"/>
  <c r="CO24" i="4"/>
  <c r="CN24" i="4"/>
  <c r="CM24" i="4"/>
  <c r="CO23" i="4"/>
  <c r="CN23" i="4"/>
  <c r="CM23" i="4"/>
  <c r="CO20" i="4"/>
  <c r="CN20" i="4"/>
  <c r="CM20" i="4"/>
  <c r="CO11" i="4"/>
  <c r="CN11" i="4"/>
  <c r="CM11" i="4"/>
  <c r="BX6" i="4"/>
  <c r="BX4" i="4"/>
  <c r="BF5" i="7" l="1"/>
  <c r="BF8" i="7" s="1"/>
  <c r="BF35" i="7" s="1"/>
  <c r="BA8" i="7"/>
  <c r="BA35" i="7" s="1"/>
  <c r="R9" i="7"/>
  <c r="R31" i="7" s="1"/>
  <c r="N9" i="7"/>
  <c r="N31" i="7" s="1"/>
  <c r="CZ30" i="6"/>
  <c r="DE17" i="6"/>
  <c r="CO30" i="6"/>
  <c r="CT17" i="6"/>
  <c r="R19" i="6"/>
  <c r="M26" i="6"/>
  <c r="M32" i="6"/>
  <c r="BQ16" i="6"/>
  <c r="BQ34" i="6" s="1"/>
  <c r="BU16" i="6"/>
  <c r="BU34" i="6" s="1"/>
  <c r="W19" i="6"/>
  <c r="R21" i="6"/>
  <c r="R33" i="6" s="1"/>
  <c r="H4" i="6"/>
  <c r="H11" i="6" s="1"/>
  <c r="CQ20" i="5"/>
  <c r="CV15" i="5"/>
  <c r="CQ4" i="5"/>
  <c r="CL11" i="5"/>
  <c r="CL21" i="5" s="1"/>
  <c r="CK20" i="5"/>
  <c r="CP13" i="5"/>
  <c r="CK4" i="5"/>
  <c r="CF11" i="5"/>
  <c r="CF21" i="5" s="1"/>
  <c r="AC20" i="5"/>
  <c r="AC21" i="5" s="1"/>
  <c r="CN21" i="4"/>
  <c r="CO21" i="4"/>
  <c r="CM21" i="4"/>
  <c r="CJ24" i="4"/>
  <c r="CI24" i="4"/>
  <c r="CH24" i="4"/>
  <c r="CJ23" i="4"/>
  <c r="CI23" i="4"/>
  <c r="CH23" i="4"/>
  <c r="CJ20" i="4"/>
  <c r="CI20" i="4"/>
  <c r="CH20" i="4"/>
  <c r="CJ11" i="4"/>
  <c r="CI11" i="4"/>
  <c r="CH11" i="4"/>
  <c r="CE24" i="4"/>
  <c r="CD24" i="4"/>
  <c r="CC24" i="4"/>
  <c r="CE23" i="4"/>
  <c r="CD23" i="4"/>
  <c r="CC23" i="4"/>
  <c r="CE20" i="4"/>
  <c r="CD20" i="4"/>
  <c r="CC20" i="4"/>
  <c r="CE11" i="4"/>
  <c r="CD11" i="4"/>
  <c r="CC11" i="4"/>
  <c r="BI13" i="4"/>
  <c r="W9" i="7" l="1"/>
  <c r="W31" i="7" s="1"/>
  <c r="S9" i="7"/>
  <c r="S31" i="7" s="1"/>
  <c r="DE30" i="6"/>
  <c r="DJ17" i="6"/>
  <c r="DO17" i="6" s="1"/>
  <c r="CT30" i="6"/>
  <c r="CY17" i="6"/>
  <c r="DD17" i="6" s="1"/>
  <c r="BV16" i="6"/>
  <c r="BV34" i="6" s="1"/>
  <c r="W32" i="6"/>
  <c r="BZ16" i="6"/>
  <c r="BZ34" i="6" s="1"/>
  <c r="H27" i="6"/>
  <c r="H31" i="6"/>
  <c r="H35" i="6" s="1"/>
  <c r="R32" i="6"/>
  <c r="R26" i="6"/>
  <c r="AB19" i="6"/>
  <c r="W21" i="6"/>
  <c r="W33" i="6" s="1"/>
  <c r="M4" i="6"/>
  <c r="M11" i="6" s="1"/>
  <c r="CV20" i="5"/>
  <c r="CQ11" i="5"/>
  <c r="CQ21" i="5" s="1"/>
  <c r="CV4" i="5"/>
  <c r="CV11" i="5" s="1"/>
  <c r="CU13" i="5"/>
  <c r="CZ13" i="5" s="1"/>
  <c r="CP20" i="5"/>
  <c r="CP4" i="5"/>
  <c r="CK11" i="5"/>
  <c r="CK21" i="5" s="1"/>
  <c r="CH21" i="4"/>
  <c r="CC21" i="4"/>
  <c r="CI21" i="4"/>
  <c r="CJ21" i="4"/>
  <c r="CD21" i="4"/>
  <c r="CE21" i="4"/>
  <c r="BZ24" i="4"/>
  <c r="BY24" i="4"/>
  <c r="BX24" i="4"/>
  <c r="BZ23" i="4"/>
  <c r="BY23" i="4"/>
  <c r="BX23" i="4"/>
  <c r="BZ20" i="4"/>
  <c r="BY20" i="4"/>
  <c r="BX20" i="4"/>
  <c r="BZ11" i="4"/>
  <c r="BY11" i="4"/>
  <c r="BX11" i="4"/>
  <c r="BU24" i="4"/>
  <c r="BT24" i="4"/>
  <c r="BS24" i="4"/>
  <c r="BU23" i="4"/>
  <c r="BT23" i="4"/>
  <c r="BS23" i="4"/>
  <c r="BU20" i="4"/>
  <c r="BT20" i="4"/>
  <c r="BS20" i="4"/>
  <c r="BU11" i="4"/>
  <c r="BU21" i="4" s="1"/>
  <c r="BT11" i="4"/>
  <c r="BT21" i="4" s="1"/>
  <c r="BS11" i="4"/>
  <c r="BP24" i="4"/>
  <c r="BO24" i="4"/>
  <c r="BN24" i="4"/>
  <c r="BP23" i="4"/>
  <c r="BO23" i="4"/>
  <c r="BN23" i="4"/>
  <c r="BP20" i="4"/>
  <c r="BO20" i="4"/>
  <c r="BN20" i="4"/>
  <c r="BP11" i="4"/>
  <c r="BO11" i="4"/>
  <c r="BN11" i="4"/>
  <c r="X9" i="7" l="1"/>
  <c r="X31" i="7" s="1"/>
  <c r="I4" i="7"/>
  <c r="AB9" i="7"/>
  <c r="AB31" i="7" s="1"/>
  <c r="DO30" i="6"/>
  <c r="DT17" i="6"/>
  <c r="DD30" i="6"/>
  <c r="DI17" i="6"/>
  <c r="DN17" i="6" s="1"/>
  <c r="DS17" i="6" s="1"/>
  <c r="DX17" i="6" s="1"/>
  <c r="DJ30" i="6"/>
  <c r="CY30" i="6"/>
  <c r="W35" i="6"/>
  <c r="CE16" i="6"/>
  <c r="CE34" i="6" s="1"/>
  <c r="AG19" i="6"/>
  <c r="AB32" i="6"/>
  <c r="W26" i="6"/>
  <c r="W27" i="6" s="1"/>
  <c r="M31" i="6"/>
  <c r="M35" i="6" s="1"/>
  <c r="M27" i="6"/>
  <c r="CA16" i="6"/>
  <c r="CA34" i="6" s="1"/>
  <c r="R4" i="6"/>
  <c r="R11" i="6" s="1"/>
  <c r="AB21" i="6"/>
  <c r="AB33" i="6" s="1"/>
  <c r="CZ20" i="5"/>
  <c r="DE13" i="5"/>
  <c r="CV21" i="5"/>
  <c r="CU20" i="5"/>
  <c r="CU4" i="5"/>
  <c r="CP11" i="5"/>
  <c r="CP21" i="5" s="1"/>
  <c r="BX21" i="4"/>
  <c r="BS21" i="4"/>
  <c r="BN21" i="4"/>
  <c r="BO21" i="4"/>
  <c r="BY21" i="4"/>
  <c r="BZ21" i="4"/>
  <c r="BP21" i="4"/>
  <c r="BC8" i="4"/>
  <c r="BH8" i="4" s="1"/>
  <c r="AG9" i="7" l="1"/>
  <c r="AC9" i="7"/>
  <c r="AC31" i="7" s="1"/>
  <c r="N4" i="7"/>
  <c r="I8" i="7"/>
  <c r="I35" i="7" s="1"/>
  <c r="DX30" i="6"/>
  <c r="EC17" i="6"/>
  <c r="DT30" i="6"/>
  <c r="DY17" i="6"/>
  <c r="DS30" i="6"/>
  <c r="DN30" i="6"/>
  <c r="DI30" i="6"/>
  <c r="CJ16" i="6"/>
  <c r="CJ34" i="6" s="1"/>
  <c r="CK16" i="6"/>
  <c r="CK34" i="6" s="1"/>
  <c r="CF16" i="6"/>
  <c r="CF34" i="6" s="1"/>
  <c r="R31" i="6"/>
  <c r="R35" i="6" s="1"/>
  <c r="R27" i="6"/>
  <c r="AB26" i="6"/>
  <c r="AG32" i="6"/>
  <c r="AL19" i="6"/>
  <c r="AG21" i="6"/>
  <c r="AG33" i="6" s="1"/>
  <c r="AQ19" i="6"/>
  <c r="AB4" i="6"/>
  <c r="CU11" i="5"/>
  <c r="CU21" i="5" s="1"/>
  <c r="CZ4" i="5"/>
  <c r="DE20" i="5"/>
  <c r="AY13" i="4"/>
  <c r="AL9" i="7" l="1"/>
  <c r="AL31" i="7" s="1"/>
  <c r="AG31" i="7"/>
  <c r="AQ9" i="7"/>
  <c r="N8" i="7"/>
  <c r="N35" i="7" s="1"/>
  <c r="S4" i="7"/>
  <c r="AH9" i="7"/>
  <c r="AH31" i="7" s="1"/>
  <c r="ED17" i="6"/>
  <c r="DY30" i="6"/>
  <c r="EC30" i="6"/>
  <c r="EH17" i="6"/>
  <c r="CT16" i="6"/>
  <c r="CT34" i="6" s="1"/>
  <c r="CO16" i="6"/>
  <c r="CO34" i="6" s="1"/>
  <c r="AG26" i="6"/>
  <c r="AG4" i="6"/>
  <c r="AG11" i="6" s="1"/>
  <c r="AB11" i="6"/>
  <c r="AQ32" i="6"/>
  <c r="AL32" i="6"/>
  <c r="AL21" i="6"/>
  <c r="AL33" i="6" s="1"/>
  <c r="AV19" i="6"/>
  <c r="DE4" i="5"/>
  <c r="DE11" i="5" s="1"/>
  <c r="DE21" i="5" s="1"/>
  <c r="CZ11" i="5"/>
  <c r="CZ21" i="5" s="1"/>
  <c r="BK24" i="4"/>
  <c r="BJ24" i="4"/>
  <c r="BI24" i="4"/>
  <c r="BK23" i="4"/>
  <c r="BJ23" i="4"/>
  <c r="BI23" i="4"/>
  <c r="BK20" i="4"/>
  <c r="BJ20" i="4"/>
  <c r="BI20" i="4"/>
  <c r="BK11" i="4"/>
  <c r="BJ11" i="4"/>
  <c r="BF24" i="4"/>
  <c r="BE24" i="4"/>
  <c r="BD24" i="4"/>
  <c r="BF23" i="4"/>
  <c r="BE23" i="4"/>
  <c r="BD23" i="4"/>
  <c r="BF20" i="4"/>
  <c r="BE20" i="4"/>
  <c r="BD20" i="4"/>
  <c r="BF11" i="4"/>
  <c r="BE11" i="4"/>
  <c r="BD11" i="4"/>
  <c r="BH10" i="4"/>
  <c r="AT13" i="4"/>
  <c r="AT10" i="4"/>
  <c r="AT9" i="4"/>
  <c r="AT6" i="4"/>
  <c r="AQ31" i="7" l="1"/>
  <c r="AV9" i="7"/>
  <c r="AV31" i="7" s="1"/>
  <c r="AM9" i="7"/>
  <c r="AM31" i="7" s="1"/>
  <c r="S8" i="7"/>
  <c r="S35" i="7" s="1"/>
  <c r="X4" i="7"/>
  <c r="I27" i="7"/>
  <c r="EH30" i="6"/>
  <c r="EM17" i="6"/>
  <c r="EM30" i="6" s="1"/>
  <c r="AL4" i="6"/>
  <c r="AL11" i="6" s="1"/>
  <c r="AL31" i="6" s="1"/>
  <c r="AL35" i="6" s="1"/>
  <c r="ED30" i="6"/>
  <c r="EI17" i="6"/>
  <c r="AV32" i="6"/>
  <c r="AL26" i="6"/>
  <c r="AB27" i="6"/>
  <c r="AB31" i="6"/>
  <c r="AB35" i="6" s="1"/>
  <c r="AG27" i="6"/>
  <c r="AG31" i="6"/>
  <c r="AG35" i="6" s="1"/>
  <c r="BA19" i="6"/>
  <c r="AQ21" i="6"/>
  <c r="BJ21" i="4"/>
  <c r="BK21" i="4"/>
  <c r="BE21" i="4"/>
  <c r="BD21" i="4"/>
  <c r="BF21" i="4"/>
  <c r="BA24" i="4"/>
  <c r="AZ24" i="4"/>
  <c r="AY24" i="4"/>
  <c r="BA23" i="4"/>
  <c r="AZ23" i="4"/>
  <c r="AY23" i="4"/>
  <c r="BA20" i="4"/>
  <c r="AZ20" i="4"/>
  <c r="AY20" i="4"/>
  <c r="BA11" i="4"/>
  <c r="AZ11" i="4"/>
  <c r="AY11" i="4"/>
  <c r="I28" i="7" l="1"/>
  <c r="I34" i="7"/>
  <c r="AR9" i="7"/>
  <c r="BA9" i="7"/>
  <c r="BA31" i="7" s="1"/>
  <c r="X8" i="7"/>
  <c r="X35" i="7" s="1"/>
  <c r="AC4" i="7"/>
  <c r="I36" i="7"/>
  <c r="H36" i="7"/>
  <c r="H28" i="7"/>
  <c r="EN17" i="6"/>
  <c r="EN30" i="6" s="1"/>
  <c r="EI30" i="6"/>
  <c r="AQ4" i="6"/>
  <c r="AQ11" i="6" s="1"/>
  <c r="AL27" i="6"/>
  <c r="AQ31" i="6"/>
  <c r="AQ33" i="6"/>
  <c r="AQ26" i="6"/>
  <c r="AQ27" i="6" s="1"/>
  <c r="BA32" i="6"/>
  <c r="AV21" i="6"/>
  <c r="AV4" i="6"/>
  <c r="AV11" i="6" s="1"/>
  <c r="BF19" i="6"/>
  <c r="BA21" i="4"/>
  <c r="AY21" i="4"/>
  <c r="AZ21" i="4"/>
  <c r="AR31" i="7" l="1"/>
  <c r="AW9" i="7"/>
  <c r="AW31" i="7" s="1"/>
  <c r="BF9" i="7"/>
  <c r="BF31" i="7" s="1"/>
  <c r="N27" i="7"/>
  <c r="M27" i="7"/>
  <c r="AC8" i="7"/>
  <c r="AC35" i="7" s="1"/>
  <c r="AH4" i="7"/>
  <c r="BF32" i="6"/>
  <c r="AV31" i="6"/>
  <c r="AV33" i="6"/>
  <c r="AV26" i="6"/>
  <c r="AV27" i="6" s="1"/>
  <c r="AQ35" i="6"/>
  <c r="BK19" i="6"/>
  <c r="BA4" i="6"/>
  <c r="BA11" i="6" s="1"/>
  <c r="BA21" i="6"/>
  <c r="AV24" i="4"/>
  <c r="AU24" i="4"/>
  <c r="AT24" i="4"/>
  <c r="AV23" i="4"/>
  <c r="AU23" i="4"/>
  <c r="AT23" i="4"/>
  <c r="AV20" i="4"/>
  <c r="AU20" i="4"/>
  <c r="AT20" i="4"/>
  <c r="AV11" i="4"/>
  <c r="AU11" i="4"/>
  <c r="AT11" i="4"/>
  <c r="AQ24" i="4"/>
  <c r="AP24" i="4"/>
  <c r="AO24" i="4"/>
  <c r="AQ23" i="4"/>
  <c r="AP23" i="4"/>
  <c r="AO23" i="4"/>
  <c r="AQ20" i="4"/>
  <c r="AP20" i="4"/>
  <c r="AO20" i="4"/>
  <c r="AQ11" i="4"/>
  <c r="AP11" i="4"/>
  <c r="AO11" i="4"/>
  <c r="AL24" i="4"/>
  <c r="AK24" i="4"/>
  <c r="AJ24" i="4"/>
  <c r="AL23" i="4"/>
  <c r="AK23" i="4"/>
  <c r="AJ23" i="4"/>
  <c r="AL20" i="4"/>
  <c r="AK20" i="4"/>
  <c r="AJ20" i="4"/>
  <c r="AL11" i="4"/>
  <c r="AK11" i="4"/>
  <c r="AJ11" i="4"/>
  <c r="Z6" i="4"/>
  <c r="M28" i="7" l="1"/>
  <c r="M34" i="7"/>
  <c r="M36" i="7" s="1"/>
  <c r="N28" i="7"/>
  <c r="N34" i="7"/>
  <c r="BB9" i="7"/>
  <c r="BB31" i="7" s="1"/>
  <c r="AH8" i="7"/>
  <c r="AH35" i="7" s="1"/>
  <c r="R27" i="7"/>
  <c r="S27" i="7"/>
  <c r="N36" i="7"/>
  <c r="BK32" i="6"/>
  <c r="BA33" i="6"/>
  <c r="BA26" i="6"/>
  <c r="BA31" i="6"/>
  <c r="BA35" i="6" s="1"/>
  <c r="BA27" i="6"/>
  <c r="AV35" i="6"/>
  <c r="BF21" i="6"/>
  <c r="BF4" i="6"/>
  <c r="BF11" i="6" s="1"/>
  <c r="BP19" i="6"/>
  <c r="AO21" i="4"/>
  <c r="AV21" i="4"/>
  <c r="AJ21" i="4"/>
  <c r="AK21" i="4"/>
  <c r="AL21" i="4"/>
  <c r="AQ21" i="4"/>
  <c r="AP21" i="4"/>
  <c r="AT21" i="4"/>
  <c r="AU21" i="4"/>
  <c r="U13" i="4"/>
  <c r="U6" i="4"/>
  <c r="AG24" i="4"/>
  <c r="AF24" i="4"/>
  <c r="AE24" i="4"/>
  <c r="AG23" i="4"/>
  <c r="AF23" i="4"/>
  <c r="AE23" i="4"/>
  <c r="AG20" i="4"/>
  <c r="AF20" i="4"/>
  <c r="AE20" i="4"/>
  <c r="AG11" i="4"/>
  <c r="AF11" i="4"/>
  <c r="AE11" i="4"/>
  <c r="AB24" i="4"/>
  <c r="AA24" i="4"/>
  <c r="Z24" i="4"/>
  <c r="AB23" i="4"/>
  <c r="AA23" i="4"/>
  <c r="Z23" i="4"/>
  <c r="AB20" i="4"/>
  <c r="AA20" i="4"/>
  <c r="Z20" i="4"/>
  <c r="AB11" i="4"/>
  <c r="AA11" i="4"/>
  <c r="Z11" i="4"/>
  <c r="K13" i="4"/>
  <c r="K6" i="4"/>
  <c r="F4" i="4"/>
  <c r="F9" i="4"/>
  <c r="F6" i="4"/>
  <c r="G4" i="4"/>
  <c r="R28" i="7" l="1"/>
  <c r="R34" i="7"/>
  <c r="R36" i="7" s="1"/>
  <c r="S28" i="7"/>
  <c r="S34" i="7"/>
  <c r="S36" i="7" s="1"/>
  <c r="BG9" i="7"/>
  <c r="BG31" i="7" s="1"/>
  <c r="AR4" i="7"/>
  <c r="AW4" i="7" s="1"/>
  <c r="AW8" i="7" s="1"/>
  <c r="AW35" i="7" s="1"/>
  <c r="AM8" i="7"/>
  <c r="AM35" i="7" s="1"/>
  <c r="X27" i="7"/>
  <c r="W27" i="7"/>
  <c r="BF33" i="6"/>
  <c r="BF26" i="6"/>
  <c r="BF31" i="6"/>
  <c r="BF27" i="6"/>
  <c r="BU19" i="6"/>
  <c r="BP32" i="6"/>
  <c r="BZ19" i="6"/>
  <c r="BK4" i="6"/>
  <c r="BK11" i="6" s="1"/>
  <c r="BK21" i="6"/>
  <c r="AA21" i="4"/>
  <c r="Z21" i="4"/>
  <c r="AG21" i="4"/>
  <c r="AB21" i="4"/>
  <c r="AE21" i="4"/>
  <c r="AF21" i="4"/>
  <c r="F16" i="4"/>
  <c r="F13" i="4"/>
  <c r="W28" i="7" l="1"/>
  <c r="W34" i="7"/>
  <c r="W36" i="7" s="1"/>
  <c r="X28" i="7"/>
  <c r="X34" i="7"/>
  <c r="AR8" i="7"/>
  <c r="AR35" i="7" s="1"/>
  <c r="AB27" i="7"/>
  <c r="AC27" i="7"/>
  <c r="X36" i="7"/>
  <c r="BK33" i="6"/>
  <c r="BK26" i="6"/>
  <c r="BK27" i="6" s="1"/>
  <c r="BK31" i="6"/>
  <c r="CE19" i="6"/>
  <c r="CJ19" i="6" s="1"/>
  <c r="CO19" i="6" s="1"/>
  <c r="BZ32" i="6"/>
  <c r="BU32" i="6"/>
  <c r="BF35" i="6"/>
  <c r="BP21" i="6"/>
  <c r="BP4" i="6"/>
  <c r="I19" i="6"/>
  <c r="J6" i="4"/>
  <c r="O6" i="4" s="1"/>
  <c r="T6" i="4" s="1"/>
  <c r="Y6" i="4" s="1"/>
  <c r="AD6" i="4" s="1"/>
  <c r="AI6" i="4" s="1"/>
  <c r="AN6" i="4" s="1"/>
  <c r="AS6" i="4" s="1"/>
  <c r="AX6" i="4" s="1"/>
  <c r="BC6" i="4" s="1"/>
  <c r="BH6" i="4" s="1"/>
  <c r="J10" i="4"/>
  <c r="O10" i="4" s="1"/>
  <c r="T10" i="4" s="1"/>
  <c r="Y10" i="4" s="1"/>
  <c r="AD10" i="4" s="1"/>
  <c r="AI10" i="4" s="1"/>
  <c r="AN10" i="4" s="1"/>
  <c r="AS10" i="4" s="1"/>
  <c r="AX10" i="4" s="1"/>
  <c r="J4" i="4"/>
  <c r="O4" i="4" s="1"/>
  <c r="W24" i="4"/>
  <c r="V24" i="4"/>
  <c r="U24" i="4"/>
  <c r="R24" i="4"/>
  <c r="Q24" i="4"/>
  <c r="P24" i="4"/>
  <c r="M24" i="4"/>
  <c r="L24" i="4"/>
  <c r="H24" i="4"/>
  <c r="G24" i="4"/>
  <c r="E24" i="4"/>
  <c r="W23" i="4"/>
  <c r="V23" i="4"/>
  <c r="R23" i="4"/>
  <c r="Q23" i="4"/>
  <c r="M23" i="4"/>
  <c r="L23" i="4"/>
  <c r="H23" i="4"/>
  <c r="G23" i="4"/>
  <c r="E23" i="4"/>
  <c r="W20" i="4"/>
  <c r="V20" i="4"/>
  <c r="U20" i="4"/>
  <c r="R20" i="4"/>
  <c r="Q20" i="4"/>
  <c r="M20" i="4"/>
  <c r="L20" i="4"/>
  <c r="L21" i="4" s="1"/>
  <c r="H20" i="4"/>
  <c r="G20" i="4"/>
  <c r="E20" i="4"/>
  <c r="D19" i="4"/>
  <c r="I19" i="4" s="1"/>
  <c r="N19" i="4" s="1"/>
  <c r="S19" i="4" s="1"/>
  <c r="X19" i="4" s="1"/>
  <c r="AC19" i="4" s="1"/>
  <c r="AH19" i="4" s="1"/>
  <c r="AM19" i="4" s="1"/>
  <c r="AR19" i="4" s="1"/>
  <c r="AW19" i="4" s="1"/>
  <c r="BB19" i="4" s="1"/>
  <c r="BG19" i="4" s="1"/>
  <c r="BL19" i="4" s="1"/>
  <c r="BQ19" i="4" s="1"/>
  <c r="BV19" i="4" s="1"/>
  <c r="CA19" i="4" s="1"/>
  <c r="CF19" i="4" s="1"/>
  <c r="CK19" i="4" s="1"/>
  <c r="CP19" i="4" s="1"/>
  <c r="CU19" i="4" s="1"/>
  <c r="CZ19" i="4" s="1"/>
  <c r="DE19" i="4" s="1"/>
  <c r="DJ19" i="4" s="1"/>
  <c r="DO19" i="4" s="1"/>
  <c r="D18" i="4"/>
  <c r="I18" i="4" s="1"/>
  <c r="N18" i="4" s="1"/>
  <c r="S18" i="4" s="1"/>
  <c r="X18" i="4" s="1"/>
  <c r="AC18" i="4" s="1"/>
  <c r="AH18" i="4" s="1"/>
  <c r="AM18" i="4" s="1"/>
  <c r="AR18" i="4" s="1"/>
  <c r="AW18" i="4" s="1"/>
  <c r="BB18" i="4" s="1"/>
  <c r="BG18" i="4" s="1"/>
  <c r="BL18" i="4" s="1"/>
  <c r="BQ18" i="4" s="1"/>
  <c r="BV18" i="4" s="1"/>
  <c r="CA18" i="4" s="1"/>
  <c r="CF18" i="4" s="1"/>
  <c r="CK18" i="4" s="1"/>
  <c r="CP18" i="4" s="1"/>
  <c r="CU18" i="4" s="1"/>
  <c r="CZ18" i="4" s="1"/>
  <c r="DE18" i="4" s="1"/>
  <c r="DJ18" i="4" s="1"/>
  <c r="DO18" i="4" s="1"/>
  <c r="D17" i="4"/>
  <c r="I17" i="4" s="1"/>
  <c r="N17" i="4" s="1"/>
  <c r="S17" i="4" s="1"/>
  <c r="X17" i="4" s="1"/>
  <c r="AC17" i="4" s="1"/>
  <c r="AH17" i="4" s="1"/>
  <c r="AM17" i="4" s="1"/>
  <c r="AR17" i="4" s="1"/>
  <c r="AW17" i="4" s="1"/>
  <c r="BB17" i="4" s="1"/>
  <c r="BG17" i="4" s="1"/>
  <c r="BL17" i="4" s="1"/>
  <c r="BQ17" i="4" s="1"/>
  <c r="BV17" i="4" s="1"/>
  <c r="CA17" i="4" s="1"/>
  <c r="CF17" i="4" s="1"/>
  <c r="CK17" i="4" s="1"/>
  <c r="CP17" i="4" s="1"/>
  <c r="CU17" i="4" s="1"/>
  <c r="CZ17" i="4" s="1"/>
  <c r="DE17" i="4" s="1"/>
  <c r="DJ17" i="4" s="1"/>
  <c r="DO17" i="4" s="1"/>
  <c r="D16" i="4"/>
  <c r="I16" i="4" s="1"/>
  <c r="N16" i="4" s="1"/>
  <c r="S16" i="4" s="1"/>
  <c r="X16" i="4" s="1"/>
  <c r="AC16" i="4" s="1"/>
  <c r="AH16" i="4" s="1"/>
  <c r="AM16" i="4" s="1"/>
  <c r="AR16" i="4" s="1"/>
  <c r="AW16" i="4" s="1"/>
  <c r="BB16" i="4" s="1"/>
  <c r="BG16" i="4" s="1"/>
  <c r="BL16" i="4" s="1"/>
  <c r="BQ16" i="4" s="1"/>
  <c r="BV16" i="4" s="1"/>
  <c r="CA16" i="4" s="1"/>
  <c r="CF16" i="4" s="1"/>
  <c r="CK16" i="4" s="1"/>
  <c r="CP16" i="4" s="1"/>
  <c r="CU16" i="4" s="1"/>
  <c r="CZ16" i="4" s="1"/>
  <c r="DE16" i="4" s="1"/>
  <c r="DJ16" i="4" s="1"/>
  <c r="DO16" i="4" s="1"/>
  <c r="D15" i="4"/>
  <c r="D14" i="4"/>
  <c r="I14" i="4" s="1"/>
  <c r="N14" i="4" s="1"/>
  <c r="S14" i="4" s="1"/>
  <c r="X14" i="4" s="1"/>
  <c r="AC14" i="4" s="1"/>
  <c r="U23" i="4"/>
  <c r="K23" i="4"/>
  <c r="D13" i="4"/>
  <c r="W11" i="4"/>
  <c r="V11" i="4"/>
  <c r="U11" i="4"/>
  <c r="R11" i="4"/>
  <c r="Q11" i="4"/>
  <c r="P11" i="4"/>
  <c r="M11" i="4"/>
  <c r="L11" i="4"/>
  <c r="K11" i="4"/>
  <c r="H11" i="4"/>
  <c r="G11" i="4"/>
  <c r="F11" i="4"/>
  <c r="D10" i="4"/>
  <c r="I10" i="4" s="1"/>
  <c r="N10" i="4" s="1"/>
  <c r="S10" i="4" s="1"/>
  <c r="X10" i="4" s="1"/>
  <c r="AC10" i="4" s="1"/>
  <c r="AH10" i="4" s="1"/>
  <c r="AM10" i="4" s="1"/>
  <c r="AR10" i="4" s="1"/>
  <c r="AW10" i="4" s="1"/>
  <c r="BB10" i="4" s="1"/>
  <c r="BG10" i="4" s="1"/>
  <c r="BL10" i="4" s="1"/>
  <c r="BQ10" i="4" s="1"/>
  <c r="BV10" i="4" s="1"/>
  <c r="CA10" i="4" s="1"/>
  <c r="CF10" i="4" s="1"/>
  <c r="CK10" i="4" s="1"/>
  <c r="CP10" i="4" s="1"/>
  <c r="CU10" i="4" s="1"/>
  <c r="CZ10" i="4" s="1"/>
  <c r="DE10" i="4" s="1"/>
  <c r="DJ10" i="4" s="1"/>
  <c r="DO10" i="4" s="1"/>
  <c r="J9" i="4"/>
  <c r="O9" i="4" s="1"/>
  <c r="T9" i="4" s="1"/>
  <c r="Y9" i="4" s="1"/>
  <c r="AD9" i="4" s="1"/>
  <c r="AI9" i="4" s="1"/>
  <c r="AN9" i="4" s="1"/>
  <c r="AS9" i="4" s="1"/>
  <c r="AX9" i="4" s="1"/>
  <c r="BC9" i="4" s="1"/>
  <c r="BH9" i="4" s="1"/>
  <c r="D9" i="4"/>
  <c r="I9" i="4" s="1"/>
  <c r="N9" i="4" s="1"/>
  <c r="S9" i="4" s="1"/>
  <c r="X9" i="4" s="1"/>
  <c r="AC9" i="4" s="1"/>
  <c r="J8" i="4"/>
  <c r="D8" i="4"/>
  <c r="I8" i="4" s="1"/>
  <c r="N8" i="4" s="1"/>
  <c r="S8" i="4" s="1"/>
  <c r="X8" i="4" s="1"/>
  <c r="AC8" i="4" s="1"/>
  <c r="AH8" i="4" s="1"/>
  <c r="AM8" i="4" s="1"/>
  <c r="AR8" i="4" s="1"/>
  <c r="AW8" i="4" s="1"/>
  <c r="BB8" i="4" s="1"/>
  <c r="BG8" i="4" s="1"/>
  <c r="BL8" i="4" s="1"/>
  <c r="BQ8" i="4" s="1"/>
  <c r="BV8" i="4" s="1"/>
  <c r="CA8" i="4" s="1"/>
  <c r="CF8" i="4" s="1"/>
  <c r="CK8" i="4" s="1"/>
  <c r="CP8" i="4" s="1"/>
  <c r="CU8" i="4" s="1"/>
  <c r="CZ8" i="4" s="1"/>
  <c r="DE8" i="4" s="1"/>
  <c r="DJ8" i="4" s="1"/>
  <c r="DO8" i="4" s="1"/>
  <c r="J7" i="4"/>
  <c r="O7" i="4" s="1"/>
  <c r="T7" i="4" s="1"/>
  <c r="Y7" i="4" s="1"/>
  <c r="AD7" i="4" s="1"/>
  <c r="AI7" i="4" s="1"/>
  <c r="AN7" i="4" s="1"/>
  <c r="AS7" i="4" s="1"/>
  <c r="AX7" i="4" s="1"/>
  <c r="BC7" i="4" s="1"/>
  <c r="BH7" i="4" s="1"/>
  <c r="D7" i="4"/>
  <c r="I7" i="4" s="1"/>
  <c r="N7" i="4" s="1"/>
  <c r="S7" i="4" s="1"/>
  <c r="X7" i="4" s="1"/>
  <c r="AC7" i="4" s="1"/>
  <c r="AH7" i="4" s="1"/>
  <c r="AM7" i="4" s="1"/>
  <c r="AR7" i="4" s="1"/>
  <c r="AW7" i="4" s="1"/>
  <c r="BB7" i="4" s="1"/>
  <c r="BG7" i="4" s="1"/>
  <c r="BL7" i="4" s="1"/>
  <c r="BQ7" i="4" s="1"/>
  <c r="BV7" i="4" s="1"/>
  <c r="CA7" i="4" s="1"/>
  <c r="CF7" i="4" s="1"/>
  <c r="CK7" i="4" s="1"/>
  <c r="CP7" i="4" s="1"/>
  <c r="CU7" i="4" s="1"/>
  <c r="CZ7" i="4" s="1"/>
  <c r="DE7" i="4" s="1"/>
  <c r="DJ7" i="4" s="1"/>
  <c r="DO7" i="4" s="1"/>
  <c r="D6" i="4"/>
  <c r="I6" i="4" s="1"/>
  <c r="N6" i="4" s="1"/>
  <c r="S6" i="4" s="1"/>
  <c r="X6" i="4" s="1"/>
  <c r="AC6" i="4" s="1"/>
  <c r="AH6" i="4" s="1"/>
  <c r="AM6" i="4" s="1"/>
  <c r="AR6" i="4" s="1"/>
  <c r="AW6" i="4" s="1"/>
  <c r="BB6" i="4" s="1"/>
  <c r="BG6" i="4" s="1"/>
  <c r="BL6" i="4" s="1"/>
  <c r="BQ6" i="4" s="1"/>
  <c r="BV6" i="4" s="1"/>
  <c r="CA6" i="4" s="1"/>
  <c r="CF6" i="4" s="1"/>
  <c r="CK6" i="4" s="1"/>
  <c r="CP6" i="4" s="1"/>
  <c r="CU6" i="4" s="1"/>
  <c r="CZ6" i="4" s="1"/>
  <c r="DE6" i="4" s="1"/>
  <c r="DJ6" i="4" s="1"/>
  <c r="DO6" i="4" s="1"/>
  <c r="J5" i="4"/>
  <c r="O5" i="4" s="1"/>
  <c r="T5" i="4" s="1"/>
  <c r="Y5" i="4" s="1"/>
  <c r="AD5" i="4" s="1"/>
  <c r="AI5" i="4" s="1"/>
  <c r="AN5" i="4" s="1"/>
  <c r="AS5" i="4" s="1"/>
  <c r="AX5" i="4" s="1"/>
  <c r="BC5" i="4" s="1"/>
  <c r="BH5" i="4" s="1"/>
  <c r="D5" i="4"/>
  <c r="I5" i="4" s="1"/>
  <c r="N5" i="4" s="1"/>
  <c r="S5" i="4" s="1"/>
  <c r="X5" i="4" s="1"/>
  <c r="AC5" i="4" s="1"/>
  <c r="AH5" i="4" s="1"/>
  <c r="AM5" i="4" s="1"/>
  <c r="AR5" i="4" s="1"/>
  <c r="AW5" i="4" s="1"/>
  <c r="BB5" i="4" s="1"/>
  <c r="BG5" i="4" s="1"/>
  <c r="BL5" i="4" s="1"/>
  <c r="BQ5" i="4" s="1"/>
  <c r="BV5" i="4" s="1"/>
  <c r="CA5" i="4" s="1"/>
  <c r="CF5" i="4" s="1"/>
  <c r="CK5" i="4" s="1"/>
  <c r="CP5" i="4" s="1"/>
  <c r="CU5" i="4" s="1"/>
  <c r="CZ5" i="4" s="1"/>
  <c r="DE5" i="4" s="1"/>
  <c r="DJ5" i="4" s="1"/>
  <c r="DO5" i="4" s="1"/>
  <c r="D4" i="4"/>
  <c r="I4" i="4" s="1"/>
  <c r="W24" i="3"/>
  <c r="V24" i="3"/>
  <c r="U24" i="3"/>
  <c r="T24" i="3"/>
  <c r="S24" i="3"/>
  <c r="W23" i="3"/>
  <c r="V23" i="3"/>
  <c r="U23" i="3"/>
  <c r="T23" i="3"/>
  <c r="S23" i="3"/>
  <c r="R24" i="3"/>
  <c r="Q24" i="3"/>
  <c r="P24" i="3"/>
  <c r="O24" i="3"/>
  <c r="N24" i="3"/>
  <c r="R23" i="3"/>
  <c r="Q23" i="3"/>
  <c r="P23" i="3"/>
  <c r="O23" i="3"/>
  <c r="N23" i="3"/>
  <c r="M24" i="3"/>
  <c r="L24" i="3"/>
  <c r="K24" i="3"/>
  <c r="J24" i="3"/>
  <c r="I24" i="3"/>
  <c r="M23" i="3"/>
  <c r="L23" i="3"/>
  <c r="K23" i="3"/>
  <c r="J23" i="3"/>
  <c r="I23" i="3"/>
  <c r="H24" i="3"/>
  <c r="G24" i="3"/>
  <c r="F24" i="3"/>
  <c r="E24" i="3"/>
  <c r="D24" i="3"/>
  <c r="H23" i="3"/>
  <c r="G23" i="3"/>
  <c r="F23" i="3"/>
  <c r="E23" i="3"/>
  <c r="D23" i="3"/>
  <c r="X24" i="3"/>
  <c r="X23" i="3"/>
  <c r="Y24" i="3"/>
  <c r="Y23" i="3"/>
  <c r="AB24" i="3"/>
  <c r="AB23" i="3"/>
  <c r="AA24" i="3"/>
  <c r="AA23" i="3"/>
  <c r="EF13" i="3"/>
  <c r="AB28" i="7" l="1"/>
  <c r="AB34" i="7"/>
  <c r="AB36" i="7" s="1"/>
  <c r="AC28" i="7"/>
  <c r="AC34" i="7"/>
  <c r="BB4" i="7"/>
  <c r="AM27" i="7"/>
  <c r="AL27" i="7"/>
  <c r="AG27" i="7"/>
  <c r="AH27" i="7"/>
  <c r="AC36" i="7"/>
  <c r="CT19" i="6"/>
  <c r="CY19" i="6" s="1"/>
  <c r="CO32" i="6"/>
  <c r="BK35" i="6"/>
  <c r="BU21" i="6"/>
  <c r="BZ21" i="6" s="1"/>
  <c r="BP33" i="6"/>
  <c r="BP26" i="6"/>
  <c r="BU4" i="6"/>
  <c r="BU11" i="6" s="1"/>
  <c r="BP11" i="6"/>
  <c r="CE32" i="6"/>
  <c r="I32" i="6"/>
  <c r="I21" i="6"/>
  <c r="I33" i="6" s="1"/>
  <c r="N19" i="6"/>
  <c r="AH14" i="4"/>
  <c r="AH9" i="4"/>
  <c r="W21" i="4"/>
  <c r="Q21" i="4"/>
  <c r="V21" i="4"/>
  <c r="R21" i="4"/>
  <c r="E11" i="4"/>
  <c r="E21" i="4" s="1"/>
  <c r="U21" i="4"/>
  <c r="D23" i="4"/>
  <c r="I13" i="4"/>
  <c r="D20" i="4"/>
  <c r="I11" i="4"/>
  <c r="T4" i="4"/>
  <c r="Y4" i="4" s="1"/>
  <c r="O11" i="4"/>
  <c r="K20" i="4"/>
  <c r="K21" i="4" s="1"/>
  <c r="N4" i="4"/>
  <c r="G21" i="4"/>
  <c r="H21" i="4"/>
  <c r="D11" i="4"/>
  <c r="M21" i="4"/>
  <c r="K24" i="4"/>
  <c r="P23" i="4"/>
  <c r="P20" i="4"/>
  <c r="P21" i="4" s="1"/>
  <c r="J11" i="4"/>
  <c r="D24" i="4"/>
  <c r="I15" i="4"/>
  <c r="EF6" i="3"/>
  <c r="EF4" i="3"/>
  <c r="AH28" i="7" l="1"/>
  <c r="AH34" i="7"/>
  <c r="AH36" i="7" s="1"/>
  <c r="AM28" i="7"/>
  <c r="AM34" i="7"/>
  <c r="AG28" i="7"/>
  <c r="AG34" i="7"/>
  <c r="AG36" i="7" s="1"/>
  <c r="AL28" i="7"/>
  <c r="AL34" i="7"/>
  <c r="AL36" i="7" s="1"/>
  <c r="BG4" i="7"/>
  <c r="BG8" i="7" s="1"/>
  <c r="BG35" i="7" s="1"/>
  <c r="BB8" i="7"/>
  <c r="BB35" i="7" s="1"/>
  <c r="AM36" i="7"/>
  <c r="AW20" i="7"/>
  <c r="BB20" i="7" s="1"/>
  <c r="AR27" i="7"/>
  <c r="BA22" i="7"/>
  <c r="AQ27" i="7"/>
  <c r="DD19" i="6"/>
  <c r="CY32" i="6"/>
  <c r="BZ4" i="6"/>
  <c r="BZ11" i="6" s="1"/>
  <c r="CT32" i="6"/>
  <c r="I26" i="6"/>
  <c r="CJ32" i="6"/>
  <c r="BP27" i="6"/>
  <c r="BP31" i="6"/>
  <c r="BP35" i="6" s="1"/>
  <c r="BZ33" i="6"/>
  <c r="CE21" i="6"/>
  <c r="CJ21" i="6" s="1"/>
  <c r="CO21" i="6" s="1"/>
  <c r="BZ26" i="6"/>
  <c r="BU31" i="6"/>
  <c r="S19" i="6"/>
  <c r="N32" i="6"/>
  <c r="BU33" i="6"/>
  <c r="BU26" i="6"/>
  <c r="BU27" i="6" s="1"/>
  <c r="N21" i="6"/>
  <c r="N33" i="6" s="1"/>
  <c r="AM14" i="4"/>
  <c r="AM9" i="4"/>
  <c r="Y11" i="4"/>
  <c r="AD4" i="4"/>
  <c r="D21" i="4"/>
  <c r="S4" i="4"/>
  <c r="X4" i="4" s="1"/>
  <c r="N11" i="4"/>
  <c r="N13" i="4"/>
  <c r="I23" i="4"/>
  <c r="I20" i="4"/>
  <c r="I21" i="4" s="1"/>
  <c r="T11" i="4"/>
  <c r="N15" i="4"/>
  <c r="I24" i="4"/>
  <c r="EA6" i="3"/>
  <c r="AQ28" i="7" l="1"/>
  <c r="AQ34" i="7"/>
  <c r="AQ36" i="7" s="1"/>
  <c r="AR28" i="7"/>
  <c r="AR34" i="7"/>
  <c r="BG20" i="7"/>
  <c r="BB27" i="7"/>
  <c r="BF22" i="7"/>
  <c r="BA27" i="7"/>
  <c r="AR36" i="7"/>
  <c r="AW27" i="7"/>
  <c r="AV27" i="7"/>
  <c r="CE4" i="6"/>
  <c r="CJ4" i="6" s="1"/>
  <c r="DI19" i="6"/>
  <c r="DD32" i="6"/>
  <c r="CT21" i="6"/>
  <c r="CY21" i="6" s="1"/>
  <c r="CO33" i="6"/>
  <c r="CO26" i="6"/>
  <c r="BU35" i="6"/>
  <c r="S32" i="6"/>
  <c r="CE33" i="6"/>
  <c r="CE26" i="6"/>
  <c r="X19" i="6"/>
  <c r="N26" i="6"/>
  <c r="BZ31" i="6"/>
  <c r="BZ35" i="6" s="1"/>
  <c r="BZ27" i="6"/>
  <c r="CE11" i="6"/>
  <c r="S21" i="6"/>
  <c r="S33" i="6" s="1"/>
  <c r="AD11" i="4"/>
  <c r="AI4" i="4"/>
  <c r="X11" i="4"/>
  <c r="AC4" i="4"/>
  <c r="AR14" i="4"/>
  <c r="AR9" i="4"/>
  <c r="N24" i="4"/>
  <c r="S15" i="4"/>
  <c r="X15" i="4" s="1"/>
  <c r="S11" i="4"/>
  <c r="S13" i="4"/>
  <c r="X13" i="4" s="1"/>
  <c r="AC13" i="4" s="1"/>
  <c r="N23" i="4"/>
  <c r="N20" i="4"/>
  <c r="N21" i="4" s="1"/>
  <c r="EH24" i="3"/>
  <c r="EG24" i="3"/>
  <c r="EF24" i="3"/>
  <c r="EH23" i="3"/>
  <c r="EG23" i="3"/>
  <c r="EF23" i="3"/>
  <c r="EH20" i="3"/>
  <c r="EG20" i="3"/>
  <c r="EG21" i="3" s="1"/>
  <c r="EF20" i="3"/>
  <c r="EF21" i="3" s="1"/>
  <c r="EE19" i="3"/>
  <c r="ED19" i="3"/>
  <c r="EE18" i="3"/>
  <c r="ED18" i="3"/>
  <c r="EE17" i="3"/>
  <c r="ED17" i="3"/>
  <c r="EE16" i="3"/>
  <c r="ED16" i="3"/>
  <c r="EE15" i="3"/>
  <c r="ED15" i="3"/>
  <c r="EE14" i="3"/>
  <c r="ED14" i="3"/>
  <c r="EE13" i="3"/>
  <c r="ED13" i="3"/>
  <c r="ED20" i="3" s="1"/>
  <c r="EH11" i="3"/>
  <c r="EG11" i="3"/>
  <c r="EF11" i="3"/>
  <c r="EE10" i="3"/>
  <c r="ED10" i="3"/>
  <c r="EE9" i="3"/>
  <c r="ED9" i="3"/>
  <c r="ED8" i="3"/>
  <c r="EE7" i="3"/>
  <c r="ED7" i="3"/>
  <c r="EE6" i="3"/>
  <c r="ED6" i="3"/>
  <c r="EE5" i="3"/>
  <c r="ED5" i="3"/>
  <c r="EE4" i="3"/>
  <c r="ED4" i="3"/>
  <c r="DV6" i="3"/>
  <c r="DQ13" i="3"/>
  <c r="DQ23" i="3"/>
  <c r="DQ6" i="3"/>
  <c r="EC24" i="3"/>
  <c r="EB24" i="3"/>
  <c r="EA24" i="3"/>
  <c r="EC23" i="3"/>
  <c r="EB23" i="3"/>
  <c r="EA23" i="3"/>
  <c r="DX24" i="3"/>
  <c r="DW24" i="3"/>
  <c r="DV24" i="3"/>
  <c r="DX23" i="3"/>
  <c r="DW23" i="3"/>
  <c r="DV23" i="3"/>
  <c r="DS24" i="3"/>
  <c r="DR24" i="3"/>
  <c r="DQ24" i="3"/>
  <c r="DS23" i="3"/>
  <c r="DR23" i="3"/>
  <c r="DN24" i="3"/>
  <c r="DM24" i="3"/>
  <c r="DL24" i="3"/>
  <c r="DN23" i="3"/>
  <c r="DM23" i="3"/>
  <c r="DL23" i="3"/>
  <c r="DH24" i="3"/>
  <c r="DH23" i="3"/>
  <c r="AW28" i="7" l="1"/>
  <c r="AW34" i="7"/>
  <c r="AW36" i="7" s="1"/>
  <c r="BB28" i="7"/>
  <c r="BB34" i="7"/>
  <c r="BA28" i="7"/>
  <c r="BA34" i="7"/>
  <c r="BA36" i="7" s="1"/>
  <c r="AV28" i="7"/>
  <c r="AV34" i="7"/>
  <c r="AV36" i="7" s="1"/>
  <c r="BG22" i="7"/>
  <c r="BB36" i="7"/>
  <c r="BF27" i="7"/>
  <c r="DD21" i="6"/>
  <c r="CY33" i="6"/>
  <c r="CY26" i="6"/>
  <c r="DN19" i="6"/>
  <c r="DI32" i="6"/>
  <c r="CT33" i="6"/>
  <c r="CT26" i="6"/>
  <c r="CJ11" i="6"/>
  <c r="CJ31" i="6" s="1"/>
  <c r="CO4" i="6"/>
  <c r="S26" i="6"/>
  <c r="CE31" i="6"/>
  <c r="CE35" i="6" s="1"/>
  <c r="CE27" i="6"/>
  <c r="X32" i="6"/>
  <c r="CJ33" i="6"/>
  <c r="CJ26" i="6"/>
  <c r="AC19" i="6"/>
  <c r="X21" i="6"/>
  <c r="X33" i="6" s="1"/>
  <c r="AN4" i="4"/>
  <c r="AI11" i="4"/>
  <c r="AH4" i="4"/>
  <c r="AC11" i="4"/>
  <c r="X24" i="4"/>
  <c r="AC15" i="4"/>
  <c r="AH13" i="4"/>
  <c r="AC20" i="4"/>
  <c r="AC23" i="4"/>
  <c r="AW14" i="4"/>
  <c r="AW9" i="4"/>
  <c r="BB9" i="4" s="1"/>
  <c r="BG9" i="4" s="1"/>
  <c r="BL9" i="4" s="1"/>
  <c r="BQ9" i="4" s="1"/>
  <c r="BV9" i="4" s="1"/>
  <c r="CA9" i="4" s="1"/>
  <c r="CF9" i="4" s="1"/>
  <c r="CK9" i="4" s="1"/>
  <c r="CP9" i="4" s="1"/>
  <c r="CU9" i="4" s="1"/>
  <c r="CZ9" i="4" s="1"/>
  <c r="DE9" i="4" s="1"/>
  <c r="DJ9" i="4" s="1"/>
  <c r="DO9" i="4" s="1"/>
  <c r="X20" i="4"/>
  <c r="X21" i="4" s="1"/>
  <c r="X23" i="4"/>
  <c r="S20" i="4"/>
  <c r="S21" i="4" s="1"/>
  <c r="S23" i="4"/>
  <c r="S24" i="4"/>
  <c r="EE20" i="3"/>
  <c r="EE11" i="3"/>
  <c r="ED11" i="3"/>
  <c r="ED21" i="3" s="1"/>
  <c r="EH21" i="3"/>
  <c r="DL13" i="3"/>
  <c r="DH15" i="3"/>
  <c r="DG14" i="3"/>
  <c r="DH13" i="3"/>
  <c r="DB13" i="3"/>
  <c r="DB15" i="3"/>
  <c r="DB6" i="3"/>
  <c r="BF28" i="7" l="1"/>
  <c r="BF34" i="7"/>
  <c r="BF36" i="7" s="1"/>
  <c r="BG27" i="7"/>
  <c r="DS19" i="6"/>
  <c r="DN32" i="6"/>
  <c r="DD33" i="6"/>
  <c r="DI21" i="6"/>
  <c r="DD26" i="6"/>
  <c r="CJ35" i="6"/>
  <c r="CJ27" i="6"/>
  <c r="CT4" i="6"/>
  <c r="CO11" i="6"/>
  <c r="AC32" i="6"/>
  <c r="X26" i="6"/>
  <c r="AC21" i="6"/>
  <c r="AC33" i="6" s="1"/>
  <c r="I4" i="6"/>
  <c r="I11" i="6" s="1"/>
  <c r="AN11" i="4"/>
  <c r="AS4" i="4"/>
  <c r="AC21" i="4"/>
  <c r="AM4" i="4"/>
  <c r="AH11" i="4"/>
  <c r="AH15" i="4"/>
  <c r="AC24" i="4"/>
  <c r="AM13" i="4"/>
  <c r="AH23" i="4"/>
  <c r="AH20" i="4"/>
  <c r="BB14" i="4"/>
  <c r="EE21" i="3"/>
  <c r="EC20" i="3"/>
  <c r="EB20" i="3"/>
  <c r="EA20" i="3"/>
  <c r="EC11" i="3"/>
  <c r="EB11" i="3"/>
  <c r="EA11" i="3"/>
  <c r="DX20" i="3"/>
  <c r="DW20" i="3"/>
  <c r="DV20" i="3"/>
  <c r="DX11" i="3"/>
  <c r="DW11" i="3"/>
  <c r="DV11" i="3"/>
  <c r="DS20" i="3"/>
  <c r="DR20" i="3"/>
  <c r="DQ20" i="3"/>
  <c r="DS11" i="3"/>
  <c r="DR11" i="3"/>
  <c r="DQ11" i="3"/>
  <c r="DN20" i="3"/>
  <c r="DM20" i="3"/>
  <c r="DL20" i="3"/>
  <c r="DN11" i="3"/>
  <c r="DM11" i="3"/>
  <c r="DL11" i="3"/>
  <c r="DA4" i="3"/>
  <c r="DE19" i="3"/>
  <c r="DJ19" i="3" s="1"/>
  <c r="DO19" i="3" s="1"/>
  <c r="DT19" i="3" s="1"/>
  <c r="DY19" i="3" s="1"/>
  <c r="CX11" i="3"/>
  <c r="BF11" i="3"/>
  <c r="BE11" i="3"/>
  <c r="BG28" i="7" l="1"/>
  <c r="BG34" i="7"/>
  <c r="BG36" i="7" s="1"/>
  <c r="CT11" i="6"/>
  <c r="CY4" i="6"/>
  <c r="DI33" i="6"/>
  <c r="DN21" i="6"/>
  <c r="DI26" i="6"/>
  <c r="DX19" i="6"/>
  <c r="DS32" i="6"/>
  <c r="CO31" i="6"/>
  <c r="CO35" i="6" s="1"/>
  <c r="CO27" i="6"/>
  <c r="CT31" i="6"/>
  <c r="CT35" i="6" s="1"/>
  <c r="CT27" i="6"/>
  <c r="I27" i="6"/>
  <c r="I31" i="6"/>
  <c r="I35" i="6" s="1"/>
  <c r="AC26" i="6"/>
  <c r="N4" i="6"/>
  <c r="N11" i="6" s="1"/>
  <c r="AX4" i="4"/>
  <c r="AS11" i="4"/>
  <c r="AH21" i="4"/>
  <c r="AR4" i="4"/>
  <c r="AM11" i="4"/>
  <c r="AH24" i="4"/>
  <c r="AM15" i="4"/>
  <c r="AR13" i="4"/>
  <c r="AM23" i="4"/>
  <c r="AM20" i="4"/>
  <c r="AM21" i="4" s="1"/>
  <c r="BG14" i="4"/>
  <c r="DQ21" i="3"/>
  <c r="DR21" i="3"/>
  <c r="EA21" i="3"/>
  <c r="EB21" i="3"/>
  <c r="EC21" i="3"/>
  <c r="DS21" i="3"/>
  <c r="DN21" i="3"/>
  <c r="DV21" i="3"/>
  <c r="DW21" i="3"/>
  <c r="DX21" i="3"/>
  <c r="DL21" i="3"/>
  <c r="DM21" i="3"/>
  <c r="CW15" i="3"/>
  <c r="CW24" i="3" s="1"/>
  <c r="CW13" i="3"/>
  <c r="CW23" i="3" s="1"/>
  <c r="CW6" i="3"/>
  <c r="CW11" i="3" s="1"/>
  <c r="CR6" i="3"/>
  <c r="CR4" i="3"/>
  <c r="CM16" i="3"/>
  <c r="CM15" i="3"/>
  <c r="CM13" i="3"/>
  <c r="CM23" i="3" s="1"/>
  <c r="CM6" i="3"/>
  <c r="CM4" i="3"/>
  <c r="CM11" i="3" s="1"/>
  <c r="CH13" i="3"/>
  <c r="CH23" i="3" s="1"/>
  <c r="CH4" i="3"/>
  <c r="CH6" i="3"/>
  <c r="CC16" i="3"/>
  <c r="CC15" i="3"/>
  <c r="CC24" i="3" s="1"/>
  <c r="DI24" i="3"/>
  <c r="DG24" i="3"/>
  <c r="DI23" i="3"/>
  <c r="DG23" i="3"/>
  <c r="DD24" i="3"/>
  <c r="DB24" i="3"/>
  <c r="DD23" i="3"/>
  <c r="DB23" i="3"/>
  <c r="CY24" i="3"/>
  <c r="CY23" i="3"/>
  <c r="CT24" i="3"/>
  <c r="CR24" i="3"/>
  <c r="CT23" i="3"/>
  <c r="CR23" i="3"/>
  <c r="CO24" i="3"/>
  <c r="CM24" i="3"/>
  <c r="CO23" i="3"/>
  <c r="CJ24" i="3"/>
  <c r="CH24" i="3"/>
  <c r="CJ23" i="3"/>
  <c r="CC23" i="3"/>
  <c r="CC10" i="3"/>
  <c r="CC9" i="3"/>
  <c r="CC6" i="3"/>
  <c r="CC4" i="3"/>
  <c r="BX24" i="3"/>
  <c r="BX23" i="3"/>
  <c r="BX9" i="3"/>
  <c r="BX7" i="3"/>
  <c r="BX6" i="3"/>
  <c r="BX4" i="3"/>
  <c r="BS10" i="3"/>
  <c r="BS9" i="3"/>
  <c r="BS7" i="3"/>
  <c r="BS6" i="3"/>
  <c r="BS4" i="3"/>
  <c r="BS19" i="3"/>
  <c r="BS18" i="3"/>
  <c r="BS16" i="3"/>
  <c r="BS15" i="3"/>
  <c r="BS13" i="3"/>
  <c r="BS23" i="3" s="1"/>
  <c r="BN23" i="3"/>
  <c r="BN18" i="3"/>
  <c r="BN20" i="3" s="1"/>
  <c r="BI24" i="3"/>
  <c r="BI23" i="3"/>
  <c r="BD14" i="3"/>
  <c r="BD13" i="3"/>
  <c r="BD23" i="3" s="1"/>
  <c r="BD18" i="3"/>
  <c r="BD6" i="3"/>
  <c r="BD10" i="3"/>
  <c r="DI20" i="3"/>
  <c r="DH20" i="3"/>
  <c r="DG20" i="3"/>
  <c r="DI11" i="3"/>
  <c r="DH11" i="3"/>
  <c r="DG11" i="3"/>
  <c r="DD20" i="3"/>
  <c r="DC20" i="3"/>
  <c r="DB20" i="3"/>
  <c r="DD11" i="3"/>
  <c r="DC11" i="3"/>
  <c r="DB11" i="3"/>
  <c r="CY20" i="3"/>
  <c r="CX20" i="3"/>
  <c r="CY11" i="3"/>
  <c r="CT20" i="3"/>
  <c r="CS20" i="3"/>
  <c r="CR20" i="3"/>
  <c r="CT11" i="3"/>
  <c r="CS11" i="3"/>
  <c r="CO20" i="3"/>
  <c r="CN20" i="3"/>
  <c r="CO11" i="3"/>
  <c r="CN11" i="3"/>
  <c r="CJ20" i="3"/>
  <c r="CI20" i="3"/>
  <c r="CJ11" i="3"/>
  <c r="CI11" i="3"/>
  <c r="CE24" i="3"/>
  <c r="CE23" i="3"/>
  <c r="CE20" i="3"/>
  <c r="CD20" i="3"/>
  <c r="CE11" i="3"/>
  <c r="CD11" i="3"/>
  <c r="BZ24" i="3"/>
  <c r="BZ23" i="3"/>
  <c r="BZ20" i="3"/>
  <c r="BY20" i="3"/>
  <c r="BX20" i="3"/>
  <c r="BZ11" i="3"/>
  <c r="BY11" i="3"/>
  <c r="BU24" i="3"/>
  <c r="BU23" i="3"/>
  <c r="BU20" i="3"/>
  <c r="BT20" i="3"/>
  <c r="BU11" i="3"/>
  <c r="BT11" i="3"/>
  <c r="BP24" i="3"/>
  <c r="BP23" i="3"/>
  <c r="BP20" i="3"/>
  <c r="BO20" i="3"/>
  <c r="BP11" i="3"/>
  <c r="BO11" i="3"/>
  <c r="BN11" i="3"/>
  <c r="BK24" i="3"/>
  <c r="BK23" i="3"/>
  <c r="BK20" i="3"/>
  <c r="BJ20" i="3"/>
  <c r="BI20" i="3"/>
  <c r="BK11" i="3"/>
  <c r="BJ11" i="3"/>
  <c r="BI11" i="3"/>
  <c r="AY6" i="3"/>
  <c r="AY11" i="3" s="1"/>
  <c r="AY14" i="3"/>
  <c r="AY13" i="3"/>
  <c r="AT18" i="3"/>
  <c r="AT14" i="3"/>
  <c r="AT23" i="3" s="1"/>
  <c r="AT6" i="3"/>
  <c r="AT4" i="3"/>
  <c r="BF24" i="3"/>
  <c r="BF23" i="3"/>
  <c r="BA24" i="3"/>
  <c r="BA23" i="3"/>
  <c r="AY24" i="3"/>
  <c r="AV24" i="3"/>
  <c r="AV23" i="3"/>
  <c r="AQ24" i="3"/>
  <c r="AQ23" i="3"/>
  <c r="AE13" i="3"/>
  <c r="AJ13" i="3"/>
  <c r="AJ23" i="3" s="1"/>
  <c r="AO19" i="3"/>
  <c r="AO18" i="3"/>
  <c r="AE14" i="3"/>
  <c r="AJ6" i="3"/>
  <c r="AJ10" i="3"/>
  <c r="AO6" i="3"/>
  <c r="AO4" i="3"/>
  <c r="AO16" i="3"/>
  <c r="AO13" i="3"/>
  <c r="AO23" i="3" s="1"/>
  <c r="AO10" i="3"/>
  <c r="AO9" i="3"/>
  <c r="AO8" i="3"/>
  <c r="AO5" i="3"/>
  <c r="AJ19" i="3"/>
  <c r="AJ18" i="3"/>
  <c r="AJ16" i="3"/>
  <c r="AJ8" i="3"/>
  <c r="AJ9" i="3"/>
  <c r="BF20" i="3"/>
  <c r="BE20" i="3"/>
  <c r="BA20" i="3"/>
  <c r="AZ20" i="3"/>
  <c r="BA11" i="3"/>
  <c r="AZ11" i="3"/>
  <c r="AV20" i="3"/>
  <c r="AU20" i="3"/>
  <c r="AV11" i="3"/>
  <c r="AU11" i="3"/>
  <c r="Z24" i="3"/>
  <c r="AE24" i="3"/>
  <c r="AE6" i="3"/>
  <c r="AE11" i="3" s="1"/>
  <c r="Z13" i="3"/>
  <c r="Z23" i="3" s="1"/>
  <c r="Z6" i="3"/>
  <c r="Z4" i="3"/>
  <c r="AQ20" i="3"/>
  <c r="AP20" i="3"/>
  <c r="AQ11" i="3"/>
  <c r="AP11" i="3"/>
  <c r="AL20" i="3"/>
  <c r="AK20" i="3"/>
  <c r="AL11" i="3"/>
  <c r="AK11" i="3"/>
  <c r="AG20" i="3"/>
  <c r="AF20" i="3"/>
  <c r="AG11" i="3"/>
  <c r="AF11" i="3"/>
  <c r="U13" i="3"/>
  <c r="P13" i="3"/>
  <c r="EH19" i="6" l="1"/>
  <c r="DX32" i="6"/>
  <c r="CY11" i="6"/>
  <c r="DD4" i="6"/>
  <c r="DN33" i="6"/>
  <c r="DS21" i="6"/>
  <c r="DN26" i="6"/>
  <c r="N31" i="6"/>
  <c r="N35" i="6" s="1"/>
  <c r="N27" i="6"/>
  <c r="BC4" i="4"/>
  <c r="AX11" i="4"/>
  <c r="AW4" i="4"/>
  <c r="AR11" i="4"/>
  <c r="AM24" i="4"/>
  <c r="AR15" i="4"/>
  <c r="AW13" i="4"/>
  <c r="AR20" i="4"/>
  <c r="AR23" i="4"/>
  <c r="BL14" i="4"/>
  <c r="AQ21" i="3"/>
  <c r="AT20" i="3"/>
  <c r="BD20" i="3"/>
  <c r="AY23" i="3"/>
  <c r="CH11" i="3"/>
  <c r="BP21" i="3"/>
  <c r="AK21" i="3"/>
  <c r="CC11" i="3"/>
  <c r="BD24" i="3"/>
  <c r="BN24" i="3"/>
  <c r="CC20" i="3"/>
  <c r="CC21" i="3" s="1"/>
  <c r="CM20" i="3"/>
  <c r="CM21" i="3" s="1"/>
  <c r="CR11" i="3"/>
  <c r="CR21" i="3" s="1"/>
  <c r="CW20" i="3"/>
  <c r="CW21" i="3" s="1"/>
  <c r="AE23" i="3"/>
  <c r="AT24" i="3"/>
  <c r="DC21" i="3"/>
  <c r="BS24" i="3"/>
  <c r="DB21" i="3"/>
  <c r="CS21" i="3"/>
  <c r="CT21" i="3"/>
  <c r="AZ21" i="3"/>
  <c r="BT21" i="3"/>
  <c r="BK21" i="3"/>
  <c r="CH20" i="3"/>
  <c r="BX11" i="3"/>
  <c r="BX21" i="3" s="1"/>
  <c r="AY20" i="3"/>
  <c r="AY21" i="3" s="1"/>
  <c r="BU21" i="3"/>
  <c r="DD21" i="3"/>
  <c r="AJ24" i="3"/>
  <c r="CI21" i="3"/>
  <c r="CJ21" i="3"/>
  <c r="CY21" i="3"/>
  <c r="BS11" i="3"/>
  <c r="BY21" i="3"/>
  <c r="BZ21" i="3"/>
  <c r="CX21" i="3"/>
  <c r="BO21" i="3"/>
  <c r="BS20" i="3"/>
  <c r="BN21" i="3"/>
  <c r="BD11" i="3"/>
  <c r="DG21" i="3"/>
  <c r="DH21" i="3"/>
  <c r="DI21" i="3"/>
  <c r="CO21" i="3"/>
  <c r="CN21" i="3"/>
  <c r="CD21" i="3"/>
  <c r="CE21" i="3"/>
  <c r="BI21" i="3"/>
  <c r="BJ21" i="3"/>
  <c r="AT11" i="3"/>
  <c r="AT21" i="3" s="1"/>
  <c r="BA21" i="3"/>
  <c r="BF21" i="3"/>
  <c r="AU21" i="3"/>
  <c r="AV21" i="3"/>
  <c r="AO11" i="3"/>
  <c r="AO24" i="3"/>
  <c r="AO20" i="3"/>
  <c r="AJ20" i="3"/>
  <c r="AN18" i="3"/>
  <c r="AS18" i="3" s="1"/>
  <c r="AX18" i="3" s="1"/>
  <c r="BC18" i="3" s="1"/>
  <c r="BH18" i="3" s="1"/>
  <c r="BM18" i="3" s="1"/>
  <c r="BR18" i="3" s="1"/>
  <c r="BW18" i="3" s="1"/>
  <c r="CB18" i="3" s="1"/>
  <c r="CG18" i="3" s="1"/>
  <c r="CL18" i="3" s="1"/>
  <c r="CQ18" i="3" s="1"/>
  <c r="DA18" i="3" s="1"/>
  <c r="DF18" i="3" s="1"/>
  <c r="DK18" i="3" s="1"/>
  <c r="DP18" i="3" s="1"/>
  <c r="DU18" i="3" s="1"/>
  <c r="DZ18" i="3" s="1"/>
  <c r="AN15" i="3"/>
  <c r="AS15" i="3" s="1"/>
  <c r="AX15" i="3" s="1"/>
  <c r="BC15" i="3" s="1"/>
  <c r="BH15" i="3" s="1"/>
  <c r="BM15" i="3" s="1"/>
  <c r="BR15" i="3" s="1"/>
  <c r="BW15" i="3" s="1"/>
  <c r="CB15" i="3" s="1"/>
  <c r="CG15" i="3" s="1"/>
  <c r="CL15" i="3" s="1"/>
  <c r="CQ15" i="3" s="1"/>
  <c r="CV15" i="3" s="1"/>
  <c r="DA15" i="3" s="1"/>
  <c r="DF15" i="3" s="1"/>
  <c r="DK15" i="3" s="1"/>
  <c r="DP15" i="3" s="1"/>
  <c r="DU15" i="3" s="1"/>
  <c r="DZ15" i="3" s="1"/>
  <c r="AJ11" i="3"/>
  <c r="BE21" i="3"/>
  <c r="AP21" i="3"/>
  <c r="AL21" i="3"/>
  <c r="AE20" i="3"/>
  <c r="AE21" i="3" s="1"/>
  <c r="AF21" i="3"/>
  <c r="AG21" i="3"/>
  <c r="K13" i="3"/>
  <c r="K17" i="3"/>
  <c r="K19" i="3"/>
  <c r="K18" i="3"/>
  <c r="K16" i="3"/>
  <c r="K15" i="3"/>
  <c r="AB20" i="3"/>
  <c r="AA20" i="3"/>
  <c r="Z20" i="3"/>
  <c r="AB11" i="3"/>
  <c r="AA11" i="3"/>
  <c r="Z11" i="3"/>
  <c r="F17" i="3"/>
  <c r="F13" i="3"/>
  <c r="DI4" i="6" l="1"/>
  <c r="DD11" i="6"/>
  <c r="CY31" i="6"/>
  <c r="CY35" i="6" s="1"/>
  <c r="CY27" i="6"/>
  <c r="DS33" i="6"/>
  <c r="DX21" i="6"/>
  <c r="DS26" i="6"/>
  <c r="EM19" i="6"/>
  <c r="EH32" i="6"/>
  <c r="BH4" i="4"/>
  <c r="BH11" i="4" s="1"/>
  <c r="BC11" i="4"/>
  <c r="AR21" i="4"/>
  <c r="BB4" i="4"/>
  <c r="AW11" i="4"/>
  <c r="AR24" i="4"/>
  <c r="AW15" i="4"/>
  <c r="BB13" i="4"/>
  <c r="AW20" i="4"/>
  <c r="AW23" i="4"/>
  <c r="BQ14" i="4"/>
  <c r="CH21" i="3"/>
  <c r="BD21" i="3"/>
  <c r="BS21" i="3"/>
  <c r="AA21" i="3"/>
  <c r="AO21" i="3"/>
  <c r="AJ21" i="3"/>
  <c r="Z21" i="3"/>
  <c r="AB21" i="3"/>
  <c r="W20" i="3"/>
  <c r="V20" i="3"/>
  <c r="U20" i="3"/>
  <c r="R20" i="3"/>
  <c r="Q20" i="3"/>
  <c r="P20" i="3"/>
  <c r="M20" i="3"/>
  <c r="L20" i="3"/>
  <c r="K20" i="3"/>
  <c r="H20" i="3"/>
  <c r="G20" i="3"/>
  <c r="F20" i="3"/>
  <c r="E20" i="3"/>
  <c r="J19" i="3"/>
  <c r="O19" i="3" s="1"/>
  <c r="T19" i="3" s="1"/>
  <c r="Y19" i="3" s="1"/>
  <c r="AD19" i="3" s="1"/>
  <c r="AI19" i="3" s="1"/>
  <c r="AN19" i="3" s="1"/>
  <c r="AS19" i="3" s="1"/>
  <c r="AX19" i="3" s="1"/>
  <c r="BC19" i="3" s="1"/>
  <c r="BH19" i="3" s="1"/>
  <c r="BM19" i="3" s="1"/>
  <c r="BR19" i="3" s="1"/>
  <c r="BW19" i="3" s="1"/>
  <c r="CB19" i="3" s="1"/>
  <c r="CG19" i="3" s="1"/>
  <c r="CL19" i="3" s="1"/>
  <c r="CQ19" i="3" s="1"/>
  <c r="DA19" i="3" s="1"/>
  <c r="DF19" i="3" s="1"/>
  <c r="DK19" i="3" s="1"/>
  <c r="DP19" i="3" s="1"/>
  <c r="DU19" i="3" s="1"/>
  <c r="DZ19" i="3" s="1"/>
  <c r="D19" i="3"/>
  <c r="I19" i="3" s="1"/>
  <c r="N19" i="3" s="1"/>
  <c r="S19" i="3" s="1"/>
  <c r="X19" i="3" s="1"/>
  <c r="AC19" i="3" s="1"/>
  <c r="AH19" i="3" s="1"/>
  <c r="AM19" i="3" s="1"/>
  <c r="AR19" i="3" s="1"/>
  <c r="AW19" i="3" s="1"/>
  <c r="BB19" i="3" s="1"/>
  <c r="BG19" i="3" s="1"/>
  <c r="BL19" i="3" s="1"/>
  <c r="BQ19" i="3" s="1"/>
  <c r="BV19" i="3" s="1"/>
  <c r="CA19" i="3" s="1"/>
  <c r="CF19" i="3" s="1"/>
  <c r="CK19" i="3" s="1"/>
  <c r="CP19" i="3" s="1"/>
  <c r="CU19" i="3" s="1"/>
  <c r="J18" i="3"/>
  <c r="O18" i="3" s="1"/>
  <c r="T18" i="3" s="1"/>
  <c r="Y18" i="3" s="1"/>
  <c r="AD18" i="3" s="1"/>
  <c r="D18" i="3"/>
  <c r="I18" i="3" s="1"/>
  <c r="N18" i="3" s="1"/>
  <c r="S18" i="3" s="1"/>
  <c r="X18" i="3" s="1"/>
  <c r="AC18" i="3" s="1"/>
  <c r="AH18" i="3" s="1"/>
  <c r="AM18" i="3" s="1"/>
  <c r="AR18" i="3" s="1"/>
  <c r="AW18" i="3" s="1"/>
  <c r="BB18" i="3" s="1"/>
  <c r="BG18" i="3" s="1"/>
  <c r="BL18" i="3" s="1"/>
  <c r="BQ18" i="3" s="1"/>
  <c r="BV18" i="3" s="1"/>
  <c r="CA18" i="3" s="1"/>
  <c r="CF18" i="3" s="1"/>
  <c r="CK18" i="3" s="1"/>
  <c r="CP18" i="3" s="1"/>
  <c r="CU18" i="3" s="1"/>
  <c r="DE18" i="3" s="1"/>
  <c r="DJ18" i="3" s="1"/>
  <c r="DO18" i="3" s="1"/>
  <c r="DT18" i="3" s="1"/>
  <c r="DY18" i="3" s="1"/>
  <c r="J17" i="3"/>
  <c r="O17" i="3" s="1"/>
  <c r="T17" i="3" s="1"/>
  <c r="Y17" i="3" s="1"/>
  <c r="AD17" i="3" s="1"/>
  <c r="AI17" i="3" s="1"/>
  <c r="AN17" i="3" s="1"/>
  <c r="AS17" i="3" s="1"/>
  <c r="AX17" i="3" s="1"/>
  <c r="BC17" i="3" s="1"/>
  <c r="BH17" i="3" s="1"/>
  <c r="BM17" i="3" s="1"/>
  <c r="BR17" i="3" s="1"/>
  <c r="BW17" i="3" s="1"/>
  <c r="CB17" i="3" s="1"/>
  <c r="CG17" i="3" s="1"/>
  <c r="CL17" i="3" s="1"/>
  <c r="CQ17" i="3" s="1"/>
  <c r="DA17" i="3" s="1"/>
  <c r="DF17" i="3" s="1"/>
  <c r="DK17" i="3" s="1"/>
  <c r="DP17" i="3" s="1"/>
  <c r="DU17" i="3" s="1"/>
  <c r="DZ17" i="3" s="1"/>
  <c r="D17" i="3"/>
  <c r="I17" i="3" s="1"/>
  <c r="N17" i="3" s="1"/>
  <c r="S17" i="3" s="1"/>
  <c r="X17" i="3" s="1"/>
  <c r="AC17" i="3" s="1"/>
  <c r="AH17" i="3" s="1"/>
  <c r="AM17" i="3" s="1"/>
  <c r="AR17" i="3" s="1"/>
  <c r="AW17" i="3" s="1"/>
  <c r="BB17" i="3" s="1"/>
  <c r="BG17" i="3" s="1"/>
  <c r="BL17" i="3" s="1"/>
  <c r="BQ17" i="3" s="1"/>
  <c r="BV17" i="3" s="1"/>
  <c r="CA17" i="3" s="1"/>
  <c r="CF17" i="3" s="1"/>
  <c r="CK17" i="3" s="1"/>
  <c r="CP17" i="3" s="1"/>
  <c r="CU17" i="3" s="1"/>
  <c r="DE17" i="3" s="1"/>
  <c r="DJ17" i="3" s="1"/>
  <c r="DO17" i="3" s="1"/>
  <c r="DT17" i="3" s="1"/>
  <c r="DY17" i="3" s="1"/>
  <c r="J16" i="3"/>
  <c r="O16" i="3" s="1"/>
  <c r="T16" i="3" s="1"/>
  <c r="Y16" i="3" s="1"/>
  <c r="AD16" i="3" s="1"/>
  <c r="AN16" i="3" s="1"/>
  <c r="AS16" i="3" s="1"/>
  <c r="AX16" i="3" s="1"/>
  <c r="BC16" i="3" s="1"/>
  <c r="BH16" i="3" s="1"/>
  <c r="BM16" i="3" s="1"/>
  <c r="BR16" i="3" s="1"/>
  <c r="BW16" i="3" s="1"/>
  <c r="CB16" i="3" s="1"/>
  <c r="CG16" i="3" s="1"/>
  <c r="CL16" i="3" s="1"/>
  <c r="CQ16" i="3" s="1"/>
  <c r="CV16" i="3" s="1"/>
  <c r="DA16" i="3" s="1"/>
  <c r="DF16" i="3" s="1"/>
  <c r="DK16" i="3" s="1"/>
  <c r="DP16" i="3" s="1"/>
  <c r="DU16" i="3" s="1"/>
  <c r="DZ16" i="3" s="1"/>
  <c r="D16" i="3"/>
  <c r="I16" i="3" s="1"/>
  <c r="N16" i="3" s="1"/>
  <c r="S16" i="3" s="1"/>
  <c r="X16" i="3" s="1"/>
  <c r="AC16" i="3" s="1"/>
  <c r="AH16" i="3" s="1"/>
  <c r="AM16" i="3" s="1"/>
  <c r="AR16" i="3" s="1"/>
  <c r="AW16" i="3" s="1"/>
  <c r="BB16" i="3" s="1"/>
  <c r="BG16" i="3" s="1"/>
  <c r="BL16" i="3" s="1"/>
  <c r="BQ16" i="3" s="1"/>
  <c r="BV16" i="3" s="1"/>
  <c r="CA16" i="3" s="1"/>
  <c r="CF16" i="3" s="1"/>
  <c r="CK16" i="3" s="1"/>
  <c r="CP16" i="3" s="1"/>
  <c r="CU16" i="3" s="1"/>
  <c r="DE16" i="3" s="1"/>
  <c r="DJ16" i="3" s="1"/>
  <c r="J15" i="3"/>
  <c r="O15" i="3" s="1"/>
  <c r="T15" i="3" s="1"/>
  <c r="Y15" i="3" s="1"/>
  <c r="AD15" i="3" s="1"/>
  <c r="D15" i="3"/>
  <c r="I15" i="3" s="1"/>
  <c r="N15" i="3" s="1"/>
  <c r="S15" i="3" s="1"/>
  <c r="X15" i="3" s="1"/>
  <c r="AC15" i="3" s="1"/>
  <c r="AH15" i="3" s="1"/>
  <c r="AM15" i="3" s="1"/>
  <c r="AR15" i="3" s="1"/>
  <c r="AW15" i="3" s="1"/>
  <c r="BB15" i="3" s="1"/>
  <c r="BG15" i="3" s="1"/>
  <c r="BL15" i="3" s="1"/>
  <c r="BQ15" i="3" s="1"/>
  <c r="BV15" i="3" s="1"/>
  <c r="CA15" i="3" s="1"/>
  <c r="CF15" i="3" s="1"/>
  <c r="CK15" i="3" s="1"/>
  <c r="CP15" i="3" s="1"/>
  <c r="CU15" i="3" s="1"/>
  <c r="DE15" i="3" s="1"/>
  <c r="DJ15" i="3" s="1"/>
  <c r="DO15" i="3" s="1"/>
  <c r="DT15" i="3" s="1"/>
  <c r="DY15" i="3" s="1"/>
  <c r="J14" i="3"/>
  <c r="O14" i="3" s="1"/>
  <c r="T14" i="3" s="1"/>
  <c r="Y14" i="3" s="1"/>
  <c r="AD14" i="3" s="1"/>
  <c r="AI14" i="3" s="1"/>
  <c r="AN14" i="3" s="1"/>
  <c r="AS14" i="3" s="1"/>
  <c r="AX14" i="3" s="1"/>
  <c r="BC14" i="3" s="1"/>
  <c r="BH14" i="3" s="1"/>
  <c r="BM14" i="3" s="1"/>
  <c r="BR14" i="3" s="1"/>
  <c r="BW14" i="3" s="1"/>
  <c r="CB14" i="3" s="1"/>
  <c r="CG14" i="3" s="1"/>
  <c r="D14" i="3"/>
  <c r="I14" i="3" s="1"/>
  <c r="N14" i="3" s="1"/>
  <c r="S14" i="3" s="1"/>
  <c r="X14" i="3" s="1"/>
  <c r="AC14" i="3" s="1"/>
  <c r="AH14" i="3" s="1"/>
  <c r="AM14" i="3" s="1"/>
  <c r="AR14" i="3" s="1"/>
  <c r="AW14" i="3" s="1"/>
  <c r="BB14" i="3" s="1"/>
  <c r="BG14" i="3" s="1"/>
  <c r="J13" i="3"/>
  <c r="D13" i="3"/>
  <c r="W11" i="3"/>
  <c r="V11" i="3"/>
  <c r="U11" i="3"/>
  <c r="R11" i="3"/>
  <c r="Q11" i="3"/>
  <c r="P11" i="3"/>
  <c r="M11" i="3"/>
  <c r="L11" i="3"/>
  <c r="K11" i="3"/>
  <c r="H11" i="3"/>
  <c r="G11" i="3"/>
  <c r="E11" i="3"/>
  <c r="J10" i="3"/>
  <c r="O10" i="3" s="1"/>
  <c r="T10" i="3" s="1"/>
  <c r="Y10" i="3" s="1"/>
  <c r="AD10" i="3" s="1"/>
  <c r="AI10" i="3" s="1"/>
  <c r="AN10" i="3" s="1"/>
  <c r="AS10" i="3" s="1"/>
  <c r="AX10" i="3" s="1"/>
  <c r="BC10" i="3" s="1"/>
  <c r="BH10" i="3" s="1"/>
  <c r="BM10" i="3" s="1"/>
  <c r="BR10" i="3" s="1"/>
  <c r="BW10" i="3" s="1"/>
  <c r="CB10" i="3" s="1"/>
  <c r="CG10" i="3" s="1"/>
  <c r="CL10" i="3" s="1"/>
  <c r="CQ10" i="3" s="1"/>
  <c r="DA10" i="3" s="1"/>
  <c r="DF10" i="3" s="1"/>
  <c r="DK10" i="3" s="1"/>
  <c r="DP10" i="3" s="1"/>
  <c r="DU10" i="3" s="1"/>
  <c r="DZ10" i="3" s="1"/>
  <c r="D10" i="3"/>
  <c r="I10" i="3" s="1"/>
  <c r="N10" i="3" s="1"/>
  <c r="S10" i="3" s="1"/>
  <c r="X10" i="3" s="1"/>
  <c r="AC10" i="3" s="1"/>
  <c r="AH10" i="3" s="1"/>
  <c r="AM10" i="3" s="1"/>
  <c r="AR10" i="3" s="1"/>
  <c r="AW10" i="3" s="1"/>
  <c r="BB10" i="3" s="1"/>
  <c r="BG10" i="3" s="1"/>
  <c r="BL10" i="3" s="1"/>
  <c r="BQ10" i="3" s="1"/>
  <c r="BV10" i="3" s="1"/>
  <c r="CA10" i="3" s="1"/>
  <c r="CF10" i="3" s="1"/>
  <c r="CK10" i="3" s="1"/>
  <c r="CP10" i="3" s="1"/>
  <c r="CU10" i="3" s="1"/>
  <c r="CZ10" i="3" s="1"/>
  <c r="DE10" i="3" s="1"/>
  <c r="DJ10" i="3" s="1"/>
  <c r="DO10" i="3" s="1"/>
  <c r="DT10" i="3" s="1"/>
  <c r="DY10" i="3" s="1"/>
  <c r="J9" i="3"/>
  <c r="O9" i="3" s="1"/>
  <c r="T9" i="3" s="1"/>
  <c r="Y9" i="3" s="1"/>
  <c r="AD9" i="3" s="1"/>
  <c r="AI9" i="3" s="1"/>
  <c r="AN9" i="3" s="1"/>
  <c r="AS9" i="3" s="1"/>
  <c r="AX9" i="3" s="1"/>
  <c r="BC9" i="3" s="1"/>
  <c r="BH9" i="3" s="1"/>
  <c r="BM9" i="3" s="1"/>
  <c r="BR9" i="3" s="1"/>
  <c r="BW9" i="3" s="1"/>
  <c r="CB9" i="3" s="1"/>
  <c r="CG9" i="3" s="1"/>
  <c r="CL9" i="3" s="1"/>
  <c r="CQ9" i="3" s="1"/>
  <c r="DA9" i="3" s="1"/>
  <c r="DF9" i="3" s="1"/>
  <c r="DK9" i="3" s="1"/>
  <c r="DP9" i="3" s="1"/>
  <c r="DU9" i="3" s="1"/>
  <c r="DZ9" i="3" s="1"/>
  <c r="D9" i="3"/>
  <c r="I9" i="3" s="1"/>
  <c r="N9" i="3" s="1"/>
  <c r="S9" i="3" s="1"/>
  <c r="X9" i="3" s="1"/>
  <c r="AC9" i="3" s="1"/>
  <c r="AH9" i="3" s="1"/>
  <c r="AM9" i="3" s="1"/>
  <c r="AR9" i="3" s="1"/>
  <c r="AW9" i="3" s="1"/>
  <c r="BB9" i="3" s="1"/>
  <c r="BG9" i="3" s="1"/>
  <c r="BL9" i="3" s="1"/>
  <c r="BQ9" i="3" s="1"/>
  <c r="BV9" i="3" s="1"/>
  <c r="CA9" i="3" s="1"/>
  <c r="CF9" i="3" s="1"/>
  <c r="CK9" i="3" s="1"/>
  <c r="CP9" i="3" s="1"/>
  <c r="CU9" i="3" s="1"/>
  <c r="CZ9" i="3" s="1"/>
  <c r="DE9" i="3" s="1"/>
  <c r="DJ9" i="3" s="1"/>
  <c r="DO9" i="3" s="1"/>
  <c r="DT9" i="3" s="1"/>
  <c r="DY9" i="3" s="1"/>
  <c r="J8" i="3"/>
  <c r="D8" i="3"/>
  <c r="I8" i="3" s="1"/>
  <c r="N8" i="3" s="1"/>
  <c r="S8" i="3" s="1"/>
  <c r="X8" i="3" s="1"/>
  <c r="AC8" i="3" s="1"/>
  <c r="AH8" i="3" s="1"/>
  <c r="AM8" i="3" s="1"/>
  <c r="AR8" i="3" s="1"/>
  <c r="AW8" i="3" s="1"/>
  <c r="BB8" i="3" s="1"/>
  <c r="BG8" i="3" s="1"/>
  <c r="BL8" i="3" s="1"/>
  <c r="BQ8" i="3" s="1"/>
  <c r="BV8" i="3" s="1"/>
  <c r="CA8" i="3" s="1"/>
  <c r="CF8" i="3" s="1"/>
  <c r="CK8" i="3" s="1"/>
  <c r="CP8" i="3" s="1"/>
  <c r="CU8" i="3" s="1"/>
  <c r="CZ8" i="3" s="1"/>
  <c r="DE8" i="3" s="1"/>
  <c r="DJ8" i="3" s="1"/>
  <c r="DO8" i="3" s="1"/>
  <c r="DT8" i="3" s="1"/>
  <c r="DY8" i="3" s="1"/>
  <c r="J7" i="3"/>
  <c r="O7" i="3" s="1"/>
  <c r="T7" i="3" s="1"/>
  <c r="Y7" i="3" s="1"/>
  <c r="AD7" i="3" s="1"/>
  <c r="AI7" i="3" s="1"/>
  <c r="AN7" i="3" s="1"/>
  <c r="AS7" i="3" s="1"/>
  <c r="AX7" i="3" s="1"/>
  <c r="BC7" i="3" s="1"/>
  <c r="BH7" i="3" s="1"/>
  <c r="BM7" i="3" s="1"/>
  <c r="BR7" i="3" s="1"/>
  <c r="BW7" i="3" s="1"/>
  <c r="CB7" i="3" s="1"/>
  <c r="CG7" i="3" s="1"/>
  <c r="CL7" i="3" s="1"/>
  <c r="CQ7" i="3" s="1"/>
  <c r="DA7" i="3" s="1"/>
  <c r="DF7" i="3" s="1"/>
  <c r="DK7" i="3" s="1"/>
  <c r="DP7" i="3" s="1"/>
  <c r="DU7" i="3" s="1"/>
  <c r="DZ7" i="3" s="1"/>
  <c r="D7" i="3"/>
  <c r="I7" i="3" s="1"/>
  <c r="N7" i="3" s="1"/>
  <c r="S7" i="3" s="1"/>
  <c r="X7" i="3" s="1"/>
  <c r="AC7" i="3" s="1"/>
  <c r="AH7" i="3" s="1"/>
  <c r="AM7" i="3" s="1"/>
  <c r="AR7" i="3" s="1"/>
  <c r="AW7" i="3" s="1"/>
  <c r="BB7" i="3" s="1"/>
  <c r="BG7" i="3" s="1"/>
  <c r="BL7" i="3" s="1"/>
  <c r="BQ7" i="3" s="1"/>
  <c r="BV7" i="3" s="1"/>
  <c r="CA7" i="3" s="1"/>
  <c r="CF7" i="3" s="1"/>
  <c r="CK7" i="3" s="1"/>
  <c r="CP7" i="3" s="1"/>
  <c r="CU7" i="3" s="1"/>
  <c r="CZ7" i="3" s="1"/>
  <c r="DE7" i="3" s="1"/>
  <c r="DJ7" i="3" s="1"/>
  <c r="DO7" i="3" s="1"/>
  <c r="DT7" i="3" s="1"/>
  <c r="DY7" i="3" s="1"/>
  <c r="F11" i="3"/>
  <c r="D6" i="3"/>
  <c r="I6" i="3" s="1"/>
  <c r="N6" i="3" s="1"/>
  <c r="S6" i="3" s="1"/>
  <c r="X6" i="3" s="1"/>
  <c r="AC6" i="3" s="1"/>
  <c r="AH6" i="3" s="1"/>
  <c r="AM6" i="3" s="1"/>
  <c r="AR6" i="3" s="1"/>
  <c r="AW6" i="3" s="1"/>
  <c r="BB6" i="3" s="1"/>
  <c r="BG6" i="3" s="1"/>
  <c r="BL6" i="3" s="1"/>
  <c r="BQ6" i="3" s="1"/>
  <c r="BV6" i="3" s="1"/>
  <c r="CA6" i="3" s="1"/>
  <c r="CF6" i="3" s="1"/>
  <c r="CK6" i="3" s="1"/>
  <c r="CP6" i="3" s="1"/>
  <c r="CU6" i="3" s="1"/>
  <c r="CZ6" i="3" s="1"/>
  <c r="DE6" i="3" s="1"/>
  <c r="DJ6" i="3" s="1"/>
  <c r="DO6" i="3" s="1"/>
  <c r="DT6" i="3" s="1"/>
  <c r="DY6" i="3" s="1"/>
  <c r="J5" i="3"/>
  <c r="O5" i="3" s="1"/>
  <c r="T5" i="3" s="1"/>
  <c r="Y5" i="3" s="1"/>
  <c r="AD5" i="3" s="1"/>
  <c r="AI5" i="3" s="1"/>
  <c r="AN5" i="3" s="1"/>
  <c r="AS5" i="3" s="1"/>
  <c r="AX5" i="3" s="1"/>
  <c r="BC5" i="3" s="1"/>
  <c r="BH5" i="3" s="1"/>
  <c r="BM5" i="3" s="1"/>
  <c r="BR5" i="3" s="1"/>
  <c r="BW5" i="3" s="1"/>
  <c r="CB5" i="3" s="1"/>
  <c r="CG5" i="3" s="1"/>
  <c r="CL5" i="3" s="1"/>
  <c r="CQ5" i="3" s="1"/>
  <c r="CV5" i="3" s="1"/>
  <c r="DA5" i="3" s="1"/>
  <c r="DF5" i="3" s="1"/>
  <c r="DK5" i="3" s="1"/>
  <c r="DP5" i="3" s="1"/>
  <c r="DU5" i="3" s="1"/>
  <c r="DZ5" i="3" s="1"/>
  <c r="D5" i="3"/>
  <c r="I5" i="3" s="1"/>
  <c r="N5" i="3" s="1"/>
  <c r="S5" i="3" s="1"/>
  <c r="X5" i="3" s="1"/>
  <c r="AC5" i="3" s="1"/>
  <c r="AH5" i="3" s="1"/>
  <c r="AM5" i="3" s="1"/>
  <c r="AR5" i="3" s="1"/>
  <c r="AW5" i="3" s="1"/>
  <c r="BB5" i="3" s="1"/>
  <c r="BG5" i="3" s="1"/>
  <c r="BL5" i="3" s="1"/>
  <c r="BQ5" i="3" s="1"/>
  <c r="BV5" i="3" s="1"/>
  <c r="CA5" i="3" s="1"/>
  <c r="CF5" i="3" s="1"/>
  <c r="CK5" i="3" s="1"/>
  <c r="CP5" i="3" s="1"/>
  <c r="CU5" i="3" s="1"/>
  <c r="CZ5" i="3" s="1"/>
  <c r="DE5" i="3" s="1"/>
  <c r="DJ5" i="3" s="1"/>
  <c r="DO5" i="3" s="1"/>
  <c r="DT5" i="3" s="1"/>
  <c r="DY5" i="3" s="1"/>
  <c r="J4" i="3"/>
  <c r="D4" i="3"/>
  <c r="EM21" i="2"/>
  <c r="EL21" i="2"/>
  <c r="EL22" i="2" s="1"/>
  <c r="EK21" i="2"/>
  <c r="EM12" i="2"/>
  <c r="EL12" i="2"/>
  <c r="EK12" i="2"/>
  <c r="EM32" i="6" l="1"/>
  <c r="EC21" i="6"/>
  <c r="DX33" i="6"/>
  <c r="DX26" i="6"/>
  <c r="DD31" i="6"/>
  <c r="DD35" i="6" s="1"/>
  <c r="DD27" i="6"/>
  <c r="DN4" i="6"/>
  <c r="DI11" i="6"/>
  <c r="AW21" i="4"/>
  <c r="BG4" i="4"/>
  <c r="BB11" i="4"/>
  <c r="AW24" i="4"/>
  <c r="BB15" i="4"/>
  <c r="BG13" i="4"/>
  <c r="BB20" i="4"/>
  <c r="BB21" i="4" s="1"/>
  <c r="BB23" i="4"/>
  <c r="BV14" i="4"/>
  <c r="Q21" i="3"/>
  <c r="DO16" i="3"/>
  <c r="BL14" i="3"/>
  <c r="BQ14" i="3" s="1"/>
  <c r="BV14" i="3" s="1"/>
  <c r="CA14" i="3" s="1"/>
  <c r="CF14" i="3" s="1"/>
  <c r="CK14" i="3" s="1"/>
  <c r="CP14" i="3" s="1"/>
  <c r="H21" i="3"/>
  <c r="K21" i="3"/>
  <c r="CL14" i="3"/>
  <c r="P21" i="3"/>
  <c r="R21" i="3"/>
  <c r="E21" i="3"/>
  <c r="G21" i="3"/>
  <c r="L21" i="3"/>
  <c r="M21" i="3"/>
  <c r="D20" i="3"/>
  <c r="F21" i="3"/>
  <c r="I13" i="3"/>
  <c r="I20" i="3" s="1"/>
  <c r="U21" i="3"/>
  <c r="J20" i="3"/>
  <c r="V21" i="3"/>
  <c r="W21" i="3"/>
  <c r="D11" i="3"/>
  <c r="I4" i="3"/>
  <c r="J6" i="3"/>
  <c r="O6" i="3" s="1"/>
  <c r="T6" i="3" s="1"/>
  <c r="Y6" i="3" s="1"/>
  <c r="AD6" i="3" s="1"/>
  <c r="AI6" i="3" s="1"/>
  <c r="AN6" i="3" s="1"/>
  <c r="AS6" i="3" s="1"/>
  <c r="AX6" i="3" s="1"/>
  <c r="BC6" i="3" s="1"/>
  <c r="BH6" i="3" s="1"/>
  <c r="BM6" i="3" s="1"/>
  <c r="BR6" i="3" s="1"/>
  <c r="BW6" i="3" s="1"/>
  <c r="CB6" i="3" s="1"/>
  <c r="CG6" i="3" s="1"/>
  <c r="CL6" i="3" s="1"/>
  <c r="CQ6" i="3" s="1"/>
  <c r="DA6" i="3" s="1"/>
  <c r="DF6" i="3" s="1"/>
  <c r="DK6" i="3" s="1"/>
  <c r="DP6" i="3" s="1"/>
  <c r="DU6" i="3" s="1"/>
  <c r="DZ6" i="3" s="1"/>
  <c r="O13" i="3"/>
  <c r="O4" i="3"/>
  <c r="EK22" i="2"/>
  <c r="EM22" i="2"/>
  <c r="DI31" i="6" l="1"/>
  <c r="DI35" i="6" s="1"/>
  <c r="DI27" i="6"/>
  <c r="EH21" i="6"/>
  <c r="EC33" i="6"/>
  <c r="EC26" i="6"/>
  <c r="DS4" i="6"/>
  <c r="DN11" i="6"/>
  <c r="BL4" i="4"/>
  <c r="BG11" i="4"/>
  <c r="BB24" i="4"/>
  <c r="BG15" i="4"/>
  <c r="BL13" i="4"/>
  <c r="BG20" i="4"/>
  <c r="BG21" i="4" s="1"/>
  <c r="BG23" i="4"/>
  <c r="CA14" i="4"/>
  <c r="DT16" i="3"/>
  <c r="CQ14" i="3"/>
  <c r="CU14" i="3"/>
  <c r="D21" i="3"/>
  <c r="N13" i="3"/>
  <c r="N20" i="3" s="1"/>
  <c r="J11" i="3"/>
  <c r="J21" i="3" s="1"/>
  <c r="T4" i="3"/>
  <c r="Y4" i="3" s="1"/>
  <c r="O11" i="3"/>
  <c r="O20" i="3"/>
  <c r="T13" i="3"/>
  <c r="Y13" i="3" s="1"/>
  <c r="I11" i="3"/>
  <c r="I21" i="3" s="1"/>
  <c r="N4" i="3"/>
  <c r="DZ20" i="2"/>
  <c r="EE20" i="2" s="1"/>
  <c r="EJ20" i="2" s="1"/>
  <c r="DZ18" i="2"/>
  <c r="EE18" i="2" s="1"/>
  <c r="EJ18" i="2" s="1"/>
  <c r="DZ17" i="2"/>
  <c r="EE17" i="2" s="1"/>
  <c r="EJ17" i="2" s="1"/>
  <c r="DZ14" i="2"/>
  <c r="EE14" i="2" s="1"/>
  <c r="EJ14" i="2" s="1"/>
  <c r="DU20" i="2"/>
  <c r="DU19" i="2"/>
  <c r="DZ19" i="2" s="1"/>
  <c r="EE19" i="2" s="1"/>
  <c r="EJ19" i="2" s="1"/>
  <c r="DU18" i="2"/>
  <c r="DU17" i="2"/>
  <c r="DU14" i="2"/>
  <c r="DY14" i="2"/>
  <c r="DY16" i="2"/>
  <c r="DY17" i="2"/>
  <c r="DY18" i="2"/>
  <c r="DY19" i="2"/>
  <c r="DY20" i="2"/>
  <c r="BH20" i="2"/>
  <c r="BG19" i="2"/>
  <c r="BG18" i="2"/>
  <c r="BG17" i="2"/>
  <c r="BG16" i="2"/>
  <c r="BG15" i="2"/>
  <c r="BB19" i="2"/>
  <c r="BB18" i="2"/>
  <c r="BB17" i="2"/>
  <c r="BB16" i="2"/>
  <c r="BB15" i="2"/>
  <c r="AW19" i="2"/>
  <c r="AW18" i="2"/>
  <c r="AW17" i="2"/>
  <c r="AW16" i="2"/>
  <c r="AW15" i="2"/>
  <c r="AR19" i="2"/>
  <c r="AR18" i="2"/>
  <c r="AR17" i="2"/>
  <c r="AR16" i="2"/>
  <c r="AR15" i="2"/>
  <c r="AM19" i="2"/>
  <c r="AM18" i="2"/>
  <c r="AM17" i="2"/>
  <c r="AM16" i="2"/>
  <c r="AM15" i="2"/>
  <c r="AH19" i="2"/>
  <c r="AH18" i="2"/>
  <c r="AH17" i="2"/>
  <c r="AH16" i="2"/>
  <c r="AH15" i="2"/>
  <c r="AC19" i="2"/>
  <c r="AC18" i="2"/>
  <c r="AC17" i="2"/>
  <c r="AC16" i="2"/>
  <c r="AC15" i="2"/>
  <c r="X19" i="2"/>
  <c r="X18" i="2"/>
  <c r="X17" i="2"/>
  <c r="X16" i="2"/>
  <c r="X15" i="2"/>
  <c r="S19" i="2"/>
  <c r="S18" i="2"/>
  <c r="S17" i="2"/>
  <c r="S16" i="2"/>
  <c r="S15" i="2"/>
  <c r="N19" i="2"/>
  <c r="N18" i="2"/>
  <c r="N17" i="2"/>
  <c r="N16" i="2"/>
  <c r="N15" i="2"/>
  <c r="D4" i="2"/>
  <c r="EH21" i="2"/>
  <c r="EG21" i="2"/>
  <c r="EF21" i="2"/>
  <c r="EH12" i="2"/>
  <c r="EG12" i="2"/>
  <c r="EF12" i="2"/>
  <c r="EE11" i="2"/>
  <c r="EJ11" i="2" s="1"/>
  <c r="ED11" i="2"/>
  <c r="EI11" i="2" s="1"/>
  <c r="EE10" i="2"/>
  <c r="EJ10" i="2" s="1"/>
  <c r="ED10" i="2"/>
  <c r="EI10" i="2" s="1"/>
  <c r="ED9" i="2"/>
  <c r="EI9" i="2" s="1"/>
  <c r="EE8" i="2"/>
  <c r="EJ8" i="2" s="1"/>
  <c r="ED8" i="2"/>
  <c r="EI8" i="2" s="1"/>
  <c r="EE7" i="2"/>
  <c r="EJ7" i="2" s="1"/>
  <c r="EE6" i="2"/>
  <c r="EJ6" i="2" s="1"/>
  <c r="ED6" i="2"/>
  <c r="EI6" i="2" s="1"/>
  <c r="EE5" i="2"/>
  <c r="EJ5" i="2" s="1"/>
  <c r="EC21" i="2"/>
  <c r="EB21" i="2"/>
  <c r="EA21" i="2"/>
  <c r="EC12" i="2"/>
  <c r="EB12" i="2"/>
  <c r="EA12" i="2"/>
  <c r="DZ11" i="2"/>
  <c r="DY11" i="2"/>
  <c r="DZ10" i="2"/>
  <c r="DY10" i="2"/>
  <c r="DY9" i="2"/>
  <c r="DZ8" i="2"/>
  <c r="DY8" i="2"/>
  <c r="DZ7" i="2"/>
  <c r="DZ6" i="2"/>
  <c r="DY6" i="2"/>
  <c r="DZ5" i="2"/>
  <c r="DQ17" i="2"/>
  <c r="DQ16" i="2"/>
  <c r="DQ14" i="2"/>
  <c r="DL15" i="2"/>
  <c r="DS11" i="6" l="1"/>
  <c r="DX4" i="6"/>
  <c r="DN31" i="6"/>
  <c r="DN35" i="6" s="1"/>
  <c r="DN27" i="6"/>
  <c r="EM21" i="6"/>
  <c r="EH33" i="6"/>
  <c r="EH26" i="6"/>
  <c r="BQ4" i="4"/>
  <c r="BL11" i="4"/>
  <c r="BL15" i="4"/>
  <c r="BL20" i="4" s="1"/>
  <c r="BG24" i="4"/>
  <c r="BQ13" i="4"/>
  <c r="BL23" i="4"/>
  <c r="CF14" i="4"/>
  <c r="DY16" i="3"/>
  <c r="Y11" i="3"/>
  <c r="AD4" i="3"/>
  <c r="Y20" i="3"/>
  <c r="AD13" i="3"/>
  <c r="Y21" i="3"/>
  <c r="S13" i="3"/>
  <c r="T20" i="3"/>
  <c r="O21" i="3"/>
  <c r="T11" i="3"/>
  <c r="S4" i="3"/>
  <c r="X4" i="3" s="1"/>
  <c r="N11" i="3"/>
  <c r="N21" i="3" s="1"/>
  <c r="EF22" i="2"/>
  <c r="EG22" i="2"/>
  <c r="EA22" i="2"/>
  <c r="EB22" i="2"/>
  <c r="EH22" i="2"/>
  <c r="EC22" i="2"/>
  <c r="DX21" i="2"/>
  <c r="DX22" i="2" s="1"/>
  <c r="DW21" i="2"/>
  <c r="DV21" i="2"/>
  <c r="DV22" i="2" s="1"/>
  <c r="DX12" i="2"/>
  <c r="DW12" i="2"/>
  <c r="DW22" i="2" s="1"/>
  <c r="DV12" i="2"/>
  <c r="DT11" i="2"/>
  <c r="DT10" i="2"/>
  <c r="DT9" i="2"/>
  <c r="DT8" i="2"/>
  <c r="DT6" i="2"/>
  <c r="DU5" i="2"/>
  <c r="DT5" i="2"/>
  <c r="DY5" i="2" s="1"/>
  <c r="ED5" i="2" s="1"/>
  <c r="EI5" i="2" s="1"/>
  <c r="DT4" i="2"/>
  <c r="DY4" i="2" s="1"/>
  <c r="ED4" i="2" s="1"/>
  <c r="EI4" i="2" s="1"/>
  <c r="DS21" i="2"/>
  <c r="DR21" i="2"/>
  <c r="DQ21" i="2"/>
  <c r="DP20" i="2"/>
  <c r="DP19" i="2"/>
  <c r="DP18" i="2"/>
  <c r="DP17" i="2"/>
  <c r="DP16" i="2"/>
  <c r="DU16" i="2" s="1"/>
  <c r="DZ16" i="2" s="1"/>
  <c r="DS12" i="2"/>
  <c r="DR12" i="2"/>
  <c r="DQ12" i="2"/>
  <c r="DP11" i="2"/>
  <c r="DU11" i="2" s="1"/>
  <c r="DO11" i="2"/>
  <c r="DP10" i="2"/>
  <c r="DU10" i="2" s="1"/>
  <c r="DO10" i="2"/>
  <c r="DO9" i="2"/>
  <c r="DP8" i="2"/>
  <c r="DU8" i="2" s="1"/>
  <c r="DO8" i="2"/>
  <c r="DP7" i="2"/>
  <c r="DU7" i="2" s="1"/>
  <c r="DO6" i="2"/>
  <c r="DP5" i="2"/>
  <c r="DG18" i="2"/>
  <c r="DG15" i="2"/>
  <c r="DG14" i="2"/>
  <c r="DB14" i="2"/>
  <c r="CW14" i="2"/>
  <c r="DA14" i="2" s="1"/>
  <c r="CR14" i="2"/>
  <c r="CV4" i="2"/>
  <c r="CV5" i="2"/>
  <c r="CV6" i="2"/>
  <c r="CV7" i="2"/>
  <c r="CV8" i="2"/>
  <c r="EM33" i="6" l="1"/>
  <c r="EM26" i="6"/>
  <c r="EC4" i="6"/>
  <c r="DX11" i="6"/>
  <c r="DS31" i="6"/>
  <c r="DS35" i="6" s="1"/>
  <c r="DS27" i="6"/>
  <c r="BL21" i="4"/>
  <c r="BV4" i="4"/>
  <c r="BQ11" i="4"/>
  <c r="BQ15" i="4"/>
  <c r="BQ20" i="4" s="1"/>
  <c r="BL24" i="4"/>
  <c r="BV13" i="4"/>
  <c r="BQ23" i="4"/>
  <c r="CK14" i="4"/>
  <c r="X11" i="3"/>
  <c r="AC4" i="3"/>
  <c r="AD20" i="3"/>
  <c r="AI13" i="3"/>
  <c r="AI4" i="3"/>
  <c r="AD11" i="3"/>
  <c r="DA14" i="3"/>
  <c r="DE14" i="3"/>
  <c r="DJ14" i="3" s="1"/>
  <c r="DO14" i="3" s="1"/>
  <c r="DT14" i="3" s="1"/>
  <c r="DY14" i="3" s="1"/>
  <c r="S20" i="3"/>
  <c r="X13" i="3"/>
  <c r="T21" i="3"/>
  <c r="S11" i="3"/>
  <c r="EE16" i="2"/>
  <c r="EJ16" i="2" s="1"/>
  <c r="DP12" i="2"/>
  <c r="DU4" i="2"/>
  <c r="DZ4" i="2" s="1"/>
  <c r="DR22" i="2"/>
  <c r="DS22" i="2"/>
  <c r="DQ22" i="2"/>
  <c r="DN21" i="2"/>
  <c r="DN22" i="2" s="1"/>
  <c r="DM21" i="2"/>
  <c r="DM22" i="2" s="1"/>
  <c r="DL21" i="2"/>
  <c r="DN12" i="2"/>
  <c r="DM12" i="2"/>
  <c r="DL12" i="2"/>
  <c r="DI21" i="2"/>
  <c r="DH21" i="2"/>
  <c r="DG21" i="2"/>
  <c r="DI12" i="2"/>
  <c r="DH12" i="2"/>
  <c r="DG12" i="2"/>
  <c r="DF11" i="2"/>
  <c r="DK11" i="2" s="1"/>
  <c r="DF10" i="2"/>
  <c r="DK10" i="2" s="1"/>
  <c r="DE10" i="2"/>
  <c r="DJ10" i="2" s="1"/>
  <c r="DE9" i="2"/>
  <c r="DJ9" i="2" s="1"/>
  <c r="DF8" i="2"/>
  <c r="DK8" i="2" s="1"/>
  <c r="DE7" i="2"/>
  <c r="DJ7" i="2" s="1"/>
  <c r="DO7" i="2" s="1"/>
  <c r="DT7" i="2" s="1"/>
  <c r="DY7" i="2" s="1"/>
  <c r="DF6" i="2"/>
  <c r="DK6" i="2" s="1"/>
  <c r="DP6" i="2" s="1"/>
  <c r="DU6" i="2" s="1"/>
  <c r="DE6" i="2"/>
  <c r="DJ6" i="2" s="1"/>
  <c r="DF5" i="2"/>
  <c r="DK5" i="2" s="1"/>
  <c r="DE5" i="2"/>
  <c r="DJ5" i="2" s="1"/>
  <c r="DF4" i="2"/>
  <c r="DK4" i="2" s="1"/>
  <c r="DD21" i="2"/>
  <c r="DC21" i="2"/>
  <c r="DC22" i="2" s="1"/>
  <c r="DB21" i="2"/>
  <c r="DA17" i="2"/>
  <c r="DK17" i="2" s="1"/>
  <c r="DD12" i="2"/>
  <c r="DC12" i="2"/>
  <c r="DB12" i="2"/>
  <c r="DE11" i="2"/>
  <c r="DJ11" i="2" s="1"/>
  <c r="DE8" i="2"/>
  <c r="DJ8" i="2" s="1"/>
  <c r="DF7" i="2"/>
  <c r="DK7" i="2" s="1"/>
  <c r="DE4" i="2"/>
  <c r="DJ4" i="2" s="1"/>
  <c r="CY21" i="2"/>
  <c r="CX21" i="2"/>
  <c r="CW21" i="2"/>
  <c r="DA20" i="2"/>
  <c r="DK20" i="2" s="1"/>
  <c r="DA19" i="2"/>
  <c r="DK19" i="2" s="1"/>
  <c r="DA18" i="2"/>
  <c r="DK18" i="2" s="1"/>
  <c r="DA16" i="2"/>
  <c r="DK16" i="2" s="1"/>
  <c r="CV15" i="2"/>
  <c r="DA15" i="2" s="1"/>
  <c r="DK15" i="2" s="1"/>
  <c r="DP15" i="2" s="1"/>
  <c r="DU15" i="2" s="1"/>
  <c r="DZ15" i="2" s="1"/>
  <c r="EE15" i="2" s="1"/>
  <c r="EJ15" i="2" s="1"/>
  <c r="CY12" i="2"/>
  <c r="CX12" i="2"/>
  <c r="CW12" i="2"/>
  <c r="CV11" i="2"/>
  <c r="CV10" i="2"/>
  <c r="CU10" i="2"/>
  <c r="CU9" i="2"/>
  <c r="CU8" i="2"/>
  <c r="CU7" i="2"/>
  <c r="CU6" i="2"/>
  <c r="CU5" i="2"/>
  <c r="CU4" i="2"/>
  <c r="CQ15" i="2"/>
  <c r="CQ16" i="2"/>
  <c r="CQ17" i="2"/>
  <c r="CQ18" i="2"/>
  <c r="CQ19" i="2"/>
  <c r="CQ20" i="2"/>
  <c r="CQ6" i="2"/>
  <c r="CH14" i="2"/>
  <c r="CH7" i="2"/>
  <c r="CQ7" i="2" s="1"/>
  <c r="CH6" i="2"/>
  <c r="CH4" i="2"/>
  <c r="CQ4" i="2" s="1"/>
  <c r="CG12" i="2"/>
  <c r="CT21" i="2"/>
  <c r="CS21" i="2"/>
  <c r="CR21" i="2"/>
  <c r="CT12" i="2"/>
  <c r="CS12" i="2"/>
  <c r="CR12" i="2"/>
  <c r="CO21" i="2"/>
  <c r="CN21" i="2"/>
  <c r="CN22" i="2" s="1"/>
  <c r="CM21" i="2"/>
  <c r="CO12" i="2"/>
  <c r="CN12" i="2"/>
  <c r="CQ11" i="2"/>
  <c r="CQ10" i="2"/>
  <c r="CK10" i="2"/>
  <c r="CP10" i="2" s="1"/>
  <c r="CK9" i="2"/>
  <c r="CP9" i="2" s="1"/>
  <c r="CQ8" i="2"/>
  <c r="CK8" i="2"/>
  <c r="CP8" i="2" s="1"/>
  <c r="CK7" i="2"/>
  <c r="CP7" i="2" s="1"/>
  <c r="CK6" i="2"/>
  <c r="CP6" i="2" s="1"/>
  <c r="CQ5" i="2"/>
  <c r="CK5" i="2"/>
  <c r="CP5" i="2" s="1"/>
  <c r="CK4" i="2"/>
  <c r="CC14" i="2"/>
  <c r="CC6" i="2"/>
  <c r="BX6" i="2"/>
  <c r="EH4" i="6" l="1"/>
  <c r="EC11" i="6"/>
  <c r="DX31" i="6"/>
  <c r="DX35" i="6" s="1"/>
  <c r="DX27" i="6"/>
  <c r="BQ21" i="4"/>
  <c r="BV11" i="4"/>
  <c r="CA4" i="4"/>
  <c r="BV15" i="4"/>
  <c r="BQ24" i="4"/>
  <c r="CA13" i="4"/>
  <c r="BV23" i="4"/>
  <c r="BV20" i="4"/>
  <c r="CP14" i="4"/>
  <c r="AN4" i="3"/>
  <c r="AI11" i="3"/>
  <c r="X20" i="3"/>
  <c r="X21" i="3" s="1"/>
  <c r="AC13" i="3"/>
  <c r="AN13" i="3"/>
  <c r="AI20" i="3"/>
  <c r="AD21" i="3"/>
  <c r="AH4" i="3"/>
  <c r="AC11" i="3"/>
  <c r="DF14" i="3"/>
  <c r="DK14" i="3" s="1"/>
  <c r="DP14" i="3" s="1"/>
  <c r="DU14" i="3" s="1"/>
  <c r="DZ14" i="3" s="1"/>
  <c r="S21" i="3"/>
  <c r="EJ21" i="2"/>
  <c r="EE4" i="2"/>
  <c r="DZ12" i="2"/>
  <c r="DZ21" i="2"/>
  <c r="DZ22" i="2" s="1"/>
  <c r="EE21" i="2"/>
  <c r="ED7" i="2"/>
  <c r="DY12" i="2"/>
  <c r="DO12" i="2"/>
  <c r="DT12" i="2"/>
  <c r="DU12" i="2"/>
  <c r="DL22" i="2"/>
  <c r="CW22" i="2"/>
  <c r="CV12" i="2"/>
  <c r="CS22" i="2"/>
  <c r="CV21" i="2"/>
  <c r="DA21" i="2"/>
  <c r="DB22" i="2"/>
  <c r="DD22" i="2"/>
  <c r="DG22" i="2"/>
  <c r="DH22" i="2"/>
  <c r="DI22" i="2"/>
  <c r="DJ12" i="2"/>
  <c r="DE12" i="2"/>
  <c r="DK12" i="2"/>
  <c r="CZ12" i="2"/>
  <c r="DF12" i="2"/>
  <c r="DA12" i="2"/>
  <c r="CX22" i="2"/>
  <c r="CY22" i="2"/>
  <c r="CR22" i="2"/>
  <c r="CM12" i="2"/>
  <c r="CM22" i="2" s="1"/>
  <c r="CL21" i="2"/>
  <c r="CT22" i="2"/>
  <c r="CO22" i="2"/>
  <c r="CQ21" i="2"/>
  <c r="CL12" i="2"/>
  <c r="CQ12" i="2"/>
  <c r="CP4" i="2"/>
  <c r="BS14" i="2"/>
  <c r="BS21" i="2" s="1"/>
  <c r="BQ4" i="2"/>
  <c r="BQ5" i="2"/>
  <c r="BQ6" i="2"/>
  <c r="BQ7" i="2"/>
  <c r="BQ8" i="2"/>
  <c r="BQ9" i="2"/>
  <c r="BQ10" i="2"/>
  <c r="BN14" i="2"/>
  <c r="CJ21" i="2"/>
  <c r="CI21" i="2"/>
  <c r="CI22" i="2" s="1"/>
  <c r="CH21" i="2"/>
  <c r="CJ12" i="2"/>
  <c r="CI12" i="2"/>
  <c r="CH12" i="2"/>
  <c r="CE21" i="2"/>
  <c r="CD21" i="2"/>
  <c r="CC21" i="2"/>
  <c r="CE12" i="2"/>
  <c r="CD12" i="2"/>
  <c r="CC12" i="2"/>
  <c r="CB5" i="2"/>
  <c r="BZ21" i="2"/>
  <c r="BY21" i="2"/>
  <c r="BX21" i="2"/>
  <c r="CB20" i="2"/>
  <c r="CB19" i="2"/>
  <c r="CB18" i="2"/>
  <c r="CB17" i="2"/>
  <c r="BW16" i="2"/>
  <c r="CB16" i="2" s="1"/>
  <c r="BW15" i="2"/>
  <c r="CB15" i="2" s="1"/>
  <c r="BZ12" i="2"/>
  <c r="BY12" i="2"/>
  <c r="BX12" i="2"/>
  <c r="BW11" i="2"/>
  <c r="CB11" i="2" s="1"/>
  <c r="BW10" i="2"/>
  <c r="CB10" i="2" s="1"/>
  <c r="BV10" i="2"/>
  <c r="CA10" i="2" s="1"/>
  <c r="CF10" i="2" s="1"/>
  <c r="BV9" i="2"/>
  <c r="CA9" i="2" s="1"/>
  <c r="CF9" i="2" s="1"/>
  <c r="BV8" i="2"/>
  <c r="CA8" i="2" s="1"/>
  <c r="CF8" i="2" s="1"/>
  <c r="CB7" i="2"/>
  <c r="BV7" i="2"/>
  <c r="CA7" i="2" s="1"/>
  <c r="CF7" i="2" s="1"/>
  <c r="CB6" i="2"/>
  <c r="BV6" i="2"/>
  <c r="CA6" i="2" s="1"/>
  <c r="BW5" i="2"/>
  <c r="BV5" i="2"/>
  <c r="CA5" i="2" s="1"/>
  <c r="CF5" i="2" s="1"/>
  <c r="CB4" i="2"/>
  <c r="BU21" i="2"/>
  <c r="BT21" i="2"/>
  <c r="BR18" i="2"/>
  <c r="BR16" i="2"/>
  <c r="BU12" i="2"/>
  <c r="BT12" i="2"/>
  <c r="BS12" i="2"/>
  <c r="BR5" i="2"/>
  <c r="EC31" i="6" l="1"/>
  <c r="EC35" i="6" s="1"/>
  <c r="EC27" i="6"/>
  <c r="EH11" i="6"/>
  <c r="EM4" i="6"/>
  <c r="EM11" i="6" s="1"/>
  <c r="BV21" i="4"/>
  <c r="CF4" i="4"/>
  <c r="CA11" i="4"/>
  <c r="BV24" i="4"/>
  <c r="CA15" i="4"/>
  <c r="CA20" i="4" s="1"/>
  <c r="CF13" i="4"/>
  <c r="CA23" i="4"/>
  <c r="CU14" i="4"/>
  <c r="AI21" i="3"/>
  <c r="AN20" i="3"/>
  <c r="AS13" i="3"/>
  <c r="AH13" i="3"/>
  <c r="AC20" i="3"/>
  <c r="AC21" i="3" s="1"/>
  <c r="AH11" i="3"/>
  <c r="AM4" i="3"/>
  <c r="AS4" i="3"/>
  <c r="AN11" i="3"/>
  <c r="EJ4" i="2"/>
  <c r="EJ12" i="2" s="1"/>
  <c r="EJ22" i="2" s="1"/>
  <c r="EE12" i="2"/>
  <c r="EE22" i="2" s="1"/>
  <c r="ED12" i="2"/>
  <c r="EI7" i="2"/>
  <c r="EI12" i="2" s="1"/>
  <c r="DA22" i="2"/>
  <c r="CV22" i="2"/>
  <c r="DF21" i="2"/>
  <c r="DF22" i="2" s="1"/>
  <c r="DK14" i="2"/>
  <c r="CL22" i="2"/>
  <c r="CH22" i="2"/>
  <c r="CQ22" i="2"/>
  <c r="CC22" i="2"/>
  <c r="BX22" i="2"/>
  <c r="CE22" i="2"/>
  <c r="BY22" i="2"/>
  <c r="CJ22" i="2"/>
  <c r="BS22" i="2"/>
  <c r="BU22" i="2"/>
  <c r="BT22" i="2"/>
  <c r="BZ22" i="2"/>
  <c r="CB14" i="2"/>
  <c r="CG21" i="2" s="1"/>
  <c r="BV4" i="2"/>
  <c r="CA4" i="2" s="1"/>
  <c r="CF4" i="2" s="1"/>
  <c r="CD22" i="2"/>
  <c r="EH31" i="6" l="1"/>
  <c r="EH35" i="6" s="1"/>
  <c r="EH27" i="6"/>
  <c r="EM31" i="6"/>
  <c r="EM35" i="6" s="1"/>
  <c r="EM27" i="6"/>
  <c r="CA21" i="4"/>
  <c r="CK4" i="4"/>
  <c r="CF11" i="4"/>
  <c r="CF15" i="4"/>
  <c r="CA24" i="4"/>
  <c r="CK13" i="4"/>
  <c r="CF23" i="4"/>
  <c r="CF20" i="4"/>
  <c r="CZ14" i="4"/>
  <c r="DE14" i="4" s="1"/>
  <c r="DJ14" i="4" s="1"/>
  <c r="DO14" i="4" s="1"/>
  <c r="AX4" i="3"/>
  <c r="AS11" i="3"/>
  <c r="AR4" i="3"/>
  <c r="AM11" i="3"/>
  <c r="AM13" i="3"/>
  <c r="AH20" i="3"/>
  <c r="AH21" i="3" s="1"/>
  <c r="AS20" i="3"/>
  <c r="AX13" i="3"/>
  <c r="AN21" i="3"/>
  <c r="DK21" i="2"/>
  <c r="DK22" i="2" s="1"/>
  <c r="DP14" i="2"/>
  <c r="CG22" i="2"/>
  <c r="BW21" i="2"/>
  <c r="CB21" i="2"/>
  <c r="CF21" i="4" l="1"/>
  <c r="CP4" i="4"/>
  <c r="CK11" i="4"/>
  <c r="CK15" i="4"/>
  <c r="CF24" i="4"/>
  <c r="CP13" i="4"/>
  <c r="CK20" i="4"/>
  <c r="CK23" i="4"/>
  <c r="AS21" i="3"/>
  <c r="AM20" i="3"/>
  <c r="AM21" i="3" s="1"/>
  <c r="AR13" i="3"/>
  <c r="AX20" i="3"/>
  <c r="BC13" i="3"/>
  <c r="AR11" i="3"/>
  <c r="AW4" i="3"/>
  <c r="BC4" i="3"/>
  <c r="AX11" i="3"/>
  <c r="DU21" i="2"/>
  <c r="DU22" i="2" s="1"/>
  <c r="DP21" i="2"/>
  <c r="DP22" i="2" s="1"/>
  <c r="BD6" i="2"/>
  <c r="CK21" i="4" l="1"/>
  <c r="CP11" i="4"/>
  <c r="CU4" i="4"/>
  <c r="CP15" i="4"/>
  <c r="CP20" i="4" s="1"/>
  <c r="CK24" i="4"/>
  <c r="CU13" i="4"/>
  <c r="CP23" i="4"/>
  <c r="BH4" i="3"/>
  <c r="BC11" i="3"/>
  <c r="AW11" i="3"/>
  <c r="BB4" i="3"/>
  <c r="BC20" i="3"/>
  <c r="BH13" i="3"/>
  <c r="AX21" i="3"/>
  <c r="AR20" i="3"/>
  <c r="AR21" i="3" s="1"/>
  <c r="AW13" i="3"/>
  <c r="BP21" i="2"/>
  <c r="BD19" i="2"/>
  <c r="BD18" i="2"/>
  <c r="BD15" i="2"/>
  <c r="BC14" i="2"/>
  <c r="AY20" i="2"/>
  <c r="AY19" i="2"/>
  <c r="AY17" i="2"/>
  <c r="AY16" i="2"/>
  <c r="AY18" i="2"/>
  <c r="AY15" i="2"/>
  <c r="AY14" i="2"/>
  <c r="AT20" i="2"/>
  <c r="AT19" i="2"/>
  <c r="AT17" i="2"/>
  <c r="AT16" i="2"/>
  <c r="AO14" i="2"/>
  <c r="CP21" i="4" l="1"/>
  <c r="CU11" i="4"/>
  <c r="CZ4" i="4"/>
  <c r="CU15" i="4"/>
  <c r="CP24" i="4"/>
  <c r="CZ13" i="4"/>
  <c r="DE13" i="4" s="1"/>
  <c r="CU23" i="4"/>
  <c r="CU20" i="4"/>
  <c r="CU21" i="4" s="1"/>
  <c r="BC21" i="3"/>
  <c r="BM13" i="3"/>
  <c r="BH20" i="3"/>
  <c r="BB11" i="3"/>
  <c r="BG4" i="3"/>
  <c r="AW20" i="3"/>
  <c r="AW21" i="3" s="1"/>
  <c r="BB13" i="3"/>
  <c r="BM4" i="3"/>
  <c r="BH11" i="3"/>
  <c r="BO21" i="2"/>
  <c r="BN21" i="2"/>
  <c r="BP12" i="2"/>
  <c r="BO12" i="2"/>
  <c r="BN12" i="2"/>
  <c r="BK21" i="2"/>
  <c r="BJ21" i="2"/>
  <c r="BI21" i="2"/>
  <c r="BK12" i="2"/>
  <c r="BJ12" i="2"/>
  <c r="BI12" i="2"/>
  <c r="BF21" i="2"/>
  <c r="BF22" i="2" s="1"/>
  <c r="BE21" i="2"/>
  <c r="BD21" i="2"/>
  <c r="BE12" i="2"/>
  <c r="BD12" i="2"/>
  <c r="AI9" i="2"/>
  <c r="AE19" i="2"/>
  <c r="AE18" i="2"/>
  <c r="AE14" i="2"/>
  <c r="BA21" i="2"/>
  <c r="AZ21" i="2"/>
  <c r="AY21" i="2"/>
  <c r="BA12" i="2"/>
  <c r="AZ12" i="2"/>
  <c r="AY12" i="2"/>
  <c r="AV21" i="2"/>
  <c r="AV22" i="2" s="1"/>
  <c r="AU21" i="2"/>
  <c r="AT21" i="2"/>
  <c r="AV12" i="2"/>
  <c r="AU12" i="2"/>
  <c r="AT12" i="2"/>
  <c r="AR10" i="2"/>
  <c r="BB10" i="2" s="1"/>
  <c r="BG10" i="2" s="1"/>
  <c r="BL10" i="2" s="1"/>
  <c r="AR9" i="2"/>
  <c r="AW9" i="2" s="1"/>
  <c r="BB9" i="2" s="1"/>
  <c r="BG9" i="2" s="1"/>
  <c r="BL9" i="2" s="1"/>
  <c r="AR8" i="2"/>
  <c r="AW8" i="2" s="1"/>
  <c r="BB8" i="2" s="1"/>
  <c r="BG8" i="2" s="1"/>
  <c r="BL8" i="2" s="1"/>
  <c r="AR7" i="2"/>
  <c r="AW7" i="2" s="1"/>
  <c r="BB7" i="2" s="1"/>
  <c r="BG7" i="2" s="1"/>
  <c r="BL7" i="2" s="1"/>
  <c r="AR6" i="2"/>
  <c r="AW6" i="2" s="1"/>
  <c r="BB6" i="2" s="1"/>
  <c r="BG6" i="2" s="1"/>
  <c r="BL6" i="2" s="1"/>
  <c r="AR5" i="2"/>
  <c r="AQ21" i="2"/>
  <c r="AP21" i="2"/>
  <c r="AO21" i="2"/>
  <c r="AQ12" i="2"/>
  <c r="AP12" i="2"/>
  <c r="AO12" i="2"/>
  <c r="AS11" i="2"/>
  <c r="AX11" i="2" s="1"/>
  <c r="BH11" i="2" s="1"/>
  <c r="BM11" i="2" s="1"/>
  <c r="AM10" i="2"/>
  <c r="AM9" i="2"/>
  <c r="AM8" i="2"/>
  <c r="AM7" i="2"/>
  <c r="AM6" i="2"/>
  <c r="AM5" i="2"/>
  <c r="AL21" i="2"/>
  <c r="AL22" i="2" s="1"/>
  <c r="AK21" i="2"/>
  <c r="AJ21" i="2"/>
  <c r="AL12" i="2"/>
  <c r="AK12" i="2"/>
  <c r="AJ12" i="2"/>
  <c r="AS10" i="2"/>
  <c r="AX10" i="2" s="1"/>
  <c r="BC10" i="2" s="1"/>
  <c r="BH10" i="2" s="1"/>
  <c r="BM10" i="2" s="1"/>
  <c r="AH10" i="2"/>
  <c r="AH9" i="2"/>
  <c r="AH8" i="2"/>
  <c r="AH7" i="2"/>
  <c r="AH6" i="2"/>
  <c r="AH5" i="2"/>
  <c r="AG12" i="2"/>
  <c r="Z14" i="2"/>
  <c r="AG21" i="2"/>
  <c r="AF21" i="2"/>
  <c r="AF12" i="2"/>
  <c r="AC9" i="2"/>
  <c r="AB21" i="2"/>
  <c r="AA21" i="2"/>
  <c r="AA22" i="2" s="1"/>
  <c r="Z21" i="2"/>
  <c r="AB12" i="2"/>
  <c r="AA12" i="2"/>
  <c r="Z12" i="2"/>
  <c r="X9" i="2"/>
  <c r="X8" i="2"/>
  <c r="AC8" i="2" s="1"/>
  <c r="X7" i="2"/>
  <c r="AC7" i="2" s="1"/>
  <c r="F6" i="2"/>
  <c r="W21" i="2"/>
  <c r="V21" i="2"/>
  <c r="U21" i="2"/>
  <c r="W12" i="2"/>
  <c r="V12" i="2"/>
  <c r="U12" i="2"/>
  <c r="DE23" i="4" l="1"/>
  <c r="DJ13" i="4"/>
  <c r="CZ11" i="4"/>
  <c r="DE4" i="4"/>
  <c r="CZ15" i="4"/>
  <c r="CU24" i="4"/>
  <c r="CZ23" i="4"/>
  <c r="CZ20" i="4"/>
  <c r="BM11" i="3"/>
  <c r="BR4" i="3"/>
  <c r="BB20" i="3"/>
  <c r="BB21" i="3" s="1"/>
  <c r="BG13" i="3"/>
  <c r="BG11" i="3"/>
  <c r="BL4" i="3"/>
  <c r="BH21" i="3"/>
  <c r="BR13" i="3"/>
  <c r="BM20" i="3"/>
  <c r="BI22" i="2"/>
  <c r="BJ22" i="2"/>
  <c r="BE22" i="2"/>
  <c r="BD22" i="2"/>
  <c r="AY22" i="2"/>
  <c r="AT22" i="2"/>
  <c r="AU22" i="2"/>
  <c r="BK22" i="2"/>
  <c r="AZ22" i="2"/>
  <c r="BA22" i="2"/>
  <c r="BN22" i="2"/>
  <c r="BO22" i="2"/>
  <c r="BP22" i="2"/>
  <c r="AE12" i="2"/>
  <c r="AE21" i="2"/>
  <c r="AW5" i="2"/>
  <c r="AQ22" i="2"/>
  <c r="AO22" i="2"/>
  <c r="AP22" i="2"/>
  <c r="AJ22" i="2"/>
  <c r="AK22" i="2"/>
  <c r="AF22" i="2"/>
  <c r="Z22" i="2"/>
  <c r="AB22" i="2"/>
  <c r="AG22" i="2"/>
  <c r="U22" i="2"/>
  <c r="V22" i="2"/>
  <c r="W22" i="2"/>
  <c r="CZ24" i="4" l="1"/>
  <c r="DE15" i="4"/>
  <c r="DJ23" i="4"/>
  <c r="DO13" i="4"/>
  <c r="CZ21" i="4"/>
  <c r="DJ4" i="4"/>
  <c r="DE11" i="4"/>
  <c r="BM21" i="3"/>
  <c r="BR20" i="3"/>
  <c r="BW13" i="3"/>
  <c r="BL11" i="3"/>
  <c r="BQ4" i="3"/>
  <c r="BL13" i="3"/>
  <c r="BG20" i="3"/>
  <c r="BG21" i="3" s="1"/>
  <c r="BR11" i="3"/>
  <c r="BW4" i="3"/>
  <c r="BH14" i="2"/>
  <c r="BB5" i="2"/>
  <c r="AE22" i="2"/>
  <c r="R21" i="2"/>
  <c r="Q21" i="2"/>
  <c r="M21" i="2"/>
  <c r="L21" i="2"/>
  <c r="K21" i="2"/>
  <c r="H21" i="2"/>
  <c r="G21" i="2"/>
  <c r="E21" i="2"/>
  <c r="J20" i="2"/>
  <c r="O20" i="2" s="1"/>
  <c r="T20" i="2" s="1"/>
  <c r="Y20" i="2" s="1"/>
  <c r="AD20" i="2" s="1"/>
  <c r="AI20" i="2" s="1"/>
  <c r="AN20" i="2" s="1"/>
  <c r="AS20" i="2" s="1"/>
  <c r="AX20" i="2" s="1"/>
  <c r="BM20" i="2" s="1"/>
  <c r="BR20" i="2" s="1"/>
  <c r="BR21" i="2" s="1"/>
  <c r="D20" i="2"/>
  <c r="I20" i="2" s="1"/>
  <c r="J19" i="2"/>
  <c r="O19" i="2" s="1"/>
  <c r="T19" i="2" s="1"/>
  <c r="Y19" i="2" s="1"/>
  <c r="AD19" i="2" s="1"/>
  <c r="AI19" i="2" s="1"/>
  <c r="AS19" i="2" s="1"/>
  <c r="AX19" i="2" s="1"/>
  <c r="BH19" i="2" s="1"/>
  <c r="BM19" i="2" s="1"/>
  <c r="D19" i="2"/>
  <c r="I19" i="2" s="1"/>
  <c r="J18" i="2"/>
  <c r="D18" i="2"/>
  <c r="I18" i="2" s="1"/>
  <c r="BL18" i="2" s="1"/>
  <c r="BQ18" i="2" s="1"/>
  <c r="BV18" i="2" s="1"/>
  <c r="CA18" i="2" s="1"/>
  <c r="CF18" i="2" s="1"/>
  <c r="CK18" i="2" s="1"/>
  <c r="CP18" i="2" s="1"/>
  <c r="CU18" i="2" s="1"/>
  <c r="CZ18" i="2" s="1"/>
  <c r="DE18" i="2" s="1"/>
  <c r="DJ18" i="2" s="1"/>
  <c r="DO18" i="2" s="1"/>
  <c r="DT18" i="2" s="1"/>
  <c r="ED18" i="2" s="1"/>
  <c r="EI18" i="2" s="1"/>
  <c r="J17" i="2"/>
  <c r="D17" i="2"/>
  <c r="I17" i="2" s="1"/>
  <c r="BL17" i="2" s="1"/>
  <c r="BQ17" i="2" s="1"/>
  <c r="BV17" i="2" s="1"/>
  <c r="CA17" i="2" s="1"/>
  <c r="CF17" i="2" s="1"/>
  <c r="CK17" i="2" s="1"/>
  <c r="CP17" i="2" s="1"/>
  <c r="CU17" i="2" s="1"/>
  <c r="CZ17" i="2" s="1"/>
  <c r="DE17" i="2" s="1"/>
  <c r="DJ17" i="2" s="1"/>
  <c r="DO17" i="2" s="1"/>
  <c r="DT17" i="2" s="1"/>
  <c r="ED17" i="2" s="1"/>
  <c r="EI17" i="2" s="1"/>
  <c r="J16" i="2"/>
  <c r="O16" i="2" s="1"/>
  <c r="T16" i="2" s="1"/>
  <c r="Y16" i="2" s="1"/>
  <c r="AD16" i="2" s="1"/>
  <c r="AI16" i="2" s="1"/>
  <c r="D16" i="2"/>
  <c r="I16" i="2" s="1"/>
  <c r="BL16" i="2" s="1"/>
  <c r="BQ16" i="2" s="1"/>
  <c r="BV16" i="2" s="1"/>
  <c r="CA16" i="2" s="1"/>
  <c r="CF16" i="2" s="1"/>
  <c r="CK16" i="2" s="1"/>
  <c r="CP16" i="2" s="1"/>
  <c r="CU16" i="2" s="1"/>
  <c r="CZ16" i="2" s="1"/>
  <c r="DE16" i="2" s="1"/>
  <c r="DJ16" i="2" s="1"/>
  <c r="DO16" i="2" s="1"/>
  <c r="DT16" i="2" s="1"/>
  <c r="ED16" i="2" s="1"/>
  <c r="EI16" i="2" s="1"/>
  <c r="J15" i="2"/>
  <c r="O15" i="2" s="1"/>
  <c r="T15" i="2" s="1"/>
  <c r="Y15" i="2" s="1"/>
  <c r="AD15" i="2" s="1"/>
  <c r="AI15" i="2" s="1"/>
  <c r="AN15" i="2" s="1"/>
  <c r="AS15" i="2" s="1"/>
  <c r="AX15" i="2" s="1"/>
  <c r="BH15" i="2" s="1"/>
  <c r="BM15" i="2" s="1"/>
  <c r="D15" i="2"/>
  <c r="I15" i="2" s="1"/>
  <c r="BL15" i="2" s="1"/>
  <c r="BQ15" i="2" s="1"/>
  <c r="BV15" i="2" s="1"/>
  <c r="CA15" i="2" s="1"/>
  <c r="CF15" i="2" s="1"/>
  <c r="CK15" i="2" s="1"/>
  <c r="CP15" i="2" s="1"/>
  <c r="CU15" i="2" s="1"/>
  <c r="CZ15" i="2" s="1"/>
  <c r="DE15" i="2" s="1"/>
  <c r="DJ15" i="2" s="1"/>
  <c r="DO15" i="2" s="1"/>
  <c r="DT15" i="2" s="1"/>
  <c r="P21" i="2"/>
  <c r="J14" i="2"/>
  <c r="D14" i="2"/>
  <c r="I14" i="2" s="1"/>
  <c r="N14" i="2" s="1"/>
  <c r="S14" i="2" s="1"/>
  <c r="X14" i="2" s="1"/>
  <c r="AC14" i="2" s="1"/>
  <c r="AH14" i="2" s="1"/>
  <c r="AM14" i="2" s="1"/>
  <c r="AR14" i="2" s="1"/>
  <c r="AW14" i="2" s="1"/>
  <c r="BB14" i="2" s="1"/>
  <c r="BG14" i="2" s="1"/>
  <c r="R12" i="2"/>
  <c r="Q12" i="2"/>
  <c r="M12" i="2"/>
  <c r="L12" i="2"/>
  <c r="K12" i="2"/>
  <c r="H12" i="2"/>
  <c r="G12" i="2"/>
  <c r="F12" i="2"/>
  <c r="E12" i="2"/>
  <c r="J11" i="2"/>
  <c r="O11" i="2" s="1"/>
  <c r="T11" i="2" s="1"/>
  <c r="Y11" i="2" s="1"/>
  <c r="AD11" i="2" s="1"/>
  <c r="AI11" i="2" s="1"/>
  <c r="D11" i="2"/>
  <c r="I11" i="2" s="1"/>
  <c r="N11" i="2" s="1"/>
  <c r="S11" i="2" s="1"/>
  <c r="X11" i="2" s="1"/>
  <c r="AC11" i="2" s="1"/>
  <c r="AH11" i="2" s="1"/>
  <c r="AM11" i="2" s="1"/>
  <c r="AR11" i="2" s="1"/>
  <c r="AW11" i="2" s="1"/>
  <c r="BB11" i="2" s="1"/>
  <c r="BG11" i="2" s="1"/>
  <c r="BL11" i="2" s="1"/>
  <c r="BQ11" i="2" s="1"/>
  <c r="J10" i="2"/>
  <c r="O10" i="2" s="1"/>
  <c r="T10" i="2" s="1"/>
  <c r="Y10" i="2" s="1"/>
  <c r="AD10" i="2" s="1"/>
  <c r="AI10" i="2" s="1"/>
  <c r="D10" i="2"/>
  <c r="I10" i="2" s="1"/>
  <c r="N10" i="2" s="1"/>
  <c r="S10" i="2" s="1"/>
  <c r="X10" i="2" s="1"/>
  <c r="AC10" i="2" s="1"/>
  <c r="J9" i="2"/>
  <c r="D9" i="2"/>
  <c r="I9" i="2" s="1"/>
  <c r="N9" i="2" s="1"/>
  <c r="S9" i="2" s="1"/>
  <c r="J8" i="2"/>
  <c r="O8" i="2" s="1"/>
  <c r="T8" i="2" s="1"/>
  <c r="Y8" i="2" s="1"/>
  <c r="AD8" i="2" s="1"/>
  <c r="AI8" i="2" s="1"/>
  <c r="AN8" i="2" s="1"/>
  <c r="AS8" i="2" s="1"/>
  <c r="AX8" i="2" s="1"/>
  <c r="BC8" i="2" s="1"/>
  <c r="BH8" i="2" s="1"/>
  <c r="BM8" i="2" s="1"/>
  <c r="BR8" i="2" s="1"/>
  <c r="D8" i="2"/>
  <c r="I8" i="2" s="1"/>
  <c r="N8" i="2" s="1"/>
  <c r="S8" i="2" s="1"/>
  <c r="J7" i="2"/>
  <c r="O7" i="2" s="1"/>
  <c r="T7" i="2" s="1"/>
  <c r="Y7" i="2" s="1"/>
  <c r="AD7" i="2" s="1"/>
  <c r="AI7" i="2" s="1"/>
  <c r="AN7" i="2" s="1"/>
  <c r="AS7" i="2" s="1"/>
  <c r="AX7" i="2" s="1"/>
  <c r="BH7" i="2" s="1"/>
  <c r="BM7" i="2" s="1"/>
  <c r="D7" i="2"/>
  <c r="I7" i="2" s="1"/>
  <c r="N7" i="2" s="1"/>
  <c r="S7" i="2" s="1"/>
  <c r="P12" i="2"/>
  <c r="J6" i="2"/>
  <c r="O6" i="2" s="1"/>
  <c r="T6" i="2" s="1"/>
  <c r="Y6" i="2" s="1"/>
  <c r="AD6" i="2" s="1"/>
  <c r="AI6" i="2" s="1"/>
  <c r="AN6" i="2" s="1"/>
  <c r="AS6" i="2" s="1"/>
  <c r="AX6" i="2" s="1"/>
  <c r="BH6" i="2" s="1"/>
  <c r="BM6" i="2" s="1"/>
  <c r="D6" i="2"/>
  <c r="I6" i="2" s="1"/>
  <c r="N6" i="2" s="1"/>
  <c r="S6" i="2" s="1"/>
  <c r="X6" i="2" s="1"/>
  <c r="AC6" i="2" s="1"/>
  <c r="J5" i="2"/>
  <c r="O5" i="2" s="1"/>
  <c r="T5" i="2" s="1"/>
  <c r="Y5" i="2" s="1"/>
  <c r="AD5" i="2" s="1"/>
  <c r="AI5" i="2" s="1"/>
  <c r="AN5" i="2" s="1"/>
  <c r="AS5" i="2" s="1"/>
  <c r="AX5" i="2" s="1"/>
  <c r="BH5" i="2" s="1"/>
  <c r="BM5" i="2" s="1"/>
  <c r="D5" i="2"/>
  <c r="I5" i="2" s="1"/>
  <c r="J4" i="2"/>
  <c r="I4" i="2"/>
  <c r="N4" i="2" s="1"/>
  <c r="S4" i="2" s="1"/>
  <c r="X4" i="2" s="1"/>
  <c r="DO23" i="4" l="1"/>
  <c r="DJ15" i="4"/>
  <c r="DE24" i="4"/>
  <c r="DE20" i="4"/>
  <c r="DE21" i="4" s="1"/>
  <c r="DJ11" i="4"/>
  <c r="DO4" i="4"/>
  <c r="DO11" i="4" s="1"/>
  <c r="BR21" i="3"/>
  <c r="BW11" i="3"/>
  <c r="CB4" i="3"/>
  <c r="BQ13" i="3"/>
  <c r="BL20" i="3"/>
  <c r="BV4" i="3"/>
  <c r="BQ11" i="3"/>
  <c r="BL21" i="3"/>
  <c r="CB13" i="3"/>
  <c r="BW20" i="3"/>
  <c r="BV11" i="2"/>
  <c r="BQ12" i="2"/>
  <c r="DY15" i="2"/>
  <c r="ED15" i="2" s="1"/>
  <c r="EI15" i="2" s="1"/>
  <c r="N20" i="2"/>
  <c r="S20" i="2" s="1"/>
  <c r="X20" i="2" s="1"/>
  <c r="AC20" i="2" s="1"/>
  <c r="AH20" i="2" s="1"/>
  <c r="AM20" i="2" s="1"/>
  <c r="AR20" i="2" s="1"/>
  <c r="AW20" i="2" s="1"/>
  <c r="BB20" i="2" s="1"/>
  <c r="BG20" i="2" s="1"/>
  <c r="BL20" i="2" s="1"/>
  <c r="BQ20" i="2" s="1"/>
  <c r="BV20" i="2" s="1"/>
  <c r="CA20" i="2" s="1"/>
  <c r="CF20" i="2" s="1"/>
  <c r="CK20" i="2" s="1"/>
  <c r="CP20" i="2" s="1"/>
  <c r="CU20" i="2" s="1"/>
  <c r="CZ20" i="2" s="1"/>
  <c r="DE20" i="2" s="1"/>
  <c r="DJ20" i="2" s="1"/>
  <c r="DO20" i="2" s="1"/>
  <c r="DT20" i="2" s="1"/>
  <c r="ED20" i="2" s="1"/>
  <c r="EI20" i="2" s="1"/>
  <c r="O18" i="2"/>
  <c r="T18" i="2" s="1"/>
  <c r="Y18" i="2" s="1"/>
  <c r="AD18" i="2" s="1"/>
  <c r="AI18" i="2" s="1"/>
  <c r="AS18" i="2" s="1"/>
  <c r="AX18" i="2" s="1"/>
  <c r="BH18" i="2" s="1"/>
  <c r="BM18" i="2" s="1"/>
  <c r="O17" i="2"/>
  <c r="T17" i="2" s="1"/>
  <c r="Y17" i="2" s="1"/>
  <c r="AD17" i="2" s="1"/>
  <c r="AI17" i="2" s="1"/>
  <c r="AS17" i="2" s="1"/>
  <c r="AX17" i="2" s="1"/>
  <c r="BH17" i="2" s="1"/>
  <c r="BW8" i="2"/>
  <c r="BR12" i="2"/>
  <c r="BR22" i="2" s="1"/>
  <c r="BM14" i="2"/>
  <c r="BG5" i="2"/>
  <c r="O14" i="2"/>
  <c r="T14" i="2" s="1"/>
  <c r="BL19" i="2"/>
  <c r="BQ19" i="2" s="1"/>
  <c r="BV19" i="2" s="1"/>
  <c r="CA19" i="2" s="1"/>
  <c r="CF19" i="2" s="1"/>
  <c r="CK19" i="2" s="1"/>
  <c r="CP19" i="2" s="1"/>
  <c r="CU19" i="2" s="1"/>
  <c r="CZ19" i="2" s="1"/>
  <c r="DE19" i="2" s="1"/>
  <c r="DJ19" i="2" s="1"/>
  <c r="DO19" i="2" s="1"/>
  <c r="DT19" i="2" s="1"/>
  <c r="ED19" i="2" s="1"/>
  <c r="EI19" i="2" s="1"/>
  <c r="AC4" i="2"/>
  <c r="AH4" i="2" s="1"/>
  <c r="M22" i="2"/>
  <c r="R22" i="2"/>
  <c r="K22" i="2"/>
  <c r="L22" i="2"/>
  <c r="G22" i="2"/>
  <c r="F21" i="2"/>
  <c r="F22" i="2" s="1"/>
  <c r="H22" i="2"/>
  <c r="J12" i="2"/>
  <c r="D21" i="2"/>
  <c r="E22" i="2"/>
  <c r="I12" i="2"/>
  <c r="N5" i="2"/>
  <c r="S5" i="2" s="1"/>
  <c r="D12" i="2"/>
  <c r="I21" i="2"/>
  <c r="O4" i="2"/>
  <c r="T4" i="2" s="1"/>
  <c r="J21" i="2"/>
  <c r="P22" i="2"/>
  <c r="Q22" i="2"/>
  <c r="DO15" i="4" l="1"/>
  <c r="DJ24" i="4"/>
  <c r="DJ20" i="4"/>
  <c r="DJ21" i="4" s="1"/>
  <c r="CG13" i="3"/>
  <c r="CB20" i="3"/>
  <c r="CA4" i="3"/>
  <c r="BV11" i="3"/>
  <c r="BV13" i="3"/>
  <c r="BQ20" i="3"/>
  <c r="BQ21" i="3" s="1"/>
  <c r="CB11" i="3"/>
  <c r="CG4" i="3"/>
  <c r="BW21" i="3"/>
  <c r="CA11" i="2"/>
  <c r="BV12" i="2"/>
  <c r="BB21" i="2"/>
  <c r="AH12" i="2"/>
  <c r="AM4" i="2"/>
  <c r="CB8" i="2"/>
  <c r="CB12" i="2" s="1"/>
  <c r="CB22" i="2" s="1"/>
  <c r="BW12" i="2"/>
  <c r="BW22" i="2" s="1"/>
  <c r="BL14" i="2"/>
  <c r="BG21" i="2"/>
  <c r="BL5" i="2"/>
  <c r="BL12" i="2" s="1"/>
  <c r="BG12" i="2"/>
  <c r="AS16" i="2"/>
  <c r="Y14" i="2"/>
  <c r="T21" i="2"/>
  <c r="O21" i="2"/>
  <c r="S21" i="2"/>
  <c r="S12" i="2"/>
  <c r="X5" i="2"/>
  <c r="T12" i="2"/>
  <c r="Y4" i="2"/>
  <c r="J22" i="2"/>
  <c r="I22" i="2"/>
  <c r="N21" i="2"/>
  <c r="O12" i="2"/>
  <c r="N12" i="2"/>
  <c r="D22" i="2"/>
  <c r="DO24" i="4" l="1"/>
  <c r="DO20" i="4"/>
  <c r="DO21" i="4" s="1"/>
  <c r="CB21" i="3"/>
  <c r="CA13" i="3"/>
  <c r="BV20" i="3"/>
  <c r="BV21" i="3" s="1"/>
  <c r="CG11" i="3"/>
  <c r="CL4" i="3"/>
  <c r="CA11" i="3"/>
  <c r="CF4" i="3"/>
  <c r="CL13" i="3"/>
  <c r="CG20" i="3"/>
  <c r="CF11" i="2"/>
  <c r="CA12" i="2"/>
  <c r="BL21" i="2"/>
  <c r="BL22" i="2" s="1"/>
  <c r="BQ14" i="2"/>
  <c r="AR4" i="2"/>
  <c r="AM12" i="2"/>
  <c r="O22" i="2"/>
  <c r="BG22" i="2"/>
  <c r="BH4" i="2"/>
  <c r="BC12" i="2"/>
  <c r="AX16" i="2"/>
  <c r="Y21" i="2"/>
  <c r="AD14" i="2"/>
  <c r="T22" i="2"/>
  <c r="S22" i="2"/>
  <c r="X21" i="2"/>
  <c r="AC5" i="2"/>
  <c r="AC12" i="2" s="1"/>
  <c r="X12" i="2"/>
  <c r="AD4" i="2"/>
  <c r="Y12" i="2"/>
  <c r="N22" i="2"/>
  <c r="CF11" i="3" l="1"/>
  <c r="CK4" i="3"/>
  <c r="CQ13" i="3"/>
  <c r="CL20" i="3"/>
  <c r="CQ4" i="3"/>
  <c r="CL11" i="3"/>
  <c r="CG21" i="3"/>
  <c r="CA20" i="3"/>
  <c r="CA21" i="3" s="1"/>
  <c r="CF13" i="3"/>
  <c r="CK11" i="2"/>
  <c r="CF12" i="2"/>
  <c r="BV14" i="2"/>
  <c r="BQ21" i="2"/>
  <c r="BQ22" i="2" s="1"/>
  <c r="AW4" i="2"/>
  <c r="AR12" i="2"/>
  <c r="AD21" i="2"/>
  <c r="AI14" i="2"/>
  <c r="AD12" i="2"/>
  <c r="AI4" i="2"/>
  <c r="AC21" i="2"/>
  <c r="AC22" i="2" s="1"/>
  <c r="BM4" i="2"/>
  <c r="BM12" i="2" s="1"/>
  <c r="BH12" i="2"/>
  <c r="Y22" i="2"/>
  <c r="X22" i="2"/>
  <c r="DX21" i="1"/>
  <c r="DW21" i="1"/>
  <c r="DU20" i="1"/>
  <c r="DT20" i="1"/>
  <c r="DT19" i="1"/>
  <c r="DT18" i="1"/>
  <c r="DT17" i="1"/>
  <c r="DU16" i="1"/>
  <c r="DT16" i="1"/>
  <c r="DU15" i="1"/>
  <c r="DT15" i="1"/>
  <c r="DT21" i="1" s="1"/>
  <c r="DV21" i="1"/>
  <c r="DT14" i="1"/>
  <c r="DX12" i="1"/>
  <c r="DW12" i="1"/>
  <c r="DV12" i="1"/>
  <c r="DT11" i="1"/>
  <c r="DT10" i="1"/>
  <c r="DU9" i="1"/>
  <c r="DT9" i="1"/>
  <c r="DT8" i="1"/>
  <c r="DU7" i="1"/>
  <c r="DT7" i="1"/>
  <c r="DT6" i="1"/>
  <c r="DT5" i="1"/>
  <c r="DT4" i="1"/>
  <c r="DT12" i="1" s="1"/>
  <c r="DQ21" i="1"/>
  <c r="DQ14" i="1"/>
  <c r="DS21" i="1"/>
  <c r="DR21" i="1"/>
  <c r="DP20" i="1"/>
  <c r="DO19" i="1"/>
  <c r="DO18" i="1"/>
  <c r="DP17" i="1"/>
  <c r="DU17" i="1" s="1"/>
  <c r="DS12" i="1"/>
  <c r="DS22" i="1" s="1"/>
  <c r="DR12" i="1"/>
  <c r="DQ12" i="1"/>
  <c r="DP10" i="1"/>
  <c r="DU10" i="1" s="1"/>
  <c r="DO10" i="1"/>
  <c r="DP9" i="1"/>
  <c r="DO9" i="1"/>
  <c r="DP7" i="1"/>
  <c r="DN21" i="1"/>
  <c r="DM21" i="1"/>
  <c r="DL21" i="1"/>
  <c r="DK20" i="1"/>
  <c r="DJ20" i="1"/>
  <c r="DO20" i="1" s="1"/>
  <c r="DK19" i="1"/>
  <c r="DP19" i="1" s="1"/>
  <c r="DU19" i="1" s="1"/>
  <c r="DJ19" i="1"/>
  <c r="DK18" i="1"/>
  <c r="DP18" i="1" s="1"/>
  <c r="DU18" i="1" s="1"/>
  <c r="DJ18" i="1"/>
  <c r="DK17" i="1"/>
  <c r="DJ17" i="1"/>
  <c r="DO17" i="1" s="1"/>
  <c r="DK16" i="1"/>
  <c r="DP16" i="1" s="1"/>
  <c r="DJ16" i="1"/>
  <c r="DO16" i="1" s="1"/>
  <c r="DK15" i="1"/>
  <c r="DP15" i="1" s="1"/>
  <c r="DJ15" i="1"/>
  <c r="DO15" i="1" s="1"/>
  <c r="DK14" i="1"/>
  <c r="DJ14" i="1"/>
  <c r="DO14" i="1" s="1"/>
  <c r="DN12" i="1"/>
  <c r="DM12" i="1"/>
  <c r="DL12" i="1"/>
  <c r="DK11" i="1"/>
  <c r="DP11" i="1" s="1"/>
  <c r="DU11" i="1" s="1"/>
  <c r="DJ11" i="1"/>
  <c r="DO11" i="1" s="1"/>
  <c r="DK10" i="1"/>
  <c r="DJ10" i="1"/>
  <c r="DK9" i="1"/>
  <c r="DJ9" i="1"/>
  <c r="DK8" i="1"/>
  <c r="DP8" i="1" s="1"/>
  <c r="DU8" i="1" s="1"/>
  <c r="DJ8" i="1"/>
  <c r="DO8" i="1" s="1"/>
  <c r="DK7" i="1"/>
  <c r="DJ7" i="1"/>
  <c r="DO7" i="1" s="1"/>
  <c r="DJ6" i="1"/>
  <c r="DO6" i="1" s="1"/>
  <c r="DK5" i="1"/>
  <c r="DP5" i="1" s="1"/>
  <c r="DU5" i="1" s="1"/>
  <c r="DJ5" i="1"/>
  <c r="DO5" i="1" s="1"/>
  <c r="DK4" i="1"/>
  <c r="DJ4" i="1"/>
  <c r="DO4" i="1" s="1"/>
  <c r="CW15" i="1"/>
  <c r="CW14" i="1"/>
  <c r="CL21" i="3" l="1"/>
  <c r="CK13" i="3"/>
  <c r="CF20" i="3"/>
  <c r="CQ11" i="3"/>
  <c r="CK11" i="3"/>
  <c r="CP4" i="3"/>
  <c r="CQ20" i="3"/>
  <c r="CF21" i="3"/>
  <c r="CP11" i="2"/>
  <c r="CK12" i="2"/>
  <c r="CA14" i="2"/>
  <c r="BV21" i="2"/>
  <c r="BV22" i="2" s="1"/>
  <c r="AD22" i="2"/>
  <c r="BB4" i="2"/>
  <c r="AW12" i="2"/>
  <c r="AN14" i="2"/>
  <c r="AI21" i="2"/>
  <c r="AN4" i="2"/>
  <c r="AI12" i="2"/>
  <c r="AH21" i="2"/>
  <c r="AH22" i="2" s="1"/>
  <c r="BH16" i="2"/>
  <c r="BC21" i="2"/>
  <c r="BC22" i="2" s="1"/>
  <c r="DL22" i="1"/>
  <c r="DV22" i="1"/>
  <c r="DW22" i="1"/>
  <c r="DX22" i="1"/>
  <c r="DT22" i="1"/>
  <c r="DQ22" i="1"/>
  <c r="DJ21" i="1"/>
  <c r="DO12" i="1"/>
  <c r="DJ12" i="1"/>
  <c r="DK21" i="1"/>
  <c r="DP14" i="1"/>
  <c r="DP4" i="1"/>
  <c r="DU4" i="1" s="1"/>
  <c r="DR22" i="1"/>
  <c r="DN22" i="1"/>
  <c r="DJ22" i="1"/>
  <c r="DO21" i="1"/>
  <c r="DM22" i="1"/>
  <c r="DD21" i="1"/>
  <c r="DI21" i="1"/>
  <c r="DH21" i="1"/>
  <c r="DG21" i="1"/>
  <c r="DE17" i="1"/>
  <c r="DI12" i="1"/>
  <c r="DH12" i="1"/>
  <c r="DH22" i="1" s="1"/>
  <c r="DG12" i="1"/>
  <c r="DE10" i="1"/>
  <c r="CR15" i="1"/>
  <c r="CR14" i="1"/>
  <c r="CR21" i="1" s="1"/>
  <c r="CS21" i="1"/>
  <c r="CH6" i="1"/>
  <c r="DC21" i="1"/>
  <c r="DB21" i="1"/>
  <c r="CZ17" i="1"/>
  <c r="DA16" i="1"/>
  <c r="DF16" i="1" s="1"/>
  <c r="DD12" i="1"/>
  <c r="DC12" i="1"/>
  <c r="DB12" i="1"/>
  <c r="CZ10" i="1"/>
  <c r="CM15" i="1"/>
  <c r="CM14" i="1"/>
  <c r="CQ14" i="1" s="1"/>
  <c r="CQ18" i="1"/>
  <c r="CM16" i="1"/>
  <c r="CQ15" i="1"/>
  <c r="CY21" i="1"/>
  <c r="CX21" i="1"/>
  <c r="CW21" i="1"/>
  <c r="CY12" i="1"/>
  <c r="CX12" i="1"/>
  <c r="CW12" i="1"/>
  <c r="CV9" i="1"/>
  <c r="DA9" i="1" s="1"/>
  <c r="DF9" i="1" s="1"/>
  <c r="CV5" i="1"/>
  <c r="DA5" i="1" s="1"/>
  <c r="DF5" i="1" s="1"/>
  <c r="CT21" i="1"/>
  <c r="CQ20" i="1"/>
  <c r="CQ19" i="1"/>
  <c r="CP19" i="1"/>
  <c r="CP18" i="1"/>
  <c r="CQ17" i="1"/>
  <c r="CV17" i="1" s="1"/>
  <c r="DA17" i="1" s="1"/>
  <c r="DF17" i="1" s="1"/>
  <c r="CP17" i="1"/>
  <c r="CU17" i="1" s="1"/>
  <c r="CQ16" i="1"/>
  <c r="CV16" i="1" s="1"/>
  <c r="CP15" i="1"/>
  <c r="CU15" i="1" s="1"/>
  <c r="CZ15" i="1" s="1"/>
  <c r="DE15" i="1" s="1"/>
  <c r="CT12" i="1"/>
  <c r="CS12" i="1"/>
  <c r="CS22" i="1" s="1"/>
  <c r="CR12" i="1"/>
  <c r="CP10" i="1"/>
  <c r="CU10" i="1" s="1"/>
  <c r="CQ9" i="1"/>
  <c r="CQ8" i="1"/>
  <c r="CV8" i="1" s="1"/>
  <c r="DA8" i="1" s="1"/>
  <c r="DF8" i="1" s="1"/>
  <c r="CP8" i="1"/>
  <c r="CU8" i="1" s="1"/>
  <c r="CZ8" i="1" s="1"/>
  <c r="DE8" i="1" s="1"/>
  <c r="CQ5" i="1"/>
  <c r="DA13" i="3" l="1"/>
  <c r="CV20" i="3"/>
  <c r="CP11" i="3"/>
  <c r="CU4" i="3"/>
  <c r="CV11" i="3"/>
  <c r="CQ21" i="3"/>
  <c r="CP13" i="3"/>
  <c r="CK20" i="3"/>
  <c r="CK21" i="3" s="1"/>
  <c r="CU11" i="2"/>
  <c r="CU12" i="2" s="1"/>
  <c r="CP12" i="2"/>
  <c r="CF14" i="2"/>
  <c r="CA21" i="2"/>
  <c r="CA22" i="2" s="1"/>
  <c r="BL4" i="2"/>
  <c r="BB12" i="2"/>
  <c r="BB22" i="2" s="1"/>
  <c r="AS14" i="2"/>
  <c r="AN21" i="2"/>
  <c r="AI22" i="2"/>
  <c r="AN12" i="2"/>
  <c r="AS4" i="2"/>
  <c r="AM21" i="2"/>
  <c r="AM22" i="2" s="1"/>
  <c r="BM16" i="2"/>
  <c r="BM21" i="2" s="1"/>
  <c r="BM22" i="2" s="1"/>
  <c r="BH21" i="2"/>
  <c r="BH22" i="2" s="1"/>
  <c r="DP21" i="1"/>
  <c r="DU14" i="1"/>
  <c r="DU21" i="1" s="1"/>
  <c r="DO22" i="1"/>
  <c r="DG22" i="1"/>
  <c r="CW22" i="1"/>
  <c r="DI22" i="1"/>
  <c r="CX22" i="1"/>
  <c r="CV15" i="1"/>
  <c r="DA15" i="1" s="1"/>
  <c r="DF15" i="1" s="1"/>
  <c r="CV14" i="1"/>
  <c r="DA14" i="1" s="1"/>
  <c r="DF14" i="1" s="1"/>
  <c r="DB22" i="1"/>
  <c r="DC22" i="1"/>
  <c r="DD22" i="1"/>
  <c r="CQ21" i="1"/>
  <c r="CY22" i="1"/>
  <c r="CR22" i="1"/>
  <c r="CT22" i="1"/>
  <c r="DF13" i="3" l="1"/>
  <c r="DA20" i="3"/>
  <c r="CU13" i="3"/>
  <c r="CP20" i="3"/>
  <c r="CP21" i="3" s="1"/>
  <c r="DA11" i="3"/>
  <c r="DF4" i="3"/>
  <c r="CV21" i="3"/>
  <c r="CU11" i="3"/>
  <c r="CZ4" i="3"/>
  <c r="CK14" i="2"/>
  <c r="CF21" i="2"/>
  <c r="CF22" i="2" s="1"/>
  <c r="AN22" i="2"/>
  <c r="AX14" i="2"/>
  <c r="AX21" i="2" s="1"/>
  <c r="AS21" i="2"/>
  <c r="AS12" i="2"/>
  <c r="AX4" i="2"/>
  <c r="AX12" i="2" s="1"/>
  <c r="AR21" i="2"/>
  <c r="AR22" i="2" s="1"/>
  <c r="AW21" i="2"/>
  <c r="AW22" i="2" s="1"/>
  <c r="CO21" i="1"/>
  <c r="CN21" i="1"/>
  <c r="CM21" i="1"/>
  <c r="CL20" i="1"/>
  <c r="CL19" i="1"/>
  <c r="CK19" i="1"/>
  <c r="CL18" i="1"/>
  <c r="CK18" i="1"/>
  <c r="CL17" i="1"/>
  <c r="CK17" i="1"/>
  <c r="CL16" i="1"/>
  <c r="CL15" i="1"/>
  <c r="CK15" i="1"/>
  <c r="CL14" i="1"/>
  <c r="CO12" i="1"/>
  <c r="CN12" i="1"/>
  <c r="CM12" i="1"/>
  <c r="CL11" i="1"/>
  <c r="CQ11" i="1" s="1"/>
  <c r="CV11" i="1" s="1"/>
  <c r="DA11" i="1" s="1"/>
  <c r="DF11" i="1" s="1"/>
  <c r="CL10" i="1"/>
  <c r="CQ10" i="1" s="1"/>
  <c r="CV10" i="1" s="1"/>
  <c r="DA10" i="1" s="1"/>
  <c r="DF10" i="1" s="1"/>
  <c r="CK10" i="1"/>
  <c r="CL9" i="1"/>
  <c r="CL8" i="1"/>
  <c r="CK8" i="1"/>
  <c r="CL7" i="1"/>
  <c r="CQ7" i="1" s="1"/>
  <c r="CV7" i="1" s="1"/>
  <c r="DA7" i="1" s="1"/>
  <c r="DF7" i="1" s="1"/>
  <c r="CL6" i="1"/>
  <c r="CQ6" i="1" s="1"/>
  <c r="CV6" i="1" s="1"/>
  <c r="DA6" i="1" s="1"/>
  <c r="DF6" i="1" s="1"/>
  <c r="DK6" i="1" s="1"/>
  <c r="CL5" i="1"/>
  <c r="CL4" i="1"/>
  <c r="CQ4" i="1" s="1"/>
  <c r="DF20" i="3" l="1"/>
  <c r="DK13" i="3"/>
  <c r="DF11" i="3"/>
  <c r="DF21" i="3" s="1"/>
  <c r="DK4" i="3"/>
  <c r="DE4" i="3"/>
  <c r="CZ11" i="3"/>
  <c r="DA21" i="3"/>
  <c r="CU20" i="3"/>
  <c r="CU21" i="3" s="1"/>
  <c r="CP14" i="2"/>
  <c r="CK21" i="2"/>
  <c r="CK22" i="2" s="1"/>
  <c r="AS22" i="2"/>
  <c r="AX22" i="2"/>
  <c r="DP6" i="1"/>
  <c r="DK12" i="1"/>
  <c r="DK22" i="1" s="1"/>
  <c r="CV4" i="1"/>
  <c r="CQ12" i="1"/>
  <c r="CQ22" i="1" s="1"/>
  <c r="CM22" i="1"/>
  <c r="CL12" i="1"/>
  <c r="CL21" i="1"/>
  <c r="CO22" i="1"/>
  <c r="CN22" i="1"/>
  <c r="DE11" i="3" l="1"/>
  <c r="DJ4" i="3"/>
  <c r="DK20" i="3"/>
  <c r="DP13" i="3"/>
  <c r="DK11" i="3"/>
  <c r="DP4" i="3"/>
  <c r="DE13" i="3"/>
  <c r="CZ20" i="3"/>
  <c r="CZ21" i="3" s="1"/>
  <c r="CU14" i="2"/>
  <c r="CP21" i="2"/>
  <c r="CP22" i="2" s="1"/>
  <c r="DP12" i="1"/>
  <c r="DP22" i="1" s="1"/>
  <c r="DU6" i="1"/>
  <c r="DU12" i="1" s="1"/>
  <c r="DU22" i="1" s="1"/>
  <c r="CV12" i="1"/>
  <c r="DA4" i="1"/>
  <c r="CL22" i="1"/>
  <c r="D20" i="1"/>
  <c r="D19" i="1"/>
  <c r="D18" i="1"/>
  <c r="D17" i="1"/>
  <c r="D16" i="1"/>
  <c r="D15" i="1"/>
  <c r="D14" i="1"/>
  <c r="D11" i="1"/>
  <c r="D10" i="1"/>
  <c r="D9" i="1"/>
  <c r="D8" i="1"/>
  <c r="D7" i="1"/>
  <c r="D6" i="1"/>
  <c r="D5" i="1"/>
  <c r="D4" i="1"/>
  <c r="CJ21" i="1"/>
  <c r="CI21" i="1"/>
  <c r="CH21" i="1"/>
  <c r="CJ12" i="1"/>
  <c r="CI12" i="1"/>
  <c r="CH12" i="1"/>
  <c r="CE21" i="1"/>
  <c r="CD21" i="1"/>
  <c r="CC21" i="1"/>
  <c r="CE12" i="1"/>
  <c r="CD12" i="1"/>
  <c r="CC12" i="1"/>
  <c r="BS6" i="1"/>
  <c r="BS18" i="1"/>
  <c r="BS14" i="1"/>
  <c r="DE20" i="3" l="1"/>
  <c r="DE21" i="3" s="1"/>
  <c r="DJ13" i="3"/>
  <c r="DO4" i="3"/>
  <c r="DJ11" i="3"/>
  <c r="DK21" i="3"/>
  <c r="DU13" i="3"/>
  <c r="DP20" i="3"/>
  <c r="DP11" i="3"/>
  <c r="DU4" i="3"/>
  <c r="CZ14" i="2"/>
  <c r="CU21" i="2"/>
  <c r="CU22" i="2" s="1"/>
  <c r="DA12" i="1"/>
  <c r="DF4" i="1"/>
  <c r="DF12" i="1" s="1"/>
  <c r="CH22" i="1"/>
  <c r="CI22" i="1"/>
  <c r="CJ22" i="1"/>
  <c r="CC22" i="1"/>
  <c r="CD22" i="1"/>
  <c r="CE22" i="1"/>
  <c r="DT4" i="3" l="1"/>
  <c r="DO11" i="3"/>
  <c r="DO13" i="3"/>
  <c r="DJ20" i="3"/>
  <c r="DJ21" i="3" s="1"/>
  <c r="DP21" i="3"/>
  <c r="DZ13" i="3"/>
  <c r="DZ20" i="3" s="1"/>
  <c r="DU20" i="3"/>
  <c r="DU11" i="3"/>
  <c r="DZ4" i="3"/>
  <c r="DZ11" i="3" s="1"/>
  <c r="DE14" i="2"/>
  <c r="CZ21" i="2"/>
  <c r="CZ22" i="2" s="1"/>
  <c r="BN16" i="1"/>
  <c r="BN21" i="1" s="1"/>
  <c r="BN6" i="1"/>
  <c r="BN12" i="1" s="1"/>
  <c r="BZ21" i="1"/>
  <c r="BY21" i="1"/>
  <c r="BX21" i="1"/>
  <c r="BZ12" i="1"/>
  <c r="BY12" i="1"/>
  <c r="BX12" i="1"/>
  <c r="BU21" i="1"/>
  <c r="BT21" i="1"/>
  <c r="BS21" i="1"/>
  <c r="BU12" i="1"/>
  <c r="BT12" i="1"/>
  <c r="BS12" i="1"/>
  <c r="BP21" i="1"/>
  <c r="BO21" i="1"/>
  <c r="BM17" i="1"/>
  <c r="BR17" i="1" s="1"/>
  <c r="BW17" i="1" s="1"/>
  <c r="CB17" i="1" s="1"/>
  <c r="CG17" i="1" s="1"/>
  <c r="BP12" i="1"/>
  <c r="BO12" i="1"/>
  <c r="BI12" i="1"/>
  <c r="BA12" i="1"/>
  <c r="BK21" i="1"/>
  <c r="BJ21" i="1"/>
  <c r="BI21" i="1"/>
  <c r="BK12" i="1"/>
  <c r="BJ12" i="1"/>
  <c r="BF21" i="1"/>
  <c r="BE21" i="1"/>
  <c r="BE22" i="1" s="1"/>
  <c r="BF12" i="1"/>
  <c r="BE12" i="1"/>
  <c r="BD12" i="1"/>
  <c r="BA21" i="1"/>
  <c r="AZ21" i="1"/>
  <c r="AY21" i="1"/>
  <c r="AZ12" i="1"/>
  <c r="AY12" i="1"/>
  <c r="AO16" i="1"/>
  <c r="AO6" i="1"/>
  <c r="J8" i="1"/>
  <c r="DT11" i="3" l="1"/>
  <c r="DY4" i="3"/>
  <c r="DY11" i="3" s="1"/>
  <c r="DT13" i="3"/>
  <c r="DO20" i="3"/>
  <c r="DO21" i="3" s="1"/>
  <c r="DZ21" i="3"/>
  <c r="DU21" i="3"/>
  <c r="DE21" i="2"/>
  <c r="DE22" i="2" s="1"/>
  <c r="DJ14" i="2"/>
  <c r="BT22" i="1"/>
  <c r="BZ22" i="1"/>
  <c r="BS22" i="1"/>
  <c r="BU22" i="1"/>
  <c r="BY22" i="1"/>
  <c r="BX22" i="1"/>
  <c r="BN22" i="1"/>
  <c r="BO22" i="1"/>
  <c r="BP22" i="1"/>
  <c r="BD21" i="1"/>
  <c r="BD22" i="1" s="1"/>
  <c r="BF22" i="1"/>
  <c r="AZ22" i="1"/>
  <c r="BI22" i="1"/>
  <c r="BJ22" i="1"/>
  <c r="BK22" i="1"/>
  <c r="BA22" i="1"/>
  <c r="AY22" i="1"/>
  <c r="AE16" i="1"/>
  <c r="DY13" i="3" l="1"/>
  <c r="DY20" i="3" s="1"/>
  <c r="DY21" i="3" s="1"/>
  <c r="DT20" i="3"/>
  <c r="DT21" i="3" s="1"/>
  <c r="DJ21" i="2"/>
  <c r="DJ22" i="2" s="1"/>
  <c r="DO14" i="2"/>
  <c r="AV21" i="1"/>
  <c r="AU21" i="1"/>
  <c r="AT21" i="1"/>
  <c r="AV12" i="1"/>
  <c r="AU12" i="1"/>
  <c r="AT12" i="1"/>
  <c r="AQ21" i="1"/>
  <c r="AP21" i="1"/>
  <c r="AP22" i="1" s="1"/>
  <c r="AO21" i="1"/>
  <c r="AQ12" i="1"/>
  <c r="AP12" i="1"/>
  <c r="AO12" i="1"/>
  <c r="Z6" i="1"/>
  <c r="U6" i="1"/>
  <c r="AL21" i="1"/>
  <c r="AK21" i="1"/>
  <c r="AJ21" i="1"/>
  <c r="AL12" i="1"/>
  <c r="AK12" i="1"/>
  <c r="AK22" i="1" s="1"/>
  <c r="AJ12" i="1"/>
  <c r="DO21" i="2" l="1"/>
  <c r="DO22" i="2" s="1"/>
  <c r="AT22" i="1"/>
  <c r="AU22" i="1"/>
  <c r="AJ22" i="1"/>
  <c r="AO22" i="1"/>
  <c r="AV22" i="1"/>
  <c r="AQ22" i="1"/>
  <c r="AL22" i="1"/>
  <c r="AG21" i="1"/>
  <c r="AF21" i="1"/>
  <c r="AE21" i="1"/>
  <c r="AC15" i="1"/>
  <c r="AH15" i="1" s="1"/>
  <c r="AM15" i="1" s="1"/>
  <c r="AR15" i="1" s="1"/>
  <c r="AW15" i="1" s="1"/>
  <c r="BB15" i="1" s="1"/>
  <c r="BG15" i="1" s="1"/>
  <c r="AG12" i="1"/>
  <c r="AF12" i="1"/>
  <c r="AE12" i="1"/>
  <c r="V12" i="1"/>
  <c r="U14" i="1"/>
  <c r="U12" i="1"/>
  <c r="U21" i="1"/>
  <c r="P16" i="1"/>
  <c r="P14" i="1"/>
  <c r="P6" i="1"/>
  <c r="AB21" i="1"/>
  <c r="AA21" i="1"/>
  <c r="Z21" i="1"/>
  <c r="AB12" i="1"/>
  <c r="AA12" i="1"/>
  <c r="Z12" i="1"/>
  <c r="W21" i="1"/>
  <c r="V21" i="1"/>
  <c r="S19" i="1"/>
  <c r="X19" i="1" s="1"/>
  <c r="AC19" i="1" s="1"/>
  <c r="AH19" i="1" s="1"/>
  <c r="AM19" i="1" s="1"/>
  <c r="AR19" i="1" s="1"/>
  <c r="AW19" i="1" s="1"/>
  <c r="BB19" i="1" s="1"/>
  <c r="BG19" i="1" s="1"/>
  <c r="BL19" i="1" s="1"/>
  <c r="BQ19" i="1" s="1"/>
  <c r="BV19" i="1" s="1"/>
  <c r="CA19" i="1" s="1"/>
  <c r="CF19" i="1" s="1"/>
  <c r="W12" i="1"/>
  <c r="T9" i="1"/>
  <c r="F14" i="1"/>
  <c r="F21" i="1" s="1"/>
  <c r="R21" i="1"/>
  <c r="Q21" i="1"/>
  <c r="R12" i="1"/>
  <c r="Q12" i="1"/>
  <c r="J20" i="1"/>
  <c r="O20" i="1" s="1"/>
  <c r="T20" i="1" s="1"/>
  <c r="Y20" i="1" s="1"/>
  <c r="AD20" i="1" s="1"/>
  <c r="AI20" i="1" s="1"/>
  <c r="AN20" i="1" s="1"/>
  <c r="AS20" i="1" s="1"/>
  <c r="AX20" i="1" s="1"/>
  <c r="BC20" i="1" s="1"/>
  <c r="BH20" i="1" s="1"/>
  <c r="BM20" i="1" s="1"/>
  <c r="BR20" i="1" s="1"/>
  <c r="BW20" i="1" s="1"/>
  <c r="CB20" i="1" s="1"/>
  <c r="CG20" i="1" s="1"/>
  <c r="I20" i="1"/>
  <c r="N20" i="1" s="1"/>
  <c r="S20" i="1" s="1"/>
  <c r="X20" i="1" s="1"/>
  <c r="AC20" i="1" s="1"/>
  <c r="AH20" i="1" s="1"/>
  <c r="AM20" i="1" s="1"/>
  <c r="AR20" i="1" s="1"/>
  <c r="AW20" i="1" s="1"/>
  <c r="BB20" i="1" s="1"/>
  <c r="BG20" i="1" s="1"/>
  <c r="BL20" i="1" s="1"/>
  <c r="BQ20" i="1" s="1"/>
  <c r="BV20" i="1" s="1"/>
  <c r="CA20" i="1" s="1"/>
  <c r="CF20" i="1" s="1"/>
  <c r="CK20" i="1" s="1"/>
  <c r="CP20" i="1" s="1"/>
  <c r="J19" i="1"/>
  <c r="O19" i="1" s="1"/>
  <c r="T19" i="1" s="1"/>
  <c r="Y19" i="1" s="1"/>
  <c r="AD19" i="1" s="1"/>
  <c r="AI19" i="1" s="1"/>
  <c r="AN19" i="1" s="1"/>
  <c r="AS19" i="1" s="1"/>
  <c r="AX19" i="1" s="1"/>
  <c r="BC19" i="1" s="1"/>
  <c r="BH19" i="1" s="1"/>
  <c r="BM19" i="1" s="1"/>
  <c r="BR19" i="1" s="1"/>
  <c r="BW19" i="1" s="1"/>
  <c r="CB19" i="1" s="1"/>
  <c r="CG19" i="1" s="1"/>
  <c r="I19" i="1"/>
  <c r="N19" i="1" s="1"/>
  <c r="J18" i="1"/>
  <c r="O18" i="1" s="1"/>
  <c r="T18" i="1" s="1"/>
  <c r="Y18" i="1" s="1"/>
  <c r="AI18" i="1" s="1"/>
  <c r="AN18" i="1" s="1"/>
  <c r="AS18" i="1" s="1"/>
  <c r="AX18" i="1" s="1"/>
  <c r="BC18" i="1" s="1"/>
  <c r="BH18" i="1" s="1"/>
  <c r="BM18" i="1" s="1"/>
  <c r="BR18" i="1" s="1"/>
  <c r="BW18" i="1" s="1"/>
  <c r="CB18" i="1" s="1"/>
  <c r="CG18" i="1" s="1"/>
  <c r="I18" i="1"/>
  <c r="N18" i="1" s="1"/>
  <c r="S18" i="1" s="1"/>
  <c r="X18" i="1" s="1"/>
  <c r="AC18" i="1" s="1"/>
  <c r="AH18" i="1" s="1"/>
  <c r="AM18" i="1" s="1"/>
  <c r="AR18" i="1" s="1"/>
  <c r="AW18" i="1" s="1"/>
  <c r="BB18" i="1" s="1"/>
  <c r="BG18" i="1" s="1"/>
  <c r="BL18" i="1" s="1"/>
  <c r="BQ18" i="1" s="1"/>
  <c r="BV18" i="1" s="1"/>
  <c r="CA18" i="1" s="1"/>
  <c r="CF18" i="1" s="1"/>
  <c r="J17" i="1"/>
  <c r="O17" i="1" s="1"/>
  <c r="T17" i="1" s="1"/>
  <c r="Y17" i="1" s="1"/>
  <c r="AD17" i="1" s="1"/>
  <c r="AI17" i="1" s="1"/>
  <c r="AN17" i="1" s="1"/>
  <c r="AS17" i="1" s="1"/>
  <c r="AX17" i="1" s="1"/>
  <c r="BC17" i="1" s="1"/>
  <c r="I17" i="1"/>
  <c r="N17" i="1" s="1"/>
  <c r="S17" i="1" s="1"/>
  <c r="X17" i="1" s="1"/>
  <c r="AC17" i="1" s="1"/>
  <c r="AH17" i="1" s="1"/>
  <c r="AM17" i="1" s="1"/>
  <c r="AR17" i="1" s="1"/>
  <c r="AW17" i="1" s="1"/>
  <c r="BB17" i="1" s="1"/>
  <c r="BG17" i="1" s="1"/>
  <c r="BL17" i="1" s="1"/>
  <c r="BQ17" i="1" s="1"/>
  <c r="BV17" i="1" s="1"/>
  <c r="CA17" i="1" s="1"/>
  <c r="CF17" i="1" s="1"/>
  <c r="J16" i="1"/>
  <c r="O16" i="1" s="1"/>
  <c r="I16" i="1"/>
  <c r="N16" i="1" s="1"/>
  <c r="S16" i="1" s="1"/>
  <c r="X16" i="1" s="1"/>
  <c r="AC16" i="1" s="1"/>
  <c r="AH16" i="1" s="1"/>
  <c r="AM16" i="1" s="1"/>
  <c r="AR16" i="1" s="1"/>
  <c r="AW16" i="1" s="1"/>
  <c r="BB16" i="1" s="1"/>
  <c r="BG16" i="1" s="1"/>
  <c r="BL16" i="1" s="1"/>
  <c r="BQ16" i="1" s="1"/>
  <c r="BV16" i="1" s="1"/>
  <c r="CA16" i="1" s="1"/>
  <c r="CF16" i="1" s="1"/>
  <c r="CK16" i="1" s="1"/>
  <c r="CP16" i="1" s="1"/>
  <c r="CU16" i="1" s="1"/>
  <c r="CZ16" i="1" s="1"/>
  <c r="DE16" i="1" s="1"/>
  <c r="J15" i="1"/>
  <c r="O15" i="1" s="1"/>
  <c r="T15" i="1" s="1"/>
  <c r="Y15" i="1" s="1"/>
  <c r="AD15" i="1" s="1"/>
  <c r="AI15" i="1" s="1"/>
  <c r="AN15" i="1" s="1"/>
  <c r="AS15" i="1" s="1"/>
  <c r="AX15" i="1" s="1"/>
  <c r="BC15" i="1" s="1"/>
  <c r="BH15" i="1" s="1"/>
  <c r="BM15" i="1" s="1"/>
  <c r="I15" i="1"/>
  <c r="N15" i="1" s="1"/>
  <c r="S15" i="1" s="1"/>
  <c r="X15" i="1" s="1"/>
  <c r="I14" i="1"/>
  <c r="N14" i="1" s="1"/>
  <c r="S14" i="1" s="1"/>
  <c r="X14" i="1" s="1"/>
  <c r="AC14" i="1" s="1"/>
  <c r="AH14" i="1" s="1"/>
  <c r="AM14" i="1" s="1"/>
  <c r="AR14" i="1" s="1"/>
  <c r="AW14" i="1" s="1"/>
  <c r="J11" i="1"/>
  <c r="O11" i="1" s="1"/>
  <c r="T11" i="1" s="1"/>
  <c r="Y11" i="1" s="1"/>
  <c r="AD11" i="1" s="1"/>
  <c r="AI11" i="1" s="1"/>
  <c r="AN11" i="1" s="1"/>
  <c r="AS11" i="1" s="1"/>
  <c r="AX11" i="1" s="1"/>
  <c r="BC11" i="1" s="1"/>
  <c r="BH11" i="1" s="1"/>
  <c r="BM11" i="1" s="1"/>
  <c r="J10" i="1"/>
  <c r="O10" i="1" s="1"/>
  <c r="T10" i="1" s="1"/>
  <c r="Y10" i="1" s="1"/>
  <c r="AD10" i="1" s="1"/>
  <c r="AI10" i="1" s="1"/>
  <c r="AN10" i="1" s="1"/>
  <c r="AS10" i="1" s="1"/>
  <c r="AX10" i="1" s="1"/>
  <c r="BC10" i="1" s="1"/>
  <c r="BH10" i="1" s="1"/>
  <c r="BM10" i="1" s="1"/>
  <c r="J9" i="1"/>
  <c r="O8" i="1"/>
  <c r="T8" i="1" s="1"/>
  <c r="J7" i="1"/>
  <c r="O7" i="1" s="1"/>
  <c r="T7" i="1" s="1"/>
  <c r="J6" i="1"/>
  <c r="O6" i="1" s="1"/>
  <c r="J5" i="1"/>
  <c r="O5" i="1" s="1"/>
  <c r="T5" i="1" s="1"/>
  <c r="Y5" i="1" s="1"/>
  <c r="AD5" i="1" s="1"/>
  <c r="AI5" i="1" s="1"/>
  <c r="AN5" i="1" s="1"/>
  <c r="AS5" i="1" s="1"/>
  <c r="AX5" i="1" s="1"/>
  <c r="BC5" i="1" s="1"/>
  <c r="BH5" i="1" s="1"/>
  <c r="BM5" i="1" s="1"/>
  <c r="BR5" i="1" s="1"/>
  <c r="BW5" i="1" s="1"/>
  <c r="CB5" i="1" s="1"/>
  <c r="CG5" i="1" s="1"/>
  <c r="J4" i="1"/>
  <c r="O4" i="1" s="1"/>
  <c r="I11" i="1"/>
  <c r="N11" i="1" s="1"/>
  <c r="S11" i="1" s="1"/>
  <c r="I10" i="1"/>
  <c r="N10" i="1" s="1"/>
  <c r="S10" i="1" s="1"/>
  <c r="I9" i="1"/>
  <c r="N9" i="1" s="1"/>
  <c r="S9" i="1" s="1"/>
  <c r="I8" i="1"/>
  <c r="N8" i="1" s="1"/>
  <c r="S8" i="1" s="1"/>
  <c r="I7" i="1"/>
  <c r="N7" i="1" s="1"/>
  <c r="S7" i="1" s="1"/>
  <c r="I6" i="1"/>
  <c r="N6" i="1" s="1"/>
  <c r="S6" i="1" s="1"/>
  <c r="X6" i="1" s="1"/>
  <c r="AC6" i="1" s="1"/>
  <c r="AH6" i="1" s="1"/>
  <c r="AM6" i="1" s="1"/>
  <c r="AR6" i="1" s="1"/>
  <c r="AW6" i="1" s="1"/>
  <c r="I5" i="1"/>
  <c r="N5" i="1" s="1"/>
  <c r="S5" i="1" s="1"/>
  <c r="X5" i="1" s="1"/>
  <c r="AC5" i="1" s="1"/>
  <c r="AH5" i="1" s="1"/>
  <c r="AM5" i="1" s="1"/>
  <c r="AR5" i="1" s="1"/>
  <c r="AW5" i="1" s="1"/>
  <c r="BB5" i="1" s="1"/>
  <c r="BG5" i="1" s="1"/>
  <c r="BL5" i="1" s="1"/>
  <c r="BQ5" i="1" s="1"/>
  <c r="BV5" i="1" s="1"/>
  <c r="CA5" i="1" s="1"/>
  <c r="CF5" i="1" s="1"/>
  <c r="CK5" i="1" s="1"/>
  <c r="CP5" i="1" s="1"/>
  <c r="CU5" i="1" s="1"/>
  <c r="CZ5" i="1" s="1"/>
  <c r="DE5" i="1" s="1"/>
  <c r="I4" i="1"/>
  <c r="N4" i="1" s="1"/>
  <c r="S4" i="1" s="1"/>
  <c r="X4" i="1" s="1"/>
  <c r="AC4" i="1" s="1"/>
  <c r="AH4" i="1" s="1"/>
  <c r="AM4" i="1" s="1"/>
  <c r="AR4" i="1" s="1"/>
  <c r="AW4" i="1" s="1"/>
  <c r="BB4" i="1" s="1"/>
  <c r="BG4" i="1" s="1"/>
  <c r="BL4" i="1" s="1"/>
  <c r="M21" i="1"/>
  <c r="L21" i="1"/>
  <c r="K21" i="1"/>
  <c r="M12" i="1"/>
  <c r="L12" i="1"/>
  <c r="K12" i="1"/>
  <c r="H21" i="1"/>
  <c r="G21" i="1"/>
  <c r="H12" i="1"/>
  <c r="G12" i="1"/>
  <c r="F12" i="1"/>
  <c r="E21" i="1"/>
  <c r="D21" i="1"/>
  <c r="E12" i="1"/>
  <c r="D12" i="1"/>
  <c r="DT21" i="2" l="1"/>
  <c r="DT22" i="2" s="1"/>
  <c r="T6" i="1"/>
  <c r="P21" i="1"/>
  <c r="BL15" i="1"/>
  <c r="BQ15" i="1" s="1"/>
  <c r="BV15" i="1" s="1"/>
  <c r="CA15" i="1" s="1"/>
  <c r="CF15" i="1" s="1"/>
  <c r="BB14" i="1"/>
  <c r="AW21" i="1"/>
  <c r="BQ4" i="1"/>
  <c r="BB6" i="1"/>
  <c r="AR21" i="1"/>
  <c r="AM21" i="1"/>
  <c r="AH21" i="1"/>
  <c r="AF22" i="1"/>
  <c r="AG22" i="1"/>
  <c r="M22" i="1"/>
  <c r="AE22" i="1"/>
  <c r="Z22" i="1"/>
  <c r="AA22" i="1"/>
  <c r="AC21" i="1"/>
  <c r="Y7" i="1"/>
  <c r="AD7" i="1" s="1"/>
  <c r="AI7" i="1" s="1"/>
  <c r="AN7" i="1" s="1"/>
  <c r="AS7" i="1" s="1"/>
  <c r="AX7" i="1" s="1"/>
  <c r="BC7" i="1" s="1"/>
  <c r="BH7" i="1" s="1"/>
  <c r="BM7" i="1" s="1"/>
  <c r="BR7" i="1" s="1"/>
  <c r="BW7" i="1" s="1"/>
  <c r="CB7" i="1" s="1"/>
  <c r="CG7" i="1" s="1"/>
  <c r="Y8" i="1"/>
  <c r="AD8" i="1" s="1"/>
  <c r="AI8" i="1" s="1"/>
  <c r="AN8" i="1" s="1"/>
  <c r="AS8" i="1" s="1"/>
  <c r="AX8" i="1" s="1"/>
  <c r="BC8" i="1" s="1"/>
  <c r="BH8" i="1" s="1"/>
  <c r="BM8" i="1" s="1"/>
  <c r="BR8" i="1" s="1"/>
  <c r="BW8" i="1" s="1"/>
  <c r="CB8" i="1" s="1"/>
  <c r="CG8" i="1" s="1"/>
  <c r="Y9" i="1"/>
  <c r="AD9" i="1" s="1"/>
  <c r="AI9" i="1" s="1"/>
  <c r="AN9" i="1" s="1"/>
  <c r="AS9" i="1" s="1"/>
  <c r="AX9" i="1" s="1"/>
  <c r="BC9" i="1" s="1"/>
  <c r="BH9" i="1" s="1"/>
  <c r="BM9" i="1" s="1"/>
  <c r="X7" i="1"/>
  <c r="AC7" i="1" s="1"/>
  <c r="AH7" i="1" s="1"/>
  <c r="AM7" i="1" s="1"/>
  <c r="AR7" i="1" s="1"/>
  <c r="AW7" i="1" s="1"/>
  <c r="BB7" i="1" s="1"/>
  <c r="BG7" i="1" s="1"/>
  <c r="BL7" i="1" s="1"/>
  <c r="BQ7" i="1" s="1"/>
  <c r="BV7" i="1" s="1"/>
  <c r="CA7" i="1" s="1"/>
  <c r="CF7" i="1" s="1"/>
  <c r="CK7" i="1" s="1"/>
  <c r="CP7" i="1" s="1"/>
  <c r="CU7" i="1" s="1"/>
  <c r="CZ7" i="1" s="1"/>
  <c r="DE7" i="1" s="1"/>
  <c r="X8" i="1"/>
  <c r="AC8" i="1" s="1"/>
  <c r="AH8" i="1" s="1"/>
  <c r="AM8" i="1" s="1"/>
  <c r="AR8" i="1" s="1"/>
  <c r="AW8" i="1" s="1"/>
  <c r="BB8" i="1" s="1"/>
  <c r="BG8" i="1" s="1"/>
  <c r="BL8" i="1" s="1"/>
  <c r="BQ8" i="1" s="1"/>
  <c r="BV8" i="1" s="1"/>
  <c r="CA8" i="1" s="1"/>
  <c r="CF8" i="1" s="1"/>
  <c r="X9" i="1"/>
  <c r="AC9" i="1" s="1"/>
  <c r="AH9" i="1" s="1"/>
  <c r="AM9" i="1" s="1"/>
  <c r="AR9" i="1" s="1"/>
  <c r="AW9" i="1" s="1"/>
  <c r="BB9" i="1" s="1"/>
  <c r="BG9" i="1" s="1"/>
  <c r="BL9" i="1" s="1"/>
  <c r="BQ9" i="1" s="1"/>
  <c r="BV9" i="1" s="1"/>
  <c r="CA9" i="1" s="1"/>
  <c r="CF9" i="1" s="1"/>
  <c r="CK9" i="1" s="1"/>
  <c r="CP9" i="1" s="1"/>
  <c r="CU9" i="1" s="1"/>
  <c r="CZ9" i="1" s="1"/>
  <c r="DE9" i="1" s="1"/>
  <c r="X10" i="1"/>
  <c r="AC10" i="1" s="1"/>
  <c r="AH10" i="1" s="1"/>
  <c r="AM10" i="1" s="1"/>
  <c r="AR10" i="1" s="1"/>
  <c r="AW10" i="1" s="1"/>
  <c r="BB10" i="1" s="1"/>
  <c r="BG10" i="1" s="1"/>
  <c r="BL10" i="1" s="1"/>
  <c r="BQ10" i="1" s="1"/>
  <c r="BV10" i="1" s="1"/>
  <c r="CA10" i="1" s="1"/>
  <c r="CF10" i="1" s="1"/>
  <c r="X11" i="1"/>
  <c r="AC11" i="1" s="1"/>
  <c r="AH11" i="1" s="1"/>
  <c r="AM11" i="1" s="1"/>
  <c r="AR11" i="1" s="1"/>
  <c r="AW11" i="1" s="1"/>
  <c r="BB11" i="1" s="1"/>
  <c r="BG11" i="1" s="1"/>
  <c r="BL11" i="1" s="1"/>
  <c r="BQ11" i="1" s="1"/>
  <c r="BV11" i="1" s="1"/>
  <c r="CA11" i="1" s="1"/>
  <c r="CF11" i="1" s="1"/>
  <c r="CK11" i="1" s="1"/>
  <c r="CP11" i="1" s="1"/>
  <c r="CU11" i="1" s="1"/>
  <c r="CZ11" i="1" s="1"/>
  <c r="DE11" i="1" s="1"/>
  <c r="Y6" i="1"/>
  <c r="AD6" i="1" s="1"/>
  <c r="AI6" i="1" s="1"/>
  <c r="AN6" i="1" s="1"/>
  <c r="AS6" i="1" s="1"/>
  <c r="AX6" i="1" s="1"/>
  <c r="BC6" i="1" s="1"/>
  <c r="BH6" i="1" s="1"/>
  <c r="BM6" i="1" s="1"/>
  <c r="BR6" i="1" s="1"/>
  <c r="BW6" i="1" s="1"/>
  <c r="CB6" i="1" s="1"/>
  <c r="CG6" i="1" s="1"/>
  <c r="AB22" i="1"/>
  <c r="U22" i="1"/>
  <c r="V22" i="1"/>
  <c r="W22" i="1"/>
  <c r="T16" i="1"/>
  <c r="Y16" i="1" s="1"/>
  <c r="AI16" i="1" s="1"/>
  <c r="AN16" i="1" s="1"/>
  <c r="AS16" i="1" s="1"/>
  <c r="AX16" i="1" s="1"/>
  <c r="BC16" i="1" s="1"/>
  <c r="BH16" i="1" s="1"/>
  <c r="BM16" i="1" s="1"/>
  <c r="X21" i="1"/>
  <c r="D22" i="1"/>
  <c r="S21" i="1"/>
  <c r="S12" i="1"/>
  <c r="E22" i="1"/>
  <c r="L22" i="1"/>
  <c r="K22" i="1"/>
  <c r="J14" i="1"/>
  <c r="O14" i="1" s="1"/>
  <c r="H22" i="1"/>
  <c r="G22" i="1"/>
  <c r="N12" i="1"/>
  <c r="F22" i="1"/>
  <c r="O12" i="1"/>
  <c r="Q22" i="1"/>
  <c r="N21" i="1"/>
  <c r="R22" i="1"/>
  <c r="J12" i="1"/>
  <c r="I21" i="1"/>
  <c r="I12" i="1"/>
  <c r="DY21" i="2" l="1"/>
  <c r="DY22" i="2" s="1"/>
  <c r="ED14" i="2"/>
  <c r="BG14" i="1"/>
  <c r="BB21" i="1"/>
  <c r="BV4" i="1"/>
  <c r="AW12" i="1"/>
  <c r="AW22" i="1" s="1"/>
  <c r="AR12" i="1"/>
  <c r="AR22" i="1" s="1"/>
  <c r="AM12" i="1"/>
  <c r="AM22" i="1" s="1"/>
  <c r="BG6" i="1"/>
  <c r="BB12" i="1"/>
  <c r="AH12" i="1"/>
  <c r="AH22" i="1" s="1"/>
  <c r="AC12" i="1"/>
  <c r="AC22" i="1" s="1"/>
  <c r="X12" i="1"/>
  <c r="X22" i="1" s="1"/>
  <c r="O21" i="1"/>
  <c r="O22" i="1" s="1"/>
  <c r="T14" i="1"/>
  <c r="Y14" i="1" s="1"/>
  <c r="S22" i="1"/>
  <c r="J21" i="1"/>
  <c r="J22" i="1" s="1"/>
  <c r="N22" i="1"/>
  <c r="I22" i="1"/>
  <c r="ED21" i="2" l="1"/>
  <c r="ED22" i="2" s="1"/>
  <c r="EI14" i="2"/>
  <c r="EI21" i="2" s="1"/>
  <c r="EI22" i="2" s="1"/>
  <c r="BB22" i="1"/>
  <c r="BL14" i="1"/>
  <c r="BG21" i="1"/>
  <c r="BG12" i="1"/>
  <c r="BL6" i="1"/>
  <c r="CA4" i="1"/>
  <c r="Y21" i="1"/>
  <c r="AD14" i="1"/>
  <c r="T21" i="1"/>
  <c r="P12" i="1"/>
  <c r="P22" i="1" s="1"/>
  <c r="T4" i="1"/>
  <c r="T12" i="1" s="1"/>
  <c r="BG22" i="1" l="1"/>
  <c r="BL21" i="1"/>
  <c r="BQ14" i="1"/>
  <c r="BQ6" i="1"/>
  <c r="BL12" i="1"/>
  <c r="CF4" i="1"/>
  <c r="CK4" i="1" s="1"/>
  <c r="AI14" i="1"/>
  <c r="AD21" i="1"/>
  <c r="T22" i="1"/>
  <c r="Y4" i="1"/>
  <c r="AD4" i="1" s="1"/>
  <c r="CP4" i="1" l="1"/>
  <c r="BQ21" i="1"/>
  <c r="BV14" i="1"/>
  <c r="BL22" i="1"/>
  <c r="BV6" i="1"/>
  <c r="BQ12" i="1"/>
  <c r="AI21" i="1"/>
  <c r="AN14" i="1"/>
  <c r="Y12" i="1"/>
  <c r="Y22" i="1" s="1"/>
  <c r="CU4" i="1" l="1"/>
  <c r="CZ4" i="1" s="1"/>
  <c r="DE4" i="1" s="1"/>
  <c r="BV21" i="1"/>
  <c r="CA14" i="1"/>
  <c r="BQ22" i="1"/>
  <c r="CA6" i="1"/>
  <c r="BV12" i="1"/>
  <c r="AN21" i="1"/>
  <c r="AS14" i="1"/>
  <c r="AD12" i="1"/>
  <c r="AD22" i="1" s="1"/>
  <c r="AI4" i="1"/>
  <c r="CA21" i="1" l="1"/>
  <c r="CF14" i="1"/>
  <c r="BV22" i="1"/>
  <c r="CF6" i="1"/>
  <c r="CA12" i="1"/>
  <c r="AS21" i="1"/>
  <c r="AX14" i="1"/>
  <c r="AI12" i="1"/>
  <c r="AI22" i="1" s="1"/>
  <c r="AN4" i="1"/>
  <c r="CF21" i="1" l="1"/>
  <c r="CK14" i="1"/>
  <c r="CF12" i="1"/>
  <c r="CK6" i="1"/>
  <c r="CA22" i="1"/>
  <c r="AX21" i="1"/>
  <c r="BC14" i="1"/>
  <c r="AS4" i="1"/>
  <c r="AN12" i="1"/>
  <c r="AN22" i="1" s="1"/>
  <c r="CF22" i="1" l="1"/>
  <c r="CP14" i="1"/>
  <c r="CK21" i="1"/>
  <c r="CP6" i="1"/>
  <c r="CK12" i="1"/>
  <c r="AS12" i="1"/>
  <c r="AS22" i="1" s="1"/>
  <c r="AX4" i="1"/>
  <c r="BC21" i="1"/>
  <c r="BH14" i="1"/>
  <c r="BR11" i="1"/>
  <c r="BW11" i="1" s="1"/>
  <c r="CB11" i="1" s="1"/>
  <c r="BR15" i="1"/>
  <c r="BW15" i="1" s="1"/>
  <c r="CB15" i="1" s="1"/>
  <c r="CG15" i="1" s="1"/>
  <c r="BR9" i="1"/>
  <c r="BW9" i="1" s="1"/>
  <c r="CB9" i="1" s="1"/>
  <c r="CG9" i="1" s="1"/>
  <c r="BR16" i="1"/>
  <c r="BW16" i="1" s="1"/>
  <c r="CB16" i="1" s="1"/>
  <c r="CG16" i="1" s="1"/>
  <c r="BR10" i="1"/>
  <c r="BW10" i="1" s="1"/>
  <c r="CB10" i="1" s="1"/>
  <c r="CG10" i="1" s="1"/>
  <c r="CK22" i="1" l="1"/>
  <c r="CP21" i="1"/>
  <c r="CU14" i="1"/>
  <c r="CU6" i="1"/>
  <c r="CP12" i="1"/>
  <c r="BC4" i="1"/>
  <c r="AX12" i="1"/>
  <c r="AX22" i="1" s="1"/>
  <c r="CG11" i="1"/>
  <c r="BH21" i="1"/>
  <c r="BM14" i="1"/>
  <c r="CP22" i="1" l="1"/>
  <c r="CZ14" i="1"/>
  <c r="DE14" i="1" s="1"/>
  <c r="CU12" i="1"/>
  <c r="CZ6" i="1"/>
  <c r="BC12" i="1"/>
  <c r="BC22" i="1" s="1"/>
  <c r="BH4" i="1"/>
  <c r="BR14" i="1"/>
  <c r="BM21" i="1"/>
  <c r="CZ12" i="1" l="1"/>
  <c r="DE6" i="1"/>
  <c r="DE12" i="1" s="1"/>
  <c r="BH12" i="1"/>
  <c r="BH22" i="1" s="1"/>
  <c r="BM4" i="1"/>
  <c r="BW14" i="1"/>
  <c r="BR21" i="1"/>
  <c r="BR4" i="1" l="1"/>
  <c r="BM12" i="1"/>
  <c r="BM22" i="1" s="1"/>
  <c r="BW21" i="1"/>
  <c r="CB14" i="1"/>
  <c r="BW4" i="1" l="1"/>
  <c r="BR12" i="1"/>
  <c r="BR22" i="1" s="1"/>
  <c r="CG14" i="1"/>
  <c r="CG21" i="1" s="1"/>
  <c r="CB21" i="1"/>
  <c r="CB4" i="1" l="1"/>
  <c r="BW12" i="1"/>
  <c r="BW22" i="1" s="1"/>
  <c r="CG4" i="1" l="1"/>
  <c r="CG12" i="1" s="1"/>
  <c r="CG22" i="1" s="1"/>
  <c r="CB12" i="1"/>
  <c r="CB22" i="1" s="1"/>
  <c r="CV18" i="1" l="1"/>
  <c r="DA18" i="1" s="1"/>
  <c r="DF18" i="1" s="1"/>
  <c r="CU19" i="1"/>
  <c r="CZ19" i="1"/>
  <c r="DE19" i="1" s="1"/>
  <c r="CV19" i="1"/>
  <c r="DA19" i="1" s="1"/>
  <c r="DF19" i="1" s="1"/>
  <c r="CU18" i="1"/>
  <c r="CZ18" i="1"/>
  <c r="DE18" i="1" s="1"/>
  <c r="CU20" i="1"/>
  <c r="CZ20" i="1" s="1"/>
  <c r="DE20" i="1" s="1"/>
  <c r="CV20" i="1"/>
  <c r="DA20" i="1" s="1"/>
  <c r="DF20" i="1" s="1"/>
  <c r="DF21" i="1" l="1"/>
  <c r="DF22" i="1" s="1"/>
  <c r="DE21" i="1"/>
  <c r="DE22" i="1" s="1"/>
  <c r="CZ21" i="1"/>
  <c r="CZ22" i="1" s="1"/>
  <c r="CU21" i="1"/>
  <c r="CU22" i="1" s="1"/>
  <c r="CV21" i="1"/>
  <c r="CV22" i="1" s="1"/>
  <c r="DA21" i="1"/>
  <c r="DA22" i="1" s="1"/>
  <c r="F20" i="4" l="1"/>
  <c r="F21" i="4" s="1"/>
  <c r="F23" i="4"/>
  <c r="F24" i="4"/>
  <c r="J17" i="4"/>
  <c r="O17" i="4" s="1"/>
  <c r="T17" i="4" s="1"/>
  <c r="Y17" i="4" s="1"/>
  <c r="AD17" i="4" s="1"/>
  <c r="AI17" i="4" s="1"/>
  <c r="AN17" i="4" s="1"/>
  <c r="AS17" i="4" s="1"/>
  <c r="AX17" i="4" s="1"/>
  <c r="BC17" i="4" s="1"/>
  <c r="BH17" i="4" s="1"/>
  <c r="BM17" i="4" s="1"/>
  <c r="BR17" i="4" s="1"/>
  <c r="BW17" i="4" s="1"/>
  <c r="CB17" i="4" s="1"/>
  <c r="CG17" i="4" s="1"/>
  <c r="CL17" i="4" s="1"/>
  <c r="CQ17" i="4" s="1"/>
  <c r="CV17" i="4" s="1"/>
  <c r="DA17" i="4" s="1"/>
  <c r="DF17" i="4" s="1"/>
  <c r="DK17" i="4" s="1"/>
  <c r="DP17" i="4" s="1"/>
  <c r="J18" i="4"/>
  <c r="O18" i="4" s="1"/>
  <c r="T18" i="4" s="1"/>
  <c r="Y18" i="4" s="1"/>
  <c r="AD18" i="4" s="1"/>
  <c r="AI18" i="4" s="1"/>
  <c r="AN18" i="4" s="1"/>
  <c r="AS18" i="4" s="1"/>
  <c r="AX18" i="4" s="1"/>
  <c r="BC18" i="4" s="1"/>
  <c r="BH18" i="4" s="1"/>
  <c r="BM18" i="4" s="1"/>
  <c r="BR18" i="4" s="1"/>
  <c r="BW18" i="4" s="1"/>
  <c r="CB18" i="4" s="1"/>
  <c r="CG18" i="4" s="1"/>
  <c r="CL18" i="4" s="1"/>
  <c r="CQ18" i="4" s="1"/>
  <c r="CV18" i="4" s="1"/>
  <c r="DA18" i="4" s="1"/>
  <c r="DF18" i="4" s="1"/>
  <c r="DK18" i="4" s="1"/>
  <c r="DP18" i="4" s="1"/>
  <c r="J13" i="4"/>
  <c r="J14" i="4"/>
  <c r="O14" i="4"/>
  <c r="T14" i="4" s="1"/>
  <c r="Y14" i="4" s="1"/>
  <c r="AD14" i="4" s="1"/>
  <c r="AI14" i="4" s="1"/>
  <c r="AN14" i="4" s="1"/>
  <c r="AS14" i="4" s="1"/>
  <c r="AX14" i="4" s="1"/>
  <c r="BC14" i="4" s="1"/>
  <c r="BH14" i="4" s="1"/>
  <c r="BM14" i="4" s="1"/>
  <c r="BR14" i="4" s="1"/>
  <c r="BW14" i="4" s="1"/>
  <c r="CB14" i="4" s="1"/>
  <c r="CG14" i="4" s="1"/>
  <c r="CL14" i="4" s="1"/>
  <c r="CQ14" i="4" s="1"/>
  <c r="CV14" i="4" s="1"/>
  <c r="DA14" i="4" s="1"/>
  <c r="DF14" i="4" s="1"/>
  <c r="DK14" i="4" s="1"/>
  <c r="DP14" i="4" s="1"/>
  <c r="J15" i="4"/>
  <c r="O15" i="4" s="1"/>
  <c r="J16" i="4"/>
  <c r="J19" i="4"/>
  <c r="O19" i="4" s="1"/>
  <c r="T19" i="4" s="1"/>
  <c r="Y19" i="4" s="1"/>
  <c r="AD19" i="4" s="1"/>
  <c r="AI19" i="4" s="1"/>
  <c r="AN19" i="4" s="1"/>
  <c r="AS19" i="4" s="1"/>
  <c r="AX19" i="4" s="1"/>
  <c r="BC19" i="4" s="1"/>
  <c r="BH19" i="4" s="1"/>
  <c r="BM19" i="4" s="1"/>
  <c r="BR19" i="4" s="1"/>
  <c r="BW19" i="4" s="1"/>
  <c r="CB19" i="4" s="1"/>
  <c r="CG19" i="4" s="1"/>
  <c r="CL19" i="4" s="1"/>
  <c r="CQ19" i="4" s="1"/>
  <c r="CV19" i="4" s="1"/>
  <c r="DA19" i="4" s="1"/>
  <c r="DF19" i="4" s="1"/>
  <c r="DK19" i="4" s="1"/>
  <c r="DP19" i="4" s="1"/>
  <c r="J23" i="4" l="1"/>
  <c r="J24" i="4"/>
  <c r="J20" i="4"/>
  <c r="J21" i="4" s="1"/>
  <c r="O13" i="4"/>
  <c r="O23" i="4" s="1"/>
  <c r="T15" i="4"/>
  <c r="Y15" i="4" s="1"/>
  <c r="AD15" i="4" s="1"/>
  <c r="AI15" i="4" s="1"/>
  <c r="O16" i="4"/>
  <c r="T16" i="4" s="1"/>
  <c r="Y16" i="4" s="1"/>
  <c r="AD16" i="4" s="1"/>
  <c r="AI16" i="4" s="1"/>
  <c r="AN16" i="4" s="1"/>
  <c r="AS16" i="4" s="1"/>
  <c r="AX16" i="4" s="1"/>
  <c r="BC16" i="4" s="1"/>
  <c r="BH16" i="4" s="1"/>
  <c r="BM16" i="4" s="1"/>
  <c r="BR16" i="4" s="1"/>
  <c r="BW16" i="4" s="1"/>
  <c r="CB16" i="4" s="1"/>
  <c r="CG16" i="4" s="1"/>
  <c r="CL16" i="4" s="1"/>
  <c r="CQ16" i="4" s="1"/>
  <c r="CV16" i="4" s="1"/>
  <c r="DA16" i="4" s="1"/>
  <c r="DF16" i="4" s="1"/>
  <c r="DK16" i="4" s="1"/>
  <c r="DP16" i="4" s="1"/>
  <c r="AN15" i="4" l="1"/>
  <c r="AI24" i="4"/>
  <c r="AD24" i="4"/>
  <c r="Y24" i="4"/>
  <c r="T13" i="4"/>
  <c r="O20" i="4"/>
  <c r="O21" i="4" s="1"/>
  <c r="T24" i="4"/>
  <c r="O24" i="4"/>
  <c r="AS15" i="4" l="1"/>
  <c r="AN24" i="4"/>
  <c r="T23" i="4"/>
  <c r="Y13" i="4"/>
  <c r="AD13" i="4" s="1"/>
  <c r="AI13" i="4" s="1"/>
  <c r="T20" i="4"/>
  <c r="T21" i="4" s="1"/>
  <c r="AS24" i="4" l="1"/>
  <c r="AX15" i="4"/>
  <c r="AI20" i="4"/>
  <c r="AI21" i="4" s="1"/>
  <c r="AN13" i="4"/>
  <c r="AI23" i="4"/>
  <c r="AD23" i="4"/>
  <c r="AD20" i="4"/>
  <c r="AD21" i="4" s="1"/>
  <c r="Y20" i="4"/>
  <c r="Y21" i="4" s="1"/>
  <c r="Y23" i="4"/>
  <c r="BI11" i="4"/>
  <c r="BI21" i="4" s="1"/>
  <c r="BM4" i="4"/>
  <c r="BR4" i="4" s="1"/>
  <c r="BW4" i="4" s="1"/>
  <c r="BM5" i="4"/>
  <c r="BR5" i="4"/>
  <c r="BW5" i="4" s="1"/>
  <c r="CB5" i="4" s="1"/>
  <c r="CG5" i="4" s="1"/>
  <c r="CL5" i="4" s="1"/>
  <c r="CQ5" i="4" s="1"/>
  <c r="CV5" i="4" s="1"/>
  <c r="DA5" i="4" s="1"/>
  <c r="DF5" i="4" s="1"/>
  <c r="DK5" i="4" s="1"/>
  <c r="DP5" i="4" s="1"/>
  <c r="BM6" i="4"/>
  <c r="BR6" i="4"/>
  <c r="BW6" i="4" s="1"/>
  <c r="CB6" i="4" s="1"/>
  <c r="CG6" i="4" s="1"/>
  <c r="CL6" i="4" s="1"/>
  <c r="CQ6" i="4" s="1"/>
  <c r="CV6" i="4" s="1"/>
  <c r="DA6" i="4" s="1"/>
  <c r="DF6" i="4" s="1"/>
  <c r="DK6" i="4" s="1"/>
  <c r="DP6" i="4" s="1"/>
  <c r="BM7" i="4"/>
  <c r="BR7" i="4"/>
  <c r="BW7" i="4" s="1"/>
  <c r="CB7" i="4" s="1"/>
  <c r="CG7" i="4" s="1"/>
  <c r="CL7" i="4" s="1"/>
  <c r="CQ7" i="4" s="1"/>
  <c r="CV7" i="4" s="1"/>
  <c r="DA7" i="4" s="1"/>
  <c r="DF7" i="4" s="1"/>
  <c r="DK7" i="4" s="1"/>
  <c r="DP7" i="4" s="1"/>
  <c r="BM8" i="4"/>
  <c r="BR8" i="4"/>
  <c r="BW8" i="4" s="1"/>
  <c r="CB8" i="4" s="1"/>
  <c r="CG8" i="4" s="1"/>
  <c r="CL8" i="4" s="1"/>
  <c r="CQ8" i="4" s="1"/>
  <c r="CV8" i="4" s="1"/>
  <c r="DA8" i="4" s="1"/>
  <c r="DF8" i="4" s="1"/>
  <c r="DK8" i="4" s="1"/>
  <c r="DP8" i="4" s="1"/>
  <c r="BM9" i="4"/>
  <c r="BR9" i="4" s="1"/>
  <c r="BW9" i="4" s="1"/>
  <c r="CB9" i="4" s="1"/>
  <c r="CG9" i="4" s="1"/>
  <c r="CL9" i="4" s="1"/>
  <c r="CQ9" i="4" s="1"/>
  <c r="DA9" i="4" s="1"/>
  <c r="DF9" i="4" s="1"/>
  <c r="DK9" i="4" s="1"/>
  <c r="DP9" i="4" s="1"/>
  <c r="BM10" i="4"/>
  <c r="BR10" i="4"/>
  <c r="BW10" i="4" s="1"/>
  <c r="CB10" i="4" s="1"/>
  <c r="CG10" i="4" s="1"/>
  <c r="CL10" i="4" s="1"/>
  <c r="CQ10" i="4" s="1"/>
  <c r="CV10" i="4" s="1"/>
  <c r="DA10" i="4" s="1"/>
  <c r="DF10" i="4" s="1"/>
  <c r="DK10" i="4" s="1"/>
  <c r="DP10" i="4" s="1"/>
  <c r="AS13" i="4" l="1"/>
  <c r="AN20" i="4"/>
  <c r="AN21" i="4" s="1"/>
  <c r="AN23" i="4"/>
  <c r="BC15" i="4"/>
  <c r="AX24" i="4"/>
  <c r="BR11" i="4"/>
  <c r="CB4" i="4"/>
  <c r="BM11" i="4"/>
  <c r="BW11" i="4"/>
  <c r="BC24" i="4" l="1"/>
  <c r="BH15" i="4"/>
  <c r="AX13" i="4"/>
  <c r="AS23" i="4"/>
  <c r="AS20" i="4"/>
  <c r="AS21" i="4" s="1"/>
  <c r="CG4" i="4"/>
  <c r="CB11" i="4"/>
  <c r="BC13" i="4" l="1"/>
  <c r="AX23" i="4"/>
  <c r="AX20" i="4"/>
  <c r="AX21" i="4" s="1"/>
  <c r="BH24" i="4"/>
  <c r="BM15" i="4"/>
  <c r="CG11" i="4"/>
  <c r="CL4" i="4"/>
  <c r="CL11" i="4" l="1"/>
  <c r="CQ4" i="4"/>
  <c r="BM24" i="4"/>
  <c r="BR15" i="4"/>
  <c r="BH13" i="4"/>
  <c r="BC20" i="4"/>
  <c r="BC21" i="4" s="1"/>
  <c r="BC23" i="4"/>
  <c r="BM13" i="4" l="1"/>
  <c r="BH23" i="4"/>
  <c r="BH20" i="4"/>
  <c r="BH21" i="4" s="1"/>
  <c r="BW15" i="4"/>
  <c r="BR24" i="4"/>
  <c r="CQ11" i="4"/>
  <c r="CV4" i="4"/>
  <c r="DA4" i="4" l="1"/>
  <c r="CV11" i="4"/>
  <c r="CB15" i="4"/>
  <c r="BW24" i="4"/>
  <c r="BR13" i="4"/>
  <c r="BM23" i="4"/>
  <c r="BM20" i="4"/>
  <c r="BM21" i="4" s="1"/>
  <c r="BW13" i="4" l="1"/>
  <c r="BR23" i="4"/>
  <c r="BR20" i="4"/>
  <c r="BR21" i="4" s="1"/>
  <c r="CG15" i="4"/>
  <c r="CB24" i="4"/>
  <c r="DF4" i="4"/>
  <c r="DA11" i="4"/>
  <c r="DK4" i="4" l="1"/>
  <c r="DF11" i="4"/>
  <c r="CL15" i="4"/>
  <c r="CG24" i="4"/>
  <c r="CB13" i="4"/>
  <c r="BW23" i="4"/>
  <c r="BW20" i="4"/>
  <c r="BW21" i="4" s="1"/>
  <c r="DP4" i="4" l="1"/>
  <c r="DP11" i="4" s="1"/>
  <c r="DK11" i="4"/>
  <c r="CG13" i="4"/>
  <c r="CB23" i="4"/>
  <c r="CB20" i="4"/>
  <c r="CB21" i="4" s="1"/>
  <c r="CQ15" i="4"/>
  <c r="CL24" i="4"/>
  <c r="CQ24" i="4" l="1"/>
  <c r="CV15" i="4"/>
  <c r="CL13" i="4"/>
  <c r="CG23" i="4"/>
  <c r="CG20" i="4"/>
  <c r="CG21" i="4" s="1"/>
  <c r="CQ13" i="4" l="1"/>
  <c r="CL23" i="4"/>
  <c r="CL20" i="4"/>
  <c r="CL21" i="4" s="1"/>
  <c r="CV24" i="4"/>
  <c r="DA15" i="4"/>
  <c r="CV13" i="4" l="1"/>
  <c r="CQ23" i="4"/>
  <c r="CQ20" i="4"/>
  <c r="CQ21" i="4" s="1"/>
  <c r="DA24" i="4"/>
  <c r="DF15" i="4"/>
  <c r="DA13" i="4" l="1"/>
  <c r="CV23" i="4"/>
  <c r="CV20" i="4"/>
  <c r="CV21" i="4" s="1"/>
  <c r="DF24" i="4"/>
  <c r="DK15" i="4"/>
  <c r="DK24" i="4" l="1"/>
  <c r="DP15" i="4"/>
  <c r="DP24" i="4" s="1"/>
  <c r="DF13" i="4"/>
  <c r="DA23" i="4"/>
  <c r="DA20" i="4"/>
  <c r="DA21" i="4" s="1"/>
  <c r="DF20" i="4" l="1"/>
  <c r="DF21" i="4" s="1"/>
  <c r="DK13" i="4"/>
  <c r="DF23" i="4"/>
  <c r="DK23" i="4" l="1"/>
  <c r="DP13" i="4"/>
  <c r="DK20" i="4"/>
  <c r="DK21" i="4" s="1"/>
  <c r="DP20" i="4" l="1"/>
  <c r="DP21" i="4" s="1"/>
  <c r="DP23" i="4"/>
  <c r="AI20" i="5" l="1"/>
  <c r="AI21" i="5" s="1"/>
  <c r="AX19" i="5"/>
  <c r="AN17" i="5"/>
  <c r="AS17" i="5"/>
  <c r="AX17" i="5" s="1"/>
  <c r="AN13" i="5"/>
  <c r="AS13" i="5" s="1"/>
  <c r="AX13" i="5" s="1"/>
  <c r="BC13" i="5" s="1"/>
  <c r="BH13" i="5" s="1"/>
  <c r="AN14" i="5"/>
  <c r="AS14" i="5"/>
  <c r="AX14" i="5" s="1"/>
  <c r="BC14" i="5" s="1"/>
  <c r="BH14" i="5" s="1"/>
  <c r="AN15" i="5"/>
  <c r="AN16" i="5"/>
  <c r="AS16" i="5"/>
  <c r="AX16" i="5" s="1"/>
  <c r="AN18" i="5"/>
  <c r="AS18" i="5"/>
  <c r="AX18" i="5" s="1"/>
  <c r="AN20" i="5" l="1"/>
  <c r="AN21" i="5" s="1"/>
  <c r="AS15" i="5"/>
  <c r="AX15" i="5" l="1"/>
  <c r="AS20" i="5"/>
  <c r="AS21" i="5" s="1"/>
  <c r="AX20" i="5" l="1"/>
  <c r="AX21" i="5" s="1"/>
  <c r="BC16" i="5" l="1"/>
  <c r="BH16" i="5" s="1"/>
  <c r="BC19" i="5"/>
  <c r="BH19" i="5" s="1"/>
  <c r="BC18" i="5"/>
  <c r="BH18" i="5" s="1"/>
  <c r="BC17" i="5"/>
  <c r="BH17" i="5" s="1"/>
  <c r="BC15" i="5"/>
  <c r="BH15" i="5" l="1"/>
  <c r="BC20" i="5"/>
  <c r="BC21" i="5" s="1"/>
  <c r="BH20" i="5" l="1"/>
  <c r="BH21" i="5" s="1"/>
  <c r="S4" i="6" l="1"/>
  <c r="S6" i="6"/>
  <c r="S7" i="6"/>
  <c r="X7" i="6" s="1"/>
  <c r="AC7" i="6" s="1"/>
  <c r="S5" i="6"/>
  <c r="X5" i="6" s="1"/>
  <c r="AC5" i="6" s="1"/>
  <c r="AH5" i="6" s="1"/>
  <c r="S8" i="6"/>
  <c r="X8" i="6" s="1"/>
  <c r="AC8" i="6" s="1"/>
  <c r="AH8" i="6" s="1"/>
  <c r="S9" i="6"/>
  <c r="X9" i="6" s="1"/>
  <c r="AC9" i="6" s="1"/>
  <c r="AH9" i="6" s="1"/>
  <c r="S10" i="6"/>
  <c r="X10" i="6" s="1"/>
  <c r="AC10" i="6" s="1"/>
  <c r="AH10" i="6" s="1"/>
  <c r="X4" i="6" l="1"/>
  <c r="S11" i="6"/>
  <c r="X6" i="6"/>
  <c r="S27" i="6" l="1"/>
  <c r="S31" i="6"/>
  <c r="S35" i="6" s="1"/>
  <c r="AC4" i="6"/>
  <c r="X11" i="6"/>
  <c r="AC6" i="6"/>
  <c r="X27" i="6" l="1"/>
  <c r="X31" i="6"/>
  <c r="X35" i="6" s="1"/>
  <c r="AH4" i="6"/>
  <c r="AC11" i="6"/>
  <c r="AH6" i="6"/>
  <c r="AH22" i="6"/>
  <c r="AM22" i="6" s="1"/>
  <c r="AR22" i="6" s="1"/>
  <c r="AW22" i="6" s="1"/>
  <c r="BB22" i="6" s="1"/>
  <c r="BG22" i="6" s="1"/>
  <c r="BL22" i="6" s="1"/>
  <c r="BQ22" i="6" s="1"/>
  <c r="BV22" i="6" s="1"/>
  <c r="CA22" i="6" s="1"/>
  <c r="CF22" i="6" s="1"/>
  <c r="CK22" i="6" s="1"/>
  <c r="CP22" i="6" s="1"/>
  <c r="CU22" i="6" s="1"/>
  <c r="CZ22" i="6" s="1"/>
  <c r="DE22" i="6" s="1"/>
  <c r="AH19" i="6"/>
  <c r="AH20" i="6"/>
  <c r="AM20" i="6" s="1"/>
  <c r="AR20" i="6" s="1"/>
  <c r="AW20" i="6" s="1"/>
  <c r="BB20" i="6" s="1"/>
  <c r="BG20" i="6" s="1"/>
  <c r="BL20" i="6" s="1"/>
  <c r="BQ20" i="6" s="1"/>
  <c r="BV20" i="6" s="1"/>
  <c r="AH21" i="6"/>
  <c r="AH23" i="6"/>
  <c r="AM23" i="6" s="1"/>
  <c r="AR23" i="6" s="1"/>
  <c r="AW23" i="6" s="1"/>
  <c r="BB23" i="6" s="1"/>
  <c r="BG23" i="6" s="1"/>
  <c r="BL23" i="6" s="1"/>
  <c r="AH24" i="6"/>
  <c r="AM24" i="6" s="1"/>
  <c r="AR24" i="6" s="1"/>
  <c r="AW24" i="6" s="1"/>
  <c r="BB24" i="6" s="1"/>
  <c r="BG24" i="6" s="1"/>
  <c r="BL24" i="6" s="1"/>
  <c r="BQ24" i="6" s="1"/>
  <c r="BV24" i="6" s="1"/>
  <c r="CA24" i="6" s="1"/>
  <c r="CF24" i="6" s="1"/>
  <c r="CK24" i="6" s="1"/>
  <c r="CP24" i="6" s="1"/>
  <c r="CU24" i="6" s="1"/>
  <c r="CZ24" i="6" s="1"/>
  <c r="DE24" i="6" s="1"/>
  <c r="DJ24" i="6" s="1"/>
  <c r="DO24" i="6" s="1"/>
  <c r="DT24" i="6" s="1"/>
  <c r="DY24" i="6" s="1"/>
  <c r="ED24" i="6" s="1"/>
  <c r="EI24" i="6" s="1"/>
  <c r="EN24" i="6" s="1"/>
  <c r="AH25" i="6"/>
  <c r="AM25" i="6" s="1"/>
  <c r="AR25" i="6" s="1"/>
  <c r="AW25" i="6" s="1"/>
  <c r="BB25" i="6" s="1"/>
  <c r="BG25" i="6" s="1"/>
  <c r="BL25" i="6" s="1"/>
  <c r="BQ25" i="6" s="1"/>
  <c r="BV25" i="6" s="1"/>
  <c r="CA25" i="6" s="1"/>
  <c r="CF25" i="6" s="1"/>
  <c r="CK25" i="6" s="1"/>
  <c r="CP25" i="6" s="1"/>
  <c r="CU25" i="6" s="1"/>
  <c r="CZ25" i="6" s="1"/>
  <c r="DE25" i="6" s="1"/>
  <c r="DJ25" i="6" s="1"/>
  <c r="DO25" i="6" s="1"/>
  <c r="DT25" i="6" s="1"/>
  <c r="DY25" i="6" s="1"/>
  <c r="ED25" i="6" s="1"/>
  <c r="EI25" i="6" s="1"/>
  <c r="EN25" i="6" s="1"/>
  <c r="DJ22" i="6" l="1"/>
  <c r="DO22" i="6" s="1"/>
  <c r="DT22" i="6" s="1"/>
  <c r="DY22" i="6" s="1"/>
  <c r="ED22" i="6" s="1"/>
  <c r="EI22" i="6" s="1"/>
  <c r="EN22" i="6" s="1"/>
  <c r="AH11" i="6"/>
  <c r="AH32" i="6"/>
  <c r="AH26" i="6"/>
  <c r="AC31" i="6"/>
  <c r="AC35" i="6" s="1"/>
  <c r="AC27" i="6"/>
  <c r="AH33" i="6"/>
  <c r="AH31" i="6"/>
  <c r="CA20" i="6"/>
  <c r="CF20" i="6" s="1"/>
  <c r="CK20" i="6" s="1"/>
  <c r="CP20" i="6" s="1"/>
  <c r="CU20" i="6" s="1"/>
  <c r="CZ20" i="6" s="1"/>
  <c r="DE20" i="6" s="1"/>
  <c r="DJ20" i="6" s="1"/>
  <c r="DO20" i="6" s="1"/>
  <c r="DT20" i="6" s="1"/>
  <c r="DY20" i="6" s="1"/>
  <c r="ED20" i="6" s="1"/>
  <c r="EI20" i="6" s="1"/>
  <c r="EN20" i="6" s="1"/>
  <c r="BQ23" i="6"/>
  <c r="BV23" i="6" s="1"/>
  <c r="CA23" i="6" s="1"/>
  <c r="CF23" i="6" s="1"/>
  <c r="CK23" i="6" s="1"/>
  <c r="CP23" i="6" s="1"/>
  <c r="CU23" i="6" s="1"/>
  <c r="CZ23" i="6" s="1"/>
  <c r="AM19" i="6"/>
  <c r="AM21" i="6"/>
  <c r="AM33" i="6" s="1"/>
  <c r="DE23" i="6" l="1"/>
  <c r="AH27" i="6"/>
  <c r="AM26" i="6"/>
  <c r="AM32" i="6"/>
  <c r="AH35" i="6"/>
  <c r="AR21" i="6"/>
  <c r="AR33" i="6" s="1"/>
  <c r="AR19" i="6"/>
  <c r="AM5" i="6"/>
  <c r="AR5" i="6" s="1"/>
  <c r="AW5" i="6" s="1"/>
  <c r="BB5" i="6" s="1"/>
  <c r="BG5" i="6" s="1"/>
  <c r="BL5" i="6" s="1"/>
  <c r="BQ5" i="6" s="1"/>
  <c r="BV5" i="6" s="1"/>
  <c r="CA5" i="6" s="1"/>
  <c r="CF5" i="6" s="1"/>
  <c r="CK5" i="6" s="1"/>
  <c r="CP5" i="6" s="1"/>
  <c r="CU5" i="6" s="1"/>
  <c r="CZ5" i="6" s="1"/>
  <c r="DE5" i="6" s="1"/>
  <c r="DJ5" i="6" s="1"/>
  <c r="DO5" i="6" s="1"/>
  <c r="DT5" i="6" s="1"/>
  <c r="DY5" i="6" s="1"/>
  <c r="AM6" i="6"/>
  <c r="AR6" i="6" s="1"/>
  <c r="AW6" i="6" s="1"/>
  <c r="BB6" i="6" s="1"/>
  <c r="BG6" i="6" s="1"/>
  <c r="BL6" i="6" s="1"/>
  <c r="BQ6" i="6" s="1"/>
  <c r="BV6" i="6" s="1"/>
  <c r="CA6" i="6" s="1"/>
  <c r="CF6" i="6" s="1"/>
  <c r="CK6" i="6" s="1"/>
  <c r="CP6" i="6" s="1"/>
  <c r="CU6" i="6" s="1"/>
  <c r="CZ6" i="6" s="1"/>
  <c r="DE6" i="6" s="1"/>
  <c r="DJ6" i="6" s="1"/>
  <c r="DO6" i="6" s="1"/>
  <c r="DT6" i="6" s="1"/>
  <c r="DY6" i="6" s="1"/>
  <c r="ED6" i="6" s="1"/>
  <c r="EI6" i="6" s="1"/>
  <c r="EN6" i="6" s="1"/>
  <c r="AM9" i="6"/>
  <c r="AR9" i="6" s="1"/>
  <c r="AW9" i="6" s="1"/>
  <c r="BB9" i="6" s="1"/>
  <c r="BG9" i="6" s="1"/>
  <c r="BL9" i="6" s="1"/>
  <c r="BQ9" i="6" s="1"/>
  <c r="BV9" i="6" s="1"/>
  <c r="AM8" i="6"/>
  <c r="AR8" i="6" s="1"/>
  <c r="AW8" i="6" s="1"/>
  <c r="BB8" i="6" s="1"/>
  <c r="BG8" i="6" s="1"/>
  <c r="BL8" i="6" s="1"/>
  <c r="AM7" i="6"/>
  <c r="AR7" i="6" s="1"/>
  <c r="AM4" i="6"/>
  <c r="AM10" i="6"/>
  <c r="AR10" i="6" s="1"/>
  <c r="AW10" i="6" s="1"/>
  <c r="BB10" i="6" s="1"/>
  <c r="BG10" i="6" s="1"/>
  <c r="BL10" i="6" s="1"/>
  <c r="BQ10" i="6" s="1"/>
  <c r="BV10" i="6" s="1"/>
  <c r="CA10" i="6" s="1"/>
  <c r="CF10" i="6" s="1"/>
  <c r="CK10" i="6" s="1"/>
  <c r="CP10" i="6" s="1"/>
  <c r="CU10" i="6" s="1"/>
  <c r="CZ10" i="6" s="1"/>
  <c r="DE10" i="6" s="1"/>
  <c r="DJ10" i="6" s="1"/>
  <c r="DO10" i="6" s="1"/>
  <c r="DT10" i="6" s="1"/>
  <c r="DY10" i="6" s="1"/>
  <c r="ED10" i="6" s="1"/>
  <c r="EI10" i="6" s="1"/>
  <c r="EN10" i="6" s="1"/>
  <c r="ED5" i="6" l="1"/>
  <c r="EI5" i="6" s="1"/>
  <c r="DJ23" i="6"/>
  <c r="AR4" i="6"/>
  <c r="AM11" i="6"/>
  <c r="AR26" i="6"/>
  <c r="AR32" i="6"/>
  <c r="CA9" i="6"/>
  <c r="CF9" i="6" s="1"/>
  <c r="CK9" i="6" s="1"/>
  <c r="CP9" i="6" s="1"/>
  <c r="CU9" i="6" s="1"/>
  <c r="CZ9" i="6" s="1"/>
  <c r="DE9" i="6" s="1"/>
  <c r="DJ9" i="6" s="1"/>
  <c r="DO9" i="6" s="1"/>
  <c r="DT9" i="6" s="1"/>
  <c r="DY9" i="6" s="1"/>
  <c r="ED9" i="6" s="1"/>
  <c r="EI9" i="6" s="1"/>
  <c r="EN9" i="6" s="1"/>
  <c r="BQ8" i="6"/>
  <c r="BV8" i="6" s="1"/>
  <c r="CA8" i="6" s="1"/>
  <c r="CF8" i="6" s="1"/>
  <c r="CK8" i="6" s="1"/>
  <c r="CP8" i="6" s="1"/>
  <c r="CU8" i="6" s="1"/>
  <c r="CZ8" i="6" s="1"/>
  <c r="DE8" i="6" s="1"/>
  <c r="DJ8" i="6" s="1"/>
  <c r="DO8" i="6" s="1"/>
  <c r="DT8" i="6" s="1"/>
  <c r="DY8" i="6" s="1"/>
  <c r="ED8" i="6" s="1"/>
  <c r="EI8" i="6" s="1"/>
  <c r="EN8" i="6" s="1"/>
  <c r="AW19" i="6"/>
  <c r="AW21" i="6"/>
  <c r="AW33" i="6" s="1"/>
  <c r="AW7" i="6"/>
  <c r="EN5" i="6" l="1"/>
  <c r="DO23" i="6"/>
  <c r="AW32" i="6"/>
  <c r="AW26" i="6"/>
  <c r="AM31" i="6"/>
  <c r="AM35" i="6" s="1"/>
  <c r="AM27" i="6"/>
  <c r="AW4" i="6"/>
  <c r="AR11" i="6"/>
  <c r="BB21" i="6"/>
  <c r="BB33" i="6" s="1"/>
  <c r="BB19" i="6"/>
  <c r="BB7" i="6"/>
  <c r="DT23" i="6" l="1"/>
  <c r="BB32" i="6"/>
  <c r="BB26" i="6"/>
  <c r="AR27" i="6"/>
  <c r="AR31" i="6"/>
  <c r="AR35" i="6" s="1"/>
  <c r="AW11" i="6"/>
  <c r="BB4" i="6"/>
  <c r="BG19" i="6"/>
  <c r="BG21" i="6"/>
  <c r="BG33" i="6" s="1"/>
  <c r="BG7" i="6"/>
  <c r="DY23" i="6" l="1"/>
  <c r="ED23" i="6" s="1"/>
  <c r="EI23" i="6" s="1"/>
  <c r="EN23" i="6" s="1"/>
  <c r="BG32" i="6"/>
  <c r="BG26" i="6"/>
  <c r="BB11" i="6"/>
  <c r="BG4" i="6"/>
  <c r="AW31" i="6"/>
  <c r="AW35" i="6" s="1"/>
  <c r="AW27" i="6"/>
  <c r="BL7" i="6"/>
  <c r="BL21" i="6"/>
  <c r="BL33" i="6" s="1"/>
  <c r="BL19" i="6"/>
  <c r="BL26" i="6" l="1"/>
  <c r="BL32" i="6"/>
  <c r="BB31" i="6"/>
  <c r="BB35" i="6" s="1"/>
  <c r="BB27" i="6"/>
  <c r="BG11" i="6"/>
  <c r="BL4" i="6"/>
  <c r="BQ19" i="6"/>
  <c r="BQ7" i="6"/>
  <c r="BV7" i="6" s="1"/>
  <c r="CA7" i="6" s="1"/>
  <c r="CF7" i="6" s="1"/>
  <c r="CK7" i="6" s="1"/>
  <c r="CP7" i="6" s="1"/>
  <c r="CU7" i="6" s="1"/>
  <c r="CZ7" i="6" s="1"/>
  <c r="DE7" i="6" s="1"/>
  <c r="DJ7" i="6" s="1"/>
  <c r="DO7" i="6" s="1"/>
  <c r="DT7" i="6" s="1"/>
  <c r="DY7" i="6" s="1"/>
  <c r="ED7" i="6" s="1"/>
  <c r="EI7" i="6" s="1"/>
  <c r="EN7" i="6" s="1"/>
  <c r="BQ21" i="6"/>
  <c r="BQ33" i="6" s="1"/>
  <c r="BL11" i="6" l="1"/>
  <c r="BQ4" i="6"/>
  <c r="BG27" i="6"/>
  <c r="BG31" i="6"/>
  <c r="BG35" i="6" s="1"/>
  <c r="BV19" i="6"/>
  <c r="CA19" i="6" s="1"/>
  <c r="BQ32" i="6"/>
  <c r="BQ26" i="6"/>
  <c r="BV21" i="6"/>
  <c r="BV33" i="6" s="1"/>
  <c r="BL27" i="6" l="1"/>
  <c r="BL31" i="6"/>
  <c r="BL35" i="6" s="1"/>
  <c r="CF19" i="6"/>
  <c r="CA32" i="6"/>
  <c r="BV32" i="6"/>
  <c r="BV26" i="6"/>
  <c r="BV4" i="6"/>
  <c r="BQ11" i="6"/>
  <c r="CA21" i="6"/>
  <c r="CF21" i="6" l="1"/>
  <c r="CF26" i="6" s="1"/>
  <c r="CA33" i="6"/>
  <c r="BQ27" i="6"/>
  <c r="BQ31" i="6"/>
  <c r="BQ35" i="6" s="1"/>
  <c r="BV11" i="6"/>
  <c r="CA4" i="6"/>
  <c r="CA26" i="6"/>
  <c r="CK19" i="6"/>
  <c r="CP19" i="6" s="1"/>
  <c r="CF32" i="6"/>
  <c r="CU19" i="6" l="1"/>
  <c r="CZ19" i="6" s="1"/>
  <c r="CP32" i="6"/>
  <c r="CF4" i="6"/>
  <c r="CA11" i="6"/>
  <c r="BV31" i="6"/>
  <c r="BV35" i="6" s="1"/>
  <c r="BV27" i="6"/>
  <c r="CK32" i="6"/>
  <c r="CF33" i="6"/>
  <c r="CK21" i="6"/>
  <c r="DE19" i="6" l="1"/>
  <c r="CZ32" i="6"/>
  <c r="CK33" i="6"/>
  <c r="CP21" i="6"/>
  <c r="CU32" i="6"/>
  <c r="CK26" i="6"/>
  <c r="CA27" i="6"/>
  <c r="CA31" i="6"/>
  <c r="CA35" i="6" s="1"/>
  <c r="CF11" i="6"/>
  <c r="CK4" i="6"/>
  <c r="DJ19" i="6" l="1"/>
  <c r="DE32" i="6"/>
  <c r="CU21" i="6"/>
  <c r="CZ21" i="6" s="1"/>
  <c r="DE21" i="6" s="1"/>
  <c r="CP33" i="6"/>
  <c r="CP26" i="6"/>
  <c r="CK11" i="6"/>
  <c r="CK27" i="6" s="1"/>
  <c r="CP4" i="6"/>
  <c r="CK31" i="6"/>
  <c r="CK35" i="6" s="1"/>
  <c r="CF31" i="6"/>
  <c r="CF35" i="6" s="1"/>
  <c r="CF27" i="6"/>
  <c r="DO19" i="6" l="1"/>
  <c r="DJ32" i="6"/>
  <c r="DJ21" i="6"/>
  <c r="DO21" i="6" s="1"/>
  <c r="DT21" i="6" s="1"/>
  <c r="DY21" i="6" s="1"/>
  <c r="DE26" i="6"/>
  <c r="DE33" i="6"/>
  <c r="CZ26" i="6"/>
  <c r="CZ33" i="6"/>
  <c r="CU33" i="6"/>
  <c r="CU26" i="6"/>
  <c r="CP11" i="6"/>
  <c r="CU4" i="6"/>
  <c r="CU11" i="6" l="1"/>
  <c r="CZ4" i="6"/>
  <c r="ED21" i="6"/>
  <c r="DY33" i="6"/>
  <c r="DT19" i="6"/>
  <c r="DO32" i="6"/>
  <c r="DT33" i="6"/>
  <c r="DT26" i="6"/>
  <c r="DO33" i="6"/>
  <c r="DO26" i="6"/>
  <c r="DJ33" i="6"/>
  <c r="DJ26" i="6"/>
  <c r="CP31" i="6"/>
  <c r="CP35" i="6" s="1"/>
  <c r="CP27" i="6"/>
  <c r="CU31" i="6"/>
  <c r="CU35" i="6" s="1"/>
  <c r="CU27" i="6"/>
  <c r="DY19" i="6" l="1"/>
  <c r="DT32" i="6"/>
  <c r="EI21" i="6"/>
  <c r="ED33" i="6"/>
  <c r="CZ11" i="6"/>
  <c r="DE4" i="6"/>
  <c r="DE11" i="6" l="1"/>
  <c r="DJ4" i="6"/>
  <c r="CZ31" i="6"/>
  <c r="CZ35" i="6" s="1"/>
  <c r="CZ27" i="6"/>
  <c r="EN21" i="6"/>
  <c r="EN33" i="6" s="1"/>
  <c r="EI33" i="6"/>
  <c r="ED19" i="6"/>
  <c r="DY32" i="6"/>
  <c r="DY26" i="6"/>
  <c r="EI19" i="6" l="1"/>
  <c r="ED32" i="6"/>
  <c r="ED26" i="6"/>
  <c r="DO4" i="6"/>
  <c r="DJ11" i="6"/>
  <c r="DE31" i="6"/>
  <c r="DE35" i="6" s="1"/>
  <c r="DE27" i="6"/>
  <c r="EN19" i="6" l="1"/>
  <c r="EI32" i="6"/>
  <c r="EI26" i="6"/>
  <c r="DJ31" i="6"/>
  <c r="DJ35" i="6" s="1"/>
  <c r="DJ27" i="6"/>
  <c r="DT4" i="6"/>
  <c r="DO11" i="6"/>
  <c r="DO31" i="6" l="1"/>
  <c r="DO35" i="6" s="1"/>
  <c r="DO27" i="6"/>
  <c r="DY4" i="6"/>
  <c r="DT11" i="6"/>
  <c r="EN32" i="6"/>
  <c r="EN26" i="6"/>
  <c r="DT31" i="6" l="1"/>
  <c r="DT35" i="6" s="1"/>
  <c r="DT27" i="6"/>
  <c r="ED4" i="6"/>
  <c r="DY11" i="6"/>
  <c r="DY31" i="6" l="1"/>
  <c r="DY35" i="6" s="1"/>
  <c r="DY27" i="6"/>
  <c r="EI4" i="6"/>
  <c r="ED11" i="6"/>
  <c r="ED31" i="6" l="1"/>
  <c r="ED35" i="6" s="1"/>
  <c r="ED27" i="6"/>
  <c r="EN4" i="6"/>
  <c r="EN11" i="6" s="1"/>
  <c r="EI11" i="6"/>
  <c r="EI31" i="6" l="1"/>
  <c r="EI35" i="6" s="1"/>
  <c r="EI27" i="6"/>
  <c r="EN31" i="6"/>
  <c r="EN35" i="6" s="1"/>
  <c r="EN27" i="6"/>
</calcChain>
</file>

<file path=xl/sharedStrings.xml><?xml version="1.0" encoding="utf-8"?>
<sst xmlns="http://schemas.openxmlformats.org/spreadsheetml/2006/main" count="2641" uniqueCount="98">
  <si>
    <t>542469500102D1</t>
  </si>
  <si>
    <t>542469500118D1</t>
  </si>
  <si>
    <t>542469500119D1</t>
  </si>
  <si>
    <t>542469500120D1</t>
  </si>
  <si>
    <t>546769500115D1</t>
  </si>
  <si>
    <t>546769500133D1</t>
  </si>
  <si>
    <t>546769500134D1</t>
  </si>
  <si>
    <t>546769500135D1</t>
  </si>
  <si>
    <t>546469500109ZY</t>
  </si>
  <si>
    <t>546469500114ZY</t>
  </si>
  <si>
    <t>5464695001022Z</t>
  </si>
  <si>
    <t>546469500120ZY</t>
  </si>
  <si>
    <t>546469500120ZZ</t>
  </si>
  <si>
    <t>102D1</t>
  </si>
  <si>
    <t>118D1</t>
  </si>
  <si>
    <t>119D1</t>
  </si>
  <si>
    <t>120D1</t>
  </si>
  <si>
    <t>115D1</t>
  </si>
  <si>
    <t>133D1</t>
  </si>
  <si>
    <t>134D1</t>
  </si>
  <si>
    <t>135D1</t>
  </si>
  <si>
    <t>Customer Part No.</t>
  </si>
  <si>
    <t>Part Description</t>
  </si>
  <si>
    <t>Stock at TML</t>
  </si>
  <si>
    <t>546469500114ZZ</t>
  </si>
  <si>
    <t>102ZX</t>
  </si>
  <si>
    <t>546469500102ZX</t>
  </si>
  <si>
    <t>109ZY</t>
  </si>
  <si>
    <t>114ZZ</t>
  </si>
  <si>
    <t>120ZY</t>
  </si>
  <si>
    <t>120ZZ</t>
  </si>
  <si>
    <t>Stock at GA</t>
  </si>
  <si>
    <t>Total</t>
  </si>
  <si>
    <t>Customer Plan</t>
  </si>
  <si>
    <t>Production at GA</t>
  </si>
  <si>
    <t>Dispatch From GA</t>
  </si>
  <si>
    <t>Opn Stock at TML</t>
  </si>
  <si>
    <t>Opn Stock at GA</t>
  </si>
  <si>
    <t>Date&gt;&gt;&gt;&gt;</t>
  </si>
  <si>
    <t>Grand Total</t>
  </si>
  <si>
    <t>114ZY</t>
  </si>
  <si>
    <t>102ZZ</t>
  </si>
  <si>
    <t>7-Dec       Sunday</t>
  </si>
  <si>
    <t xml:space="preserve">
</t>
  </si>
  <si>
    <t>SR</t>
  </si>
  <si>
    <t>PR</t>
  </si>
  <si>
    <t>Opn Stock
 at TML</t>
  </si>
  <si>
    <t>Opn Stock
 at GA</t>
  </si>
  <si>
    <t>Production
 at GA</t>
  </si>
  <si>
    <t>Dispatch
 From GA</t>
  </si>
  <si>
    <t>Customer 
Plan</t>
  </si>
  <si>
    <t>Opn Stock 
at TML</t>
  </si>
  <si>
    <t>Customer
 Plan</t>
  </si>
  <si>
    <t>Nexon</t>
  </si>
  <si>
    <t>One</t>
  </si>
  <si>
    <t>Machine</t>
  </si>
  <si>
    <t>Breakdow</t>
  </si>
  <si>
    <t>D90</t>
  </si>
  <si>
    <t>X0</t>
  </si>
  <si>
    <t>C00400774-A058</t>
  </si>
  <si>
    <t>D90 ( MG)</t>
  </si>
  <si>
    <t>546769500130D1</t>
  </si>
  <si>
    <t>546769500140D1</t>
  </si>
  <si>
    <t>549169500103D1</t>
  </si>
  <si>
    <t>549169500106D1</t>
  </si>
  <si>
    <t>6AB</t>
  </si>
  <si>
    <t>FG Stock and
 Production</t>
  </si>
  <si>
    <t>X0 - Total</t>
  </si>
  <si>
    <t>Nexon - Total</t>
  </si>
  <si>
    <t>103D1</t>
  </si>
  <si>
    <t>106D1</t>
  </si>
  <si>
    <t>130D1</t>
  </si>
  <si>
    <t>140D1</t>
  </si>
  <si>
    <t>6AB - Total</t>
  </si>
  <si>
    <t>546769500120D1</t>
  </si>
  <si>
    <t>543869506319D1</t>
  </si>
  <si>
    <t>546769500108D1</t>
  </si>
  <si>
    <t>546769500109D1</t>
  </si>
  <si>
    <t>6319D1-GH</t>
  </si>
  <si>
    <t>108D1-Spacer</t>
  </si>
  <si>
    <t>109D1-Spacer</t>
  </si>
  <si>
    <t>542468900289ZZ</t>
  </si>
  <si>
    <t>Cluster GB</t>
  </si>
  <si>
    <t>542468900289ZV</t>
  </si>
  <si>
    <t>Cluster ULS</t>
  </si>
  <si>
    <t>542468900289ZQ</t>
  </si>
  <si>
    <t>Cluster Titan Brown</t>
  </si>
  <si>
    <t>542468910103CC</t>
  </si>
  <si>
    <t>Console LLG</t>
  </si>
  <si>
    <t>542468910103D1</t>
  </si>
  <si>
    <t>Console KLG</t>
  </si>
  <si>
    <t>542569500104D1</t>
  </si>
  <si>
    <t>HMSL KLG</t>
  </si>
  <si>
    <t>542569500104CC</t>
  </si>
  <si>
    <t>HMSL LLG</t>
  </si>
  <si>
    <t>Headline Summary</t>
  </si>
  <si>
    <t>Plastic Parts</t>
  </si>
  <si>
    <t>Receipt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</si>
</sst>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rgb="FF00206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49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0" fontId="2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/>
    </xf>
    <xf numFmtId="0" fontId="0" fillId="0" borderId="0" xfId="0" applyAlignment="1">
      <alignment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0" fontId="1" fillId="10" borderId="1" xfId="0" applyFont="1" applyFill="1" applyBorder="1"/>
    <xf numFmtId="0" fontId="1" fillId="10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/>
    </xf>
    <xf numFmtId="0" fontId="0" fillId="12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5" fontId="1" fillId="7" borderId="1" xfId="0" applyNumberFormat="1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15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15" fontId="1" fillId="2" borderId="2" xfId="0" applyNumberFormat="1" applyFont="1" applyFill="1" applyBorder="1" applyAlignment="1">
      <alignment horizontal="center"/>
    </xf>
    <xf numFmtId="15" fontId="1" fillId="2" borderId="3" xfId="0" applyNumberFormat="1" applyFont="1" applyFill="1" applyBorder="1" applyAlignment="1">
      <alignment horizontal="center"/>
    </xf>
    <xf numFmtId="15" fontId="1" fillId="2" borderId="4" xfId="0" applyNumberFormat="1" applyFont="1" applyFill="1" applyBorder="1" applyAlignment="1">
      <alignment horizontal="center"/>
    </xf>
    <xf numFmtId="15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5" fontId="1" fillId="3" borderId="2" xfId="0" applyNumberFormat="1" applyFont="1" applyFill="1" applyBorder="1" applyAlignment="1">
      <alignment horizontal="center"/>
    </xf>
    <xf numFmtId="15" fontId="1" fillId="3" borderId="3" xfId="0" applyNumberFormat="1" applyFont="1" applyFill="1" applyBorder="1" applyAlignment="1">
      <alignment horizontal="center"/>
    </xf>
    <xf numFmtId="15" fontId="1" fillId="3" borderId="4" xfId="0" applyNumberFormat="1" applyFont="1" applyFill="1" applyBorder="1" applyAlignment="1">
      <alignment horizontal="center"/>
    </xf>
    <xf numFmtId="15" fontId="1" fillId="6" borderId="1" xfId="0" applyNumberFormat="1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 vertical="center"/>
    </xf>
  </cellXfs>
  <cellStyles count="2">
    <cellStyle name="Normal" xfId="0" builtinId="0"/>
    <cellStyle name="Normal 2 2 10" xfId="1" xr:uid="{27272875-0415-4B05-9229-35A3F1646DE1}"/>
  </cellStyles>
  <dxfs count="1">
    <dxf>
      <fill>
        <patternFill>
          <bgColor rgb="FFFF2F2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X31"/>
  <sheetViews>
    <sheetView zoomScale="60" zoomScaleNormal="60" workbookViewId="0">
      <pane xSplit="3" ySplit="3" topLeftCell="CP4" activePane="bottomRight" state="frozen"/>
      <selection pane="topRight" activeCell="C1" sqref="C1"/>
      <selection pane="bottomLeft" activeCell="A4" sqref="A4"/>
      <selection pane="bottomRight" activeCell="DV17" sqref="DV17"/>
    </sheetView>
  </sheetViews>
  <sheetFormatPr defaultRowHeight="14.5" x14ac:dyDescent="0.35"/>
  <cols>
    <col min="2" max="2" width="16.1796875" bestFit="1" customWidth="1"/>
    <col min="3" max="3" width="10.36328125" bestFit="1" customWidth="1"/>
    <col min="4" max="5" width="9.36328125" hidden="1" customWidth="1"/>
    <col min="6" max="6" width="10.08984375" hidden="1" customWidth="1"/>
    <col min="7" max="7" width="8.08984375" hidden="1" customWidth="1"/>
    <col min="8" max="8" width="9" hidden="1" customWidth="1"/>
    <col min="9" max="9" width="9.36328125" hidden="1" customWidth="1"/>
    <col min="10" max="10" width="10.453125" hidden="1" customWidth="1"/>
    <col min="11" max="11" width="10.08984375" hidden="1" customWidth="1"/>
    <col min="12" max="12" width="8.08984375" hidden="1" customWidth="1"/>
    <col min="13" max="13" width="9" hidden="1" customWidth="1"/>
    <col min="14" max="15" width="9.36328125" hidden="1" customWidth="1"/>
    <col min="16" max="16" width="10.08984375" hidden="1" customWidth="1"/>
    <col min="17" max="17" width="8.08984375" hidden="1" customWidth="1"/>
    <col min="18" max="18" width="9" hidden="1" customWidth="1"/>
    <col min="19" max="20" width="7.54296875" hidden="1" customWidth="1"/>
    <col min="21" max="21" width="8.6328125" hidden="1" customWidth="1"/>
    <col min="22" max="22" width="8.08984375" hidden="1" customWidth="1"/>
    <col min="23" max="23" width="8.6328125" hidden="1" customWidth="1"/>
    <col min="24" max="25" width="7.54296875" hidden="1" customWidth="1"/>
    <col min="26" max="26" width="8.6328125" hidden="1" customWidth="1"/>
    <col min="27" max="27" width="8.08984375" hidden="1" customWidth="1"/>
    <col min="28" max="28" width="8.6328125" hidden="1" customWidth="1"/>
    <col min="29" max="30" width="7.54296875" hidden="1" customWidth="1"/>
    <col min="31" max="31" width="8.6328125" hidden="1" customWidth="1"/>
    <col min="32" max="41" width="8.7265625" hidden="1" customWidth="1"/>
    <col min="42" max="42" width="8.08984375" hidden="1" customWidth="1"/>
    <col min="43" max="43" width="8.6328125" hidden="1" customWidth="1"/>
    <col min="44" max="68" width="8.7265625" hidden="1" customWidth="1"/>
    <col min="69" max="108" width="0" hidden="1" customWidth="1"/>
  </cols>
  <sheetData>
    <row r="2" spans="1:128" x14ac:dyDescent="0.35">
      <c r="B2" s="7" t="s">
        <v>38</v>
      </c>
      <c r="C2" s="7"/>
      <c r="D2" s="31">
        <v>45964</v>
      </c>
      <c r="E2" s="32"/>
      <c r="F2" s="32"/>
      <c r="G2" s="32"/>
      <c r="H2" s="32"/>
      <c r="I2" s="41">
        <v>45965</v>
      </c>
      <c r="J2" s="42"/>
      <c r="K2" s="42"/>
      <c r="L2" s="42"/>
      <c r="M2" s="42"/>
      <c r="N2" s="31">
        <v>45966</v>
      </c>
      <c r="O2" s="32"/>
      <c r="P2" s="32"/>
      <c r="Q2" s="32"/>
      <c r="R2" s="32"/>
      <c r="S2" s="41">
        <v>45967</v>
      </c>
      <c r="T2" s="42"/>
      <c r="U2" s="42"/>
      <c r="V2" s="42"/>
      <c r="W2" s="42"/>
      <c r="X2" s="31">
        <v>45968</v>
      </c>
      <c r="Y2" s="32"/>
      <c r="Z2" s="32"/>
      <c r="AA2" s="32"/>
      <c r="AB2" s="32"/>
      <c r="AC2" s="41">
        <v>45969</v>
      </c>
      <c r="AD2" s="42"/>
      <c r="AE2" s="42"/>
      <c r="AF2" s="42"/>
      <c r="AG2" s="42"/>
      <c r="AH2" s="31">
        <v>45971</v>
      </c>
      <c r="AI2" s="32"/>
      <c r="AJ2" s="32"/>
      <c r="AK2" s="32"/>
      <c r="AL2" s="32"/>
      <c r="AM2" s="41">
        <v>45972</v>
      </c>
      <c r="AN2" s="42"/>
      <c r="AO2" s="42"/>
      <c r="AP2" s="42"/>
      <c r="AQ2" s="42"/>
      <c r="AR2" s="38">
        <v>45973</v>
      </c>
      <c r="AS2" s="39"/>
      <c r="AT2" s="39"/>
      <c r="AU2" s="39"/>
      <c r="AV2" s="40"/>
      <c r="AW2" s="41">
        <v>45974</v>
      </c>
      <c r="AX2" s="42"/>
      <c r="AY2" s="42"/>
      <c r="AZ2" s="42"/>
      <c r="BA2" s="42"/>
      <c r="BB2" s="38">
        <v>45975</v>
      </c>
      <c r="BC2" s="39"/>
      <c r="BD2" s="39"/>
      <c r="BE2" s="39"/>
      <c r="BF2" s="40"/>
      <c r="BG2" s="43">
        <v>45976</v>
      </c>
      <c r="BH2" s="44"/>
      <c r="BI2" s="44"/>
      <c r="BJ2" s="44"/>
      <c r="BK2" s="45"/>
      <c r="BL2" s="38">
        <v>45978</v>
      </c>
      <c r="BM2" s="39"/>
      <c r="BN2" s="39"/>
      <c r="BO2" s="39"/>
      <c r="BP2" s="40"/>
      <c r="BQ2" s="41">
        <v>45979</v>
      </c>
      <c r="BR2" s="42"/>
      <c r="BS2" s="42"/>
      <c r="BT2" s="42"/>
      <c r="BU2" s="42"/>
      <c r="BV2" s="38">
        <v>45980</v>
      </c>
      <c r="BW2" s="39"/>
      <c r="BX2" s="39"/>
      <c r="BY2" s="39"/>
      <c r="BZ2" s="40"/>
      <c r="CA2" s="41">
        <v>45981</v>
      </c>
      <c r="CB2" s="42"/>
      <c r="CC2" s="42"/>
      <c r="CD2" s="42"/>
      <c r="CE2" s="42"/>
      <c r="CF2" s="38">
        <v>45982</v>
      </c>
      <c r="CG2" s="39"/>
      <c r="CH2" s="39"/>
      <c r="CI2" s="39"/>
      <c r="CJ2" s="40"/>
      <c r="CK2" s="41">
        <v>45983</v>
      </c>
      <c r="CL2" s="42"/>
      <c r="CM2" s="42"/>
      <c r="CN2" s="42"/>
      <c r="CO2" s="42"/>
      <c r="CP2" s="38">
        <v>45985</v>
      </c>
      <c r="CQ2" s="39"/>
      <c r="CR2" s="39"/>
      <c r="CS2" s="39"/>
      <c r="CT2" s="40"/>
      <c r="CU2" s="41">
        <v>45986</v>
      </c>
      <c r="CV2" s="42"/>
      <c r="CW2" s="42"/>
      <c r="CX2" s="42"/>
      <c r="CY2" s="42"/>
      <c r="CZ2" s="38">
        <v>45987</v>
      </c>
      <c r="DA2" s="39"/>
      <c r="DB2" s="39"/>
      <c r="DC2" s="39"/>
      <c r="DD2" s="40"/>
      <c r="DE2" s="41">
        <v>45988</v>
      </c>
      <c r="DF2" s="42"/>
      <c r="DG2" s="42"/>
      <c r="DH2" s="42"/>
      <c r="DI2" s="42"/>
      <c r="DJ2" s="38">
        <v>45989</v>
      </c>
      <c r="DK2" s="39"/>
      <c r="DL2" s="39"/>
      <c r="DM2" s="39"/>
      <c r="DN2" s="40"/>
      <c r="DO2" s="41">
        <v>45990</v>
      </c>
      <c r="DP2" s="42"/>
      <c r="DQ2" s="42"/>
      <c r="DR2" s="42"/>
      <c r="DS2" s="42"/>
      <c r="DT2" s="38">
        <v>45991</v>
      </c>
      <c r="DU2" s="39"/>
      <c r="DV2" s="39"/>
      <c r="DW2" s="39"/>
      <c r="DX2" s="40"/>
    </row>
    <row r="3" spans="1:128" s="1" customFormat="1" ht="43.5" x14ac:dyDescent="0.35">
      <c r="B3" s="4" t="s">
        <v>21</v>
      </c>
      <c r="C3" s="4" t="s">
        <v>22</v>
      </c>
      <c r="D3" s="5" t="s">
        <v>36</v>
      </c>
      <c r="E3" s="5" t="s">
        <v>37</v>
      </c>
      <c r="F3" s="5" t="s">
        <v>34</v>
      </c>
      <c r="G3" s="5" t="s">
        <v>35</v>
      </c>
      <c r="H3" s="5" t="s">
        <v>33</v>
      </c>
      <c r="I3" s="6" t="s">
        <v>36</v>
      </c>
      <c r="J3" s="6" t="s">
        <v>37</v>
      </c>
      <c r="K3" s="6" t="s">
        <v>34</v>
      </c>
      <c r="L3" s="6" t="s">
        <v>35</v>
      </c>
      <c r="M3" s="6" t="s">
        <v>33</v>
      </c>
      <c r="N3" s="5" t="s">
        <v>36</v>
      </c>
      <c r="O3" s="5" t="s">
        <v>37</v>
      </c>
      <c r="P3" s="5" t="s">
        <v>34</v>
      </c>
      <c r="Q3" s="5" t="s">
        <v>35</v>
      </c>
      <c r="R3" s="5" t="s">
        <v>33</v>
      </c>
      <c r="S3" s="6" t="s">
        <v>36</v>
      </c>
      <c r="T3" s="6" t="s">
        <v>37</v>
      </c>
      <c r="U3" s="6" t="s">
        <v>34</v>
      </c>
      <c r="V3" s="6" t="s">
        <v>35</v>
      </c>
      <c r="W3" s="6" t="s">
        <v>33</v>
      </c>
      <c r="X3" s="5" t="s">
        <v>36</v>
      </c>
      <c r="Y3" s="5" t="s">
        <v>37</v>
      </c>
      <c r="Z3" s="5" t="s">
        <v>34</v>
      </c>
      <c r="AA3" s="5" t="s">
        <v>35</v>
      </c>
      <c r="AB3" s="5" t="s">
        <v>33</v>
      </c>
      <c r="AC3" s="6" t="s">
        <v>36</v>
      </c>
      <c r="AD3" s="6" t="s">
        <v>37</v>
      </c>
      <c r="AE3" s="6" t="s">
        <v>34</v>
      </c>
      <c r="AF3" s="6" t="s">
        <v>35</v>
      </c>
      <c r="AG3" s="6" t="s">
        <v>33</v>
      </c>
      <c r="AH3" s="5" t="s">
        <v>36</v>
      </c>
      <c r="AI3" s="5" t="s">
        <v>37</v>
      </c>
      <c r="AJ3" s="5" t="s">
        <v>34</v>
      </c>
      <c r="AK3" s="5" t="s">
        <v>35</v>
      </c>
      <c r="AL3" s="5" t="s">
        <v>33</v>
      </c>
      <c r="AM3" s="6" t="s">
        <v>36</v>
      </c>
      <c r="AN3" s="6" t="s">
        <v>37</v>
      </c>
      <c r="AO3" s="6" t="s">
        <v>34</v>
      </c>
      <c r="AP3" s="6" t="s">
        <v>35</v>
      </c>
      <c r="AQ3" s="6" t="s">
        <v>33</v>
      </c>
      <c r="AR3" s="5" t="s">
        <v>36</v>
      </c>
      <c r="AS3" s="5" t="s">
        <v>37</v>
      </c>
      <c r="AT3" s="5" t="s">
        <v>34</v>
      </c>
      <c r="AU3" s="5" t="s">
        <v>35</v>
      </c>
      <c r="AV3" s="5" t="s">
        <v>33</v>
      </c>
      <c r="AW3" s="6" t="s">
        <v>36</v>
      </c>
      <c r="AX3" s="6" t="s">
        <v>37</v>
      </c>
      <c r="AY3" s="6" t="s">
        <v>34</v>
      </c>
      <c r="AZ3" s="6" t="s">
        <v>35</v>
      </c>
      <c r="BA3" s="6" t="s">
        <v>33</v>
      </c>
      <c r="BB3" s="5" t="s">
        <v>36</v>
      </c>
      <c r="BC3" s="5" t="s">
        <v>37</v>
      </c>
      <c r="BD3" s="5" t="s">
        <v>34</v>
      </c>
      <c r="BE3" s="5" t="s">
        <v>35</v>
      </c>
      <c r="BF3" s="5" t="s">
        <v>33</v>
      </c>
      <c r="BG3" s="6" t="s">
        <v>36</v>
      </c>
      <c r="BH3" s="6" t="s">
        <v>37</v>
      </c>
      <c r="BI3" s="6" t="s">
        <v>34</v>
      </c>
      <c r="BJ3" s="6" t="s">
        <v>35</v>
      </c>
      <c r="BK3" s="6" t="s">
        <v>33</v>
      </c>
      <c r="BL3" s="5" t="s">
        <v>36</v>
      </c>
      <c r="BM3" s="5" t="s">
        <v>37</v>
      </c>
      <c r="BN3" s="5" t="s">
        <v>34</v>
      </c>
      <c r="BO3" s="5" t="s">
        <v>35</v>
      </c>
      <c r="BP3" s="5" t="s">
        <v>33</v>
      </c>
      <c r="BQ3" s="6" t="s">
        <v>36</v>
      </c>
      <c r="BR3" s="6" t="s">
        <v>37</v>
      </c>
      <c r="BS3" s="6" t="s">
        <v>34</v>
      </c>
      <c r="BT3" s="6" t="s">
        <v>35</v>
      </c>
      <c r="BU3" s="6" t="s">
        <v>33</v>
      </c>
      <c r="BV3" s="5" t="s">
        <v>36</v>
      </c>
      <c r="BW3" s="5" t="s">
        <v>37</v>
      </c>
      <c r="BX3" s="5" t="s">
        <v>34</v>
      </c>
      <c r="BY3" s="5" t="s">
        <v>35</v>
      </c>
      <c r="BZ3" s="5" t="s">
        <v>33</v>
      </c>
      <c r="CA3" s="6" t="s">
        <v>36</v>
      </c>
      <c r="CB3" s="6" t="s">
        <v>37</v>
      </c>
      <c r="CC3" s="6" t="s">
        <v>34</v>
      </c>
      <c r="CD3" s="6" t="s">
        <v>35</v>
      </c>
      <c r="CE3" s="6" t="s">
        <v>33</v>
      </c>
      <c r="CF3" s="5" t="s">
        <v>36</v>
      </c>
      <c r="CG3" s="5" t="s">
        <v>37</v>
      </c>
      <c r="CH3" s="5" t="s">
        <v>34</v>
      </c>
      <c r="CI3" s="5" t="s">
        <v>35</v>
      </c>
      <c r="CJ3" s="5" t="s">
        <v>33</v>
      </c>
      <c r="CK3" s="6" t="s">
        <v>36</v>
      </c>
      <c r="CL3" s="6" t="s">
        <v>37</v>
      </c>
      <c r="CM3" s="6" t="s">
        <v>34</v>
      </c>
      <c r="CN3" s="6" t="s">
        <v>35</v>
      </c>
      <c r="CO3" s="6" t="s">
        <v>33</v>
      </c>
      <c r="CP3" s="5" t="s">
        <v>36</v>
      </c>
      <c r="CQ3" s="5" t="s">
        <v>37</v>
      </c>
      <c r="CR3" s="5" t="s">
        <v>34</v>
      </c>
      <c r="CS3" s="5" t="s">
        <v>35</v>
      </c>
      <c r="CT3" s="5" t="s">
        <v>33</v>
      </c>
      <c r="CU3" s="6" t="s">
        <v>36</v>
      </c>
      <c r="CV3" s="6" t="s">
        <v>37</v>
      </c>
      <c r="CW3" s="6" t="s">
        <v>34</v>
      </c>
      <c r="CX3" s="6" t="s">
        <v>35</v>
      </c>
      <c r="CY3" s="6" t="s">
        <v>33</v>
      </c>
      <c r="CZ3" s="5" t="s">
        <v>36</v>
      </c>
      <c r="DA3" s="5" t="s">
        <v>37</v>
      </c>
      <c r="DB3" s="5" t="s">
        <v>34</v>
      </c>
      <c r="DC3" s="5" t="s">
        <v>35</v>
      </c>
      <c r="DD3" s="5" t="s">
        <v>33</v>
      </c>
      <c r="DE3" s="6" t="s">
        <v>36</v>
      </c>
      <c r="DF3" s="6" t="s">
        <v>37</v>
      </c>
      <c r="DG3" s="6" t="s">
        <v>34</v>
      </c>
      <c r="DH3" s="6" t="s">
        <v>35</v>
      </c>
      <c r="DI3" s="6" t="s">
        <v>33</v>
      </c>
      <c r="DJ3" s="5" t="s">
        <v>36</v>
      </c>
      <c r="DK3" s="5" t="s">
        <v>37</v>
      </c>
      <c r="DL3" s="5" t="s">
        <v>34</v>
      </c>
      <c r="DM3" s="5" t="s">
        <v>35</v>
      </c>
      <c r="DN3" s="5" t="s">
        <v>33</v>
      </c>
      <c r="DO3" s="6" t="s">
        <v>36</v>
      </c>
      <c r="DP3" s="6" t="s">
        <v>37</v>
      </c>
      <c r="DQ3" s="6" t="s">
        <v>34</v>
      </c>
      <c r="DR3" s="6" t="s">
        <v>35</v>
      </c>
      <c r="DS3" s="6" t="s">
        <v>33</v>
      </c>
      <c r="DT3" s="5" t="s">
        <v>36</v>
      </c>
      <c r="DU3" s="5" t="s">
        <v>37</v>
      </c>
      <c r="DV3" s="5" t="s">
        <v>34</v>
      </c>
      <c r="DW3" s="5" t="s">
        <v>35</v>
      </c>
      <c r="DX3" s="5" t="s">
        <v>33</v>
      </c>
    </row>
    <row r="4" spans="1:128" x14ac:dyDescent="0.35">
      <c r="A4" s="3">
        <v>0</v>
      </c>
      <c r="B4" s="2" t="s">
        <v>0</v>
      </c>
      <c r="C4" s="2" t="s">
        <v>13</v>
      </c>
      <c r="D4" s="3">
        <f t="shared" ref="D4:D11" si="0">A4</f>
        <v>0</v>
      </c>
      <c r="E4" s="3">
        <v>112</v>
      </c>
      <c r="F4" s="3">
        <v>70</v>
      </c>
      <c r="G4" s="3">
        <v>42</v>
      </c>
      <c r="H4" s="3">
        <v>13</v>
      </c>
      <c r="I4" s="3">
        <f>D4+G4-H4</f>
        <v>29</v>
      </c>
      <c r="J4" s="3">
        <f>E4+F4-G4</f>
        <v>140</v>
      </c>
      <c r="K4" s="3">
        <v>28</v>
      </c>
      <c r="L4" s="3">
        <v>70</v>
      </c>
      <c r="M4" s="3">
        <v>43</v>
      </c>
      <c r="N4" s="3">
        <f>I4+L4-M4</f>
        <v>56</v>
      </c>
      <c r="O4" s="3">
        <f>J4+K4-L4</f>
        <v>98</v>
      </c>
      <c r="P4" s="3">
        <v>42</v>
      </c>
      <c r="Q4" s="3">
        <v>14</v>
      </c>
      <c r="R4" s="3">
        <v>21</v>
      </c>
      <c r="S4" s="3">
        <f>N4+Q4-R4</f>
        <v>49</v>
      </c>
      <c r="T4" s="3">
        <f>O4+P4-Q4</f>
        <v>126</v>
      </c>
      <c r="U4" s="3">
        <v>0</v>
      </c>
      <c r="V4" s="3">
        <v>42</v>
      </c>
      <c r="W4" s="3">
        <v>39</v>
      </c>
      <c r="X4" s="3">
        <f>S4+V4-W4</f>
        <v>52</v>
      </c>
      <c r="Y4" s="3">
        <f>T4+U4-V4</f>
        <v>84</v>
      </c>
      <c r="Z4" s="3">
        <v>14</v>
      </c>
      <c r="AA4" s="3">
        <v>42</v>
      </c>
      <c r="AB4" s="3">
        <v>28</v>
      </c>
      <c r="AC4" s="3">
        <f>X4+AA4-AB4</f>
        <v>66</v>
      </c>
      <c r="AD4" s="3">
        <f>Y4+Z4-AA4</f>
        <v>56</v>
      </c>
      <c r="AE4" s="3">
        <v>28</v>
      </c>
      <c r="AF4" s="3">
        <v>42</v>
      </c>
      <c r="AG4" s="3">
        <v>29</v>
      </c>
      <c r="AH4" s="3">
        <f>AC4+AF4-AG4</f>
        <v>79</v>
      </c>
      <c r="AI4" s="3">
        <f>AD4+AE4-AF4</f>
        <v>42</v>
      </c>
      <c r="AJ4" s="3">
        <v>28</v>
      </c>
      <c r="AK4" s="3">
        <v>14</v>
      </c>
      <c r="AL4" s="3">
        <v>30</v>
      </c>
      <c r="AM4" s="3">
        <f>AH4+AK4-AL4</f>
        <v>63</v>
      </c>
      <c r="AN4" s="3">
        <f>AI4+AJ4-AK4</f>
        <v>56</v>
      </c>
      <c r="AO4" s="3">
        <v>28</v>
      </c>
      <c r="AP4" s="3">
        <v>28</v>
      </c>
      <c r="AQ4" s="3">
        <v>23</v>
      </c>
      <c r="AR4" s="3">
        <f>AM4+AP4-AQ4</f>
        <v>68</v>
      </c>
      <c r="AS4" s="3">
        <f>AN4+AO4-AP4</f>
        <v>56</v>
      </c>
      <c r="AT4" s="3">
        <v>0</v>
      </c>
      <c r="AU4" s="3">
        <v>14</v>
      </c>
      <c r="AV4" s="3">
        <v>20</v>
      </c>
      <c r="AW4" s="3">
        <f>AR4+AU4-AV4</f>
        <v>62</v>
      </c>
      <c r="AX4" s="3">
        <f>AS4+AT4-AU4</f>
        <v>42</v>
      </c>
      <c r="AY4" s="3">
        <v>28</v>
      </c>
      <c r="AZ4" s="3">
        <v>28</v>
      </c>
      <c r="BA4" s="3">
        <v>22</v>
      </c>
      <c r="BB4" s="3">
        <f>AW4+AZ4-BA4</f>
        <v>68</v>
      </c>
      <c r="BC4" s="3">
        <f>AX4+AY4-AZ4</f>
        <v>42</v>
      </c>
      <c r="BD4" s="3">
        <v>28</v>
      </c>
      <c r="BE4" s="3">
        <v>14</v>
      </c>
      <c r="BF4" s="3">
        <v>27</v>
      </c>
      <c r="BG4" s="3">
        <f>BB4+BE4-BF4</f>
        <v>55</v>
      </c>
      <c r="BH4" s="3">
        <f>BC4+BD4-BE4</f>
        <v>56</v>
      </c>
      <c r="BI4" s="3">
        <v>42</v>
      </c>
      <c r="BJ4" s="3">
        <v>42</v>
      </c>
      <c r="BK4" s="3">
        <v>40</v>
      </c>
      <c r="BL4" s="3">
        <f>BG4+BJ4-BK4</f>
        <v>57</v>
      </c>
      <c r="BM4" s="3">
        <f>BH4+BI4-BJ4</f>
        <v>56</v>
      </c>
      <c r="BN4" s="3">
        <v>70</v>
      </c>
      <c r="BO4" s="3">
        <v>28</v>
      </c>
      <c r="BP4" s="3">
        <v>40</v>
      </c>
      <c r="BQ4" s="3">
        <f>BL4+BO4-BP4</f>
        <v>45</v>
      </c>
      <c r="BR4" s="3">
        <f>BM4+BN4-BO4</f>
        <v>98</v>
      </c>
      <c r="BS4" s="3">
        <v>0</v>
      </c>
      <c r="BT4" s="3">
        <v>70</v>
      </c>
      <c r="BU4" s="3">
        <v>47</v>
      </c>
      <c r="BV4" s="3">
        <f>BQ4+BT4-BU4</f>
        <v>68</v>
      </c>
      <c r="BW4" s="3">
        <f>BR4+BS4-BT4</f>
        <v>28</v>
      </c>
      <c r="BX4" s="3">
        <v>84</v>
      </c>
      <c r="BY4" s="3">
        <v>70</v>
      </c>
      <c r="BZ4" s="3">
        <v>81</v>
      </c>
      <c r="CA4" s="3">
        <f>BV4+BY4-BZ4</f>
        <v>57</v>
      </c>
      <c r="CB4" s="3">
        <f>BW4+BX4-BY4</f>
        <v>42</v>
      </c>
      <c r="CC4" s="3">
        <v>56</v>
      </c>
      <c r="CD4" s="3">
        <v>42</v>
      </c>
      <c r="CE4" s="3">
        <v>57</v>
      </c>
      <c r="CF4" s="3">
        <f>CA4+CD4-CE4</f>
        <v>42</v>
      </c>
      <c r="CG4" s="3">
        <f>CB4+CC4-CD4</f>
        <v>56</v>
      </c>
      <c r="CH4" s="3">
        <v>42</v>
      </c>
      <c r="CI4" s="3">
        <v>56</v>
      </c>
      <c r="CJ4" s="3">
        <v>37</v>
      </c>
      <c r="CK4" s="3">
        <f>CF4+CI4-CJ4</f>
        <v>61</v>
      </c>
      <c r="CL4" s="3">
        <f>CG4+CH4-CI4</f>
        <v>42</v>
      </c>
      <c r="CM4" s="3">
        <v>56</v>
      </c>
      <c r="CN4" s="3">
        <v>28</v>
      </c>
      <c r="CO4" s="3">
        <v>40</v>
      </c>
      <c r="CP4" s="3">
        <f>CK4+CN4-CO4</f>
        <v>49</v>
      </c>
      <c r="CQ4" s="3">
        <f>CL4+CM4-CN4</f>
        <v>70</v>
      </c>
      <c r="CR4" s="3">
        <v>0</v>
      </c>
      <c r="CS4" s="3">
        <v>28</v>
      </c>
      <c r="CT4" s="3">
        <v>27</v>
      </c>
      <c r="CU4" s="3">
        <f>CP4+CS4-CT4</f>
        <v>50</v>
      </c>
      <c r="CV4" s="3">
        <f>CQ4+CR4-CS4</f>
        <v>42</v>
      </c>
      <c r="CW4" s="3">
        <v>56</v>
      </c>
      <c r="CX4" s="3">
        <v>14</v>
      </c>
      <c r="CY4" s="3">
        <v>16</v>
      </c>
      <c r="CZ4" s="3">
        <f>CU4+CX4-CY4</f>
        <v>48</v>
      </c>
      <c r="DA4" s="3">
        <f>CV4+CW4-CX4</f>
        <v>84</v>
      </c>
      <c r="DB4" s="3">
        <v>0</v>
      </c>
      <c r="DC4" s="3">
        <v>56</v>
      </c>
      <c r="DD4" s="3">
        <v>58</v>
      </c>
      <c r="DE4" s="3">
        <f>CZ4+DC4-DD4</f>
        <v>46</v>
      </c>
      <c r="DF4" s="3">
        <f>DA4+DB4-DC4</f>
        <v>28</v>
      </c>
      <c r="DG4" s="3">
        <v>56</v>
      </c>
      <c r="DH4" s="3">
        <v>70</v>
      </c>
      <c r="DI4" s="3">
        <v>58</v>
      </c>
      <c r="DJ4" s="3">
        <f>DE4+DH4-DI4</f>
        <v>58</v>
      </c>
      <c r="DK4" s="3">
        <f>DF4+DG4-DH4</f>
        <v>14</v>
      </c>
      <c r="DL4" s="3">
        <v>56</v>
      </c>
      <c r="DM4" s="3">
        <v>14</v>
      </c>
      <c r="DN4" s="3">
        <v>33</v>
      </c>
      <c r="DO4" s="3">
        <f>DJ4+DM4-DN4</f>
        <v>39</v>
      </c>
      <c r="DP4" s="3">
        <f>DK4+DL4-DM4</f>
        <v>56</v>
      </c>
      <c r="DQ4" s="3">
        <v>14</v>
      </c>
      <c r="DR4" s="3">
        <v>0</v>
      </c>
      <c r="DS4" s="3">
        <v>11</v>
      </c>
      <c r="DT4" s="3">
        <f>DO4+DR4-DS4</f>
        <v>28</v>
      </c>
      <c r="DU4" s="3">
        <f>DP4+DQ4-DR4</f>
        <v>70</v>
      </c>
      <c r="DV4" s="3">
        <v>0</v>
      </c>
      <c r="DW4" s="3">
        <v>0</v>
      </c>
      <c r="DX4" s="3">
        <v>0</v>
      </c>
    </row>
    <row r="5" spans="1:128" x14ac:dyDescent="0.35">
      <c r="A5" s="3">
        <v>20</v>
      </c>
      <c r="B5" s="2" t="s">
        <v>1</v>
      </c>
      <c r="C5" s="2" t="s">
        <v>14</v>
      </c>
      <c r="D5" s="3">
        <f t="shared" si="0"/>
        <v>20</v>
      </c>
      <c r="E5" s="3">
        <v>28</v>
      </c>
      <c r="F5" s="3">
        <v>0</v>
      </c>
      <c r="G5" s="3">
        <v>0</v>
      </c>
      <c r="H5" s="3">
        <v>5</v>
      </c>
      <c r="I5" s="3">
        <f t="shared" ref="I5:I11" si="1">D5+G5-H5</f>
        <v>15</v>
      </c>
      <c r="J5" s="3">
        <f t="shared" ref="J5:J11" si="2">E5+F5-G5</f>
        <v>28</v>
      </c>
      <c r="K5" s="3">
        <v>0</v>
      </c>
      <c r="L5" s="3">
        <v>14</v>
      </c>
      <c r="M5" s="3">
        <v>9</v>
      </c>
      <c r="N5" s="3">
        <f t="shared" ref="N5:N11" si="3">I5+L5-M5</f>
        <v>20</v>
      </c>
      <c r="O5" s="3">
        <f t="shared" ref="O5:O11" si="4">J5+K5-L5</f>
        <v>14</v>
      </c>
      <c r="P5" s="3">
        <v>0</v>
      </c>
      <c r="Q5" s="3">
        <v>0</v>
      </c>
      <c r="R5" s="3">
        <v>0</v>
      </c>
      <c r="S5" s="3">
        <f t="shared" ref="S5:S11" si="5">N5+Q5-R5</f>
        <v>20</v>
      </c>
      <c r="T5" s="3">
        <f t="shared" ref="T5:T11" si="6">O5+P5-Q5</f>
        <v>14</v>
      </c>
      <c r="U5" s="3">
        <v>0</v>
      </c>
      <c r="V5" s="3">
        <v>14</v>
      </c>
      <c r="W5" s="3">
        <v>0</v>
      </c>
      <c r="X5" s="3">
        <f t="shared" ref="X5:X11" si="7">S5+V5-W5</f>
        <v>34</v>
      </c>
      <c r="Y5" s="3">
        <f t="shared" ref="Y5:Y11" si="8">T5+U5-V5</f>
        <v>0</v>
      </c>
      <c r="Z5" s="3">
        <v>0</v>
      </c>
      <c r="AA5" s="3">
        <v>0</v>
      </c>
      <c r="AB5" s="3">
        <v>0</v>
      </c>
      <c r="AC5" s="3">
        <f t="shared" ref="AC5:AC11" si="9">X5+AA5-AB5</f>
        <v>34</v>
      </c>
      <c r="AD5" s="3">
        <f t="shared" ref="AD5:AD11" si="10">Y5+Z5-AA5</f>
        <v>0</v>
      </c>
      <c r="AE5" s="3">
        <v>14</v>
      </c>
      <c r="AF5" s="3">
        <v>0</v>
      </c>
      <c r="AG5" s="3">
        <v>0</v>
      </c>
      <c r="AH5" s="3">
        <f t="shared" ref="AH5:AH11" si="11">AC5+AF5-AG5</f>
        <v>34</v>
      </c>
      <c r="AI5" s="3">
        <f t="shared" ref="AI5:AI11" si="12">AD5+AE5-AF5</f>
        <v>14</v>
      </c>
      <c r="AJ5" s="3">
        <v>0</v>
      </c>
      <c r="AK5" s="3">
        <v>14</v>
      </c>
      <c r="AL5" s="3">
        <v>0</v>
      </c>
      <c r="AM5" s="3">
        <f t="shared" ref="AM5:AM11" si="13">AH5+AK5-AL5</f>
        <v>48</v>
      </c>
      <c r="AN5" s="3">
        <f t="shared" ref="AN5:AN11" si="14">AI5+AJ5-AK5</f>
        <v>0</v>
      </c>
      <c r="AO5" s="3"/>
      <c r="AP5" s="3">
        <v>0</v>
      </c>
      <c r="AQ5" s="3">
        <v>0</v>
      </c>
      <c r="AR5" s="3">
        <f t="shared" ref="AR5:AR11" si="15">AM5+AP5-AQ5</f>
        <v>48</v>
      </c>
      <c r="AS5" s="3">
        <f t="shared" ref="AS5:AS11" si="16">AN5+AO5-AP5</f>
        <v>0</v>
      </c>
      <c r="AT5" s="3">
        <v>14</v>
      </c>
      <c r="AU5" s="3">
        <v>0</v>
      </c>
      <c r="AV5" s="3">
        <v>3</v>
      </c>
      <c r="AW5" s="3">
        <f t="shared" ref="AW5:AW11" si="17">AR5+AU5-AV5</f>
        <v>45</v>
      </c>
      <c r="AX5" s="3">
        <f t="shared" ref="AX5:AX11" si="18">AS5+AT5-AU5</f>
        <v>14</v>
      </c>
      <c r="AY5" s="3">
        <v>0</v>
      </c>
      <c r="AZ5" s="3">
        <v>0</v>
      </c>
      <c r="BA5" s="3">
        <v>8</v>
      </c>
      <c r="BB5" s="3">
        <f t="shared" ref="BB5:BB11" si="19">AW5+AZ5-BA5</f>
        <v>37</v>
      </c>
      <c r="BC5" s="3">
        <f t="shared" ref="BC5:BC11" si="20">AX5+AY5-AZ5</f>
        <v>14</v>
      </c>
      <c r="BD5" s="3">
        <v>14</v>
      </c>
      <c r="BE5" s="3">
        <v>0</v>
      </c>
      <c r="BF5" s="3">
        <v>2</v>
      </c>
      <c r="BG5" s="3">
        <f t="shared" ref="BG5:BG11" si="21">BB5+BE5-BF5</f>
        <v>35</v>
      </c>
      <c r="BH5" s="3">
        <f t="shared" ref="BH5:BH11" si="22">BC5+BD5-BE5</f>
        <v>28</v>
      </c>
      <c r="BI5" s="3">
        <v>0</v>
      </c>
      <c r="BJ5" s="3">
        <v>0</v>
      </c>
      <c r="BK5" s="3">
        <v>0</v>
      </c>
      <c r="BL5" s="3">
        <f t="shared" ref="BL5:BL11" si="23">BG5+BJ5-BK5</f>
        <v>35</v>
      </c>
      <c r="BM5" s="3">
        <f t="shared" ref="BM5:BM11" si="24">BH5+BI5-BJ5</f>
        <v>28</v>
      </c>
      <c r="BN5" s="3">
        <v>0</v>
      </c>
      <c r="BO5" s="3">
        <v>0</v>
      </c>
      <c r="BP5" s="3">
        <v>0</v>
      </c>
      <c r="BQ5" s="3">
        <f t="shared" ref="BQ5:BQ11" si="25">BL5+BO5-BP5</f>
        <v>35</v>
      </c>
      <c r="BR5" s="3">
        <f t="shared" ref="BR5:BR11" si="26">BM5+BN5-BO5</f>
        <v>28</v>
      </c>
      <c r="BS5" s="3">
        <v>0</v>
      </c>
      <c r="BT5" s="3">
        <v>0</v>
      </c>
      <c r="BU5" s="3">
        <v>0</v>
      </c>
      <c r="BV5" s="3">
        <f t="shared" ref="BV5:BV11" si="27">BQ5+BT5-BU5</f>
        <v>35</v>
      </c>
      <c r="BW5" s="3">
        <f t="shared" ref="BW5:BW11" si="28">BR5+BS5-BT5</f>
        <v>28</v>
      </c>
      <c r="BX5" s="3">
        <v>0</v>
      </c>
      <c r="BY5" s="3">
        <v>0</v>
      </c>
      <c r="BZ5" s="3">
        <v>0</v>
      </c>
      <c r="CA5" s="3">
        <f t="shared" ref="CA5:CA11" si="29">BV5+BY5-BZ5</f>
        <v>35</v>
      </c>
      <c r="CB5" s="3">
        <f t="shared" ref="CB5:CB11" si="30">BW5+BX5-BY5</f>
        <v>28</v>
      </c>
      <c r="CC5" s="3">
        <v>0</v>
      </c>
      <c r="CD5" s="3">
        <v>0</v>
      </c>
      <c r="CE5" s="3">
        <v>0</v>
      </c>
      <c r="CF5" s="3">
        <f t="shared" ref="CF5:CF11" si="31">CA5+CD5-CE5</f>
        <v>35</v>
      </c>
      <c r="CG5" s="3">
        <f t="shared" ref="CG5:CG11" si="32">CB5+CC5-CD5</f>
        <v>28</v>
      </c>
      <c r="CH5" s="3">
        <v>0</v>
      </c>
      <c r="CI5" s="3">
        <v>28</v>
      </c>
      <c r="CJ5" s="3">
        <v>19</v>
      </c>
      <c r="CK5" s="3">
        <f t="shared" ref="CK5:CK11" si="33">CF5+CI5-CJ5</f>
        <v>44</v>
      </c>
      <c r="CL5" s="3">
        <f t="shared" ref="CL5:CL11" si="34">CG5+CH5-CI5</f>
        <v>0</v>
      </c>
      <c r="CM5" s="3">
        <v>28</v>
      </c>
      <c r="CN5" s="3">
        <v>14</v>
      </c>
      <c r="CO5" s="3">
        <v>19</v>
      </c>
      <c r="CP5" s="3">
        <f t="shared" ref="CP5:CP11" si="35">CK5+CN5-CO5</f>
        <v>39</v>
      </c>
      <c r="CQ5" s="3">
        <f t="shared" ref="CQ5:CQ11" si="36">CL5+CM5-CN5</f>
        <v>14</v>
      </c>
      <c r="CR5" s="3">
        <v>0</v>
      </c>
      <c r="CS5" s="3">
        <v>0</v>
      </c>
      <c r="CT5" s="3">
        <v>20</v>
      </c>
      <c r="CU5" s="3">
        <f t="shared" ref="CU5:CU11" si="37">CP5+CS5-CT5</f>
        <v>19</v>
      </c>
      <c r="CV5" s="3">
        <f t="shared" ref="CV5:CV11" si="38">CQ5+CR5-CS5</f>
        <v>14</v>
      </c>
      <c r="CW5" s="3">
        <v>0</v>
      </c>
      <c r="CX5" s="3">
        <v>14</v>
      </c>
      <c r="CY5" s="3">
        <v>15</v>
      </c>
      <c r="CZ5" s="3">
        <f t="shared" ref="CZ5:CZ11" si="39">CU5+CX5-CY5</f>
        <v>18</v>
      </c>
      <c r="DA5" s="3">
        <f t="shared" ref="DA5:DA11" si="40">CV5+CW5-CX5</f>
        <v>0</v>
      </c>
      <c r="DB5" s="3">
        <v>28</v>
      </c>
      <c r="DC5" s="3">
        <v>0</v>
      </c>
      <c r="DD5" s="3">
        <v>2</v>
      </c>
      <c r="DE5" s="3">
        <f t="shared" ref="DE5:DE11" si="41">CZ5+DC5-DD5</f>
        <v>16</v>
      </c>
      <c r="DF5" s="3">
        <f t="shared" ref="DF5:DF11" si="42">DA5+DB5-DC5</f>
        <v>28</v>
      </c>
      <c r="DG5" s="3">
        <v>0</v>
      </c>
      <c r="DH5" s="3">
        <v>0</v>
      </c>
      <c r="DI5" s="3">
        <v>3</v>
      </c>
      <c r="DJ5" s="3">
        <f t="shared" ref="DJ5:DJ11" si="43">DE5+DH5-DI5</f>
        <v>13</v>
      </c>
      <c r="DK5" s="3">
        <f t="shared" ref="DK5:DK11" si="44">DF5+DG5-DH5</f>
        <v>28</v>
      </c>
      <c r="DL5" s="3">
        <v>0</v>
      </c>
      <c r="DM5" s="3">
        <v>14</v>
      </c>
      <c r="DN5" s="3">
        <v>8</v>
      </c>
      <c r="DO5" s="3">
        <f t="shared" ref="DO5:DO11" si="45">DJ5+DM5-DN5</f>
        <v>19</v>
      </c>
      <c r="DP5" s="3">
        <f t="shared" ref="DP5:DP11" si="46">DK5+DL5-DM5</f>
        <v>14</v>
      </c>
      <c r="DQ5" s="3"/>
      <c r="DR5" s="3">
        <v>0</v>
      </c>
      <c r="DS5" s="3">
        <v>0</v>
      </c>
      <c r="DT5" s="3">
        <f t="shared" ref="DT5:DT11" si="47">DO5+DR5-DS5</f>
        <v>19</v>
      </c>
      <c r="DU5" s="3">
        <f t="shared" ref="DU5:DU11" si="48">DP5+DQ5-DR5</f>
        <v>14</v>
      </c>
      <c r="DV5" s="3">
        <v>0</v>
      </c>
      <c r="DW5" s="3">
        <v>0</v>
      </c>
      <c r="DX5" s="3">
        <v>0</v>
      </c>
    </row>
    <row r="6" spans="1:128" x14ac:dyDescent="0.35">
      <c r="A6" s="3">
        <v>0</v>
      </c>
      <c r="B6" s="2" t="s">
        <v>2</v>
      </c>
      <c r="C6" s="2" t="s">
        <v>15</v>
      </c>
      <c r="D6" s="3">
        <f t="shared" si="0"/>
        <v>0</v>
      </c>
      <c r="E6" s="3">
        <v>140</v>
      </c>
      <c r="F6" s="3">
        <v>140</v>
      </c>
      <c r="G6" s="3">
        <v>112</v>
      </c>
      <c r="H6" s="3">
        <v>121</v>
      </c>
      <c r="I6" s="3">
        <f t="shared" si="1"/>
        <v>-9</v>
      </c>
      <c r="J6" s="3">
        <f t="shared" si="2"/>
        <v>168</v>
      </c>
      <c r="K6" s="3">
        <v>196</v>
      </c>
      <c r="L6" s="3">
        <v>196</v>
      </c>
      <c r="M6" s="3">
        <v>190</v>
      </c>
      <c r="N6" s="3">
        <f t="shared" si="3"/>
        <v>-3</v>
      </c>
      <c r="O6" s="3">
        <f t="shared" si="4"/>
        <v>168</v>
      </c>
      <c r="P6" s="3">
        <f>182+42</f>
        <v>224</v>
      </c>
      <c r="Q6" s="3">
        <v>210</v>
      </c>
      <c r="R6" s="3">
        <v>202</v>
      </c>
      <c r="S6" s="3">
        <f t="shared" si="5"/>
        <v>5</v>
      </c>
      <c r="T6" s="3">
        <f t="shared" si="6"/>
        <v>182</v>
      </c>
      <c r="U6" s="3">
        <f>154+140</f>
        <v>294</v>
      </c>
      <c r="V6" s="3">
        <v>204</v>
      </c>
      <c r="W6" s="3">
        <v>204</v>
      </c>
      <c r="X6" s="3">
        <f t="shared" si="7"/>
        <v>5</v>
      </c>
      <c r="Y6" s="3">
        <f t="shared" si="8"/>
        <v>272</v>
      </c>
      <c r="Z6" s="3">
        <f>182+112</f>
        <v>294</v>
      </c>
      <c r="AA6" s="3">
        <v>252</v>
      </c>
      <c r="AB6" s="3">
        <v>253</v>
      </c>
      <c r="AC6" s="3">
        <f t="shared" si="9"/>
        <v>4</v>
      </c>
      <c r="AD6" s="3">
        <f t="shared" si="10"/>
        <v>314</v>
      </c>
      <c r="AE6" s="3">
        <v>126</v>
      </c>
      <c r="AF6" s="3">
        <v>252</v>
      </c>
      <c r="AG6" s="3">
        <v>214</v>
      </c>
      <c r="AH6" s="3">
        <f t="shared" si="11"/>
        <v>42</v>
      </c>
      <c r="AI6" s="3">
        <f t="shared" si="12"/>
        <v>188</v>
      </c>
      <c r="AJ6" s="3">
        <v>214</v>
      </c>
      <c r="AK6" s="3">
        <v>178</v>
      </c>
      <c r="AL6" s="3">
        <v>204</v>
      </c>
      <c r="AM6" s="3">
        <f t="shared" si="13"/>
        <v>16</v>
      </c>
      <c r="AN6" s="3">
        <f t="shared" si="14"/>
        <v>224</v>
      </c>
      <c r="AO6" s="3">
        <f>168+98</f>
        <v>266</v>
      </c>
      <c r="AP6" s="3">
        <v>266</v>
      </c>
      <c r="AQ6" s="3">
        <v>225</v>
      </c>
      <c r="AR6" s="3">
        <f t="shared" si="15"/>
        <v>57</v>
      </c>
      <c r="AS6" s="3">
        <f t="shared" si="16"/>
        <v>224</v>
      </c>
      <c r="AT6" s="3">
        <v>170</v>
      </c>
      <c r="AU6" s="3">
        <v>210</v>
      </c>
      <c r="AV6" s="3">
        <v>206</v>
      </c>
      <c r="AW6" s="3">
        <f t="shared" si="17"/>
        <v>61</v>
      </c>
      <c r="AX6" s="3">
        <f t="shared" si="18"/>
        <v>184</v>
      </c>
      <c r="AY6" s="3">
        <v>126</v>
      </c>
      <c r="AZ6" s="3">
        <v>210</v>
      </c>
      <c r="BA6" s="3">
        <v>181</v>
      </c>
      <c r="BB6" s="3">
        <f t="shared" si="19"/>
        <v>90</v>
      </c>
      <c r="BC6" s="3">
        <f t="shared" si="20"/>
        <v>100</v>
      </c>
      <c r="BD6" s="3">
        <v>154</v>
      </c>
      <c r="BE6" s="3">
        <v>56</v>
      </c>
      <c r="BF6" s="3">
        <v>124</v>
      </c>
      <c r="BG6" s="3">
        <f t="shared" si="21"/>
        <v>22</v>
      </c>
      <c r="BH6" s="3">
        <f t="shared" si="22"/>
        <v>198</v>
      </c>
      <c r="BI6" s="3">
        <v>182</v>
      </c>
      <c r="BJ6" s="3">
        <v>196</v>
      </c>
      <c r="BK6" s="3">
        <v>182</v>
      </c>
      <c r="BL6" s="3">
        <f t="shared" si="23"/>
        <v>36</v>
      </c>
      <c r="BM6" s="3">
        <f t="shared" si="24"/>
        <v>184</v>
      </c>
      <c r="BN6" s="3">
        <f>112+56</f>
        <v>168</v>
      </c>
      <c r="BO6" s="3">
        <v>252</v>
      </c>
      <c r="BP6" s="3">
        <v>188</v>
      </c>
      <c r="BQ6" s="3">
        <f t="shared" si="25"/>
        <v>100</v>
      </c>
      <c r="BR6" s="3">
        <f t="shared" si="26"/>
        <v>100</v>
      </c>
      <c r="BS6" s="3">
        <f>224+28</f>
        <v>252</v>
      </c>
      <c r="BT6" s="3">
        <v>168</v>
      </c>
      <c r="BU6" s="3">
        <v>186</v>
      </c>
      <c r="BV6" s="3">
        <f t="shared" si="27"/>
        <v>82</v>
      </c>
      <c r="BW6" s="3">
        <f t="shared" si="28"/>
        <v>184</v>
      </c>
      <c r="BX6" s="3">
        <v>210</v>
      </c>
      <c r="BY6" s="3">
        <v>210</v>
      </c>
      <c r="BZ6" s="3">
        <v>203</v>
      </c>
      <c r="CA6" s="3">
        <f t="shared" si="29"/>
        <v>89</v>
      </c>
      <c r="CB6" s="3">
        <f t="shared" si="30"/>
        <v>184</v>
      </c>
      <c r="CC6" s="3">
        <v>154</v>
      </c>
      <c r="CD6" s="3">
        <v>222</v>
      </c>
      <c r="CE6" s="3">
        <v>309</v>
      </c>
      <c r="CF6" s="3">
        <f t="shared" si="31"/>
        <v>2</v>
      </c>
      <c r="CG6" s="3">
        <f t="shared" si="32"/>
        <v>116</v>
      </c>
      <c r="CH6" s="3">
        <f>112+198</f>
        <v>310</v>
      </c>
      <c r="CI6" s="3">
        <v>266</v>
      </c>
      <c r="CJ6" s="3">
        <v>200</v>
      </c>
      <c r="CK6" s="3">
        <f t="shared" si="33"/>
        <v>68</v>
      </c>
      <c r="CL6" s="3">
        <f t="shared" si="34"/>
        <v>160</v>
      </c>
      <c r="CM6" s="3">
        <v>112</v>
      </c>
      <c r="CN6" s="3">
        <v>194</v>
      </c>
      <c r="CO6" s="3">
        <v>173</v>
      </c>
      <c r="CP6" s="3">
        <f t="shared" si="35"/>
        <v>89</v>
      </c>
      <c r="CQ6" s="3">
        <f t="shared" si="36"/>
        <v>78</v>
      </c>
      <c r="CR6" s="3">
        <v>238</v>
      </c>
      <c r="CS6" s="3">
        <v>140</v>
      </c>
      <c r="CT6" s="3">
        <v>175</v>
      </c>
      <c r="CU6" s="3">
        <f t="shared" si="37"/>
        <v>54</v>
      </c>
      <c r="CV6" s="3">
        <f t="shared" si="38"/>
        <v>176</v>
      </c>
      <c r="CW6" s="3">
        <v>182</v>
      </c>
      <c r="CX6" s="3">
        <v>210</v>
      </c>
      <c r="CY6" s="3">
        <v>183</v>
      </c>
      <c r="CZ6" s="3">
        <f t="shared" si="39"/>
        <v>81</v>
      </c>
      <c r="DA6" s="3">
        <f t="shared" si="40"/>
        <v>148</v>
      </c>
      <c r="DB6" s="3">
        <v>210</v>
      </c>
      <c r="DC6" s="3">
        <v>224</v>
      </c>
      <c r="DD6" s="3">
        <v>254</v>
      </c>
      <c r="DE6" s="3">
        <f t="shared" si="41"/>
        <v>51</v>
      </c>
      <c r="DF6" s="3">
        <f t="shared" si="42"/>
        <v>134</v>
      </c>
      <c r="DG6" s="3">
        <v>210</v>
      </c>
      <c r="DH6" s="3">
        <v>252</v>
      </c>
      <c r="DI6" s="3">
        <v>258</v>
      </c>
      <c r="DJ6" s="3">
        <f t="shared" si="43"/>
        <v>45</v>
      </c>
      <c r="DK6" s="3">
        <f t="shared" si="44"/>
        <v>92</v>
      </c>
      <c r="DL6" s="3">
        <v>224</v>
      </c>
      <c r="DM6" s="3">
        <v>244</v>
      </c>
      <c r="DN6" s="3">
        <v>251</v>
      </c>
      <c r="DO6" s="3">
        <f t="shared" si="45"/>
        <v>38</v>
      </c>
      <c r="DP6" s="3">
        <f t="shared" si="46"/>
        <v>72</v>
      </c>
      <c r="DQ6" s="3">
        <v>154</v>
      </c>
      <c r="DR6" s="3">
        <v>70</v>
      </c>
      <c r="DS6" s="3">
        <v>46</v>
      </c>
      <c r="DT6" s="3">
        <f t="shared" si="47"/>
        <v>62</v>
      </c>
      <c r="DU6" s="3">
        <f t="shared" si="48"/>
        <v>156</v>
      </c>
      <c r="DV6" s="3">
        <v>0</v>
      </c>
      <c r="DW6" s="3">
        <v>0</v>
      </c>
      <c r="DX6" s="3">
        <v>0</v>
      </c>
    </row>
    <row r="7" spans="1:128" x14ac:dyDescent="0.35">
      <c r="A7" s="3">
        <v>0</v>
      </c>
      <c r="B7" s="2" t="s">
        <v>3</v>
      </c>
      <c r="C7" s="2" t="s">
        <v>16</v>
      </c>
      <c r="D7" s="3">
        <f t="shared" si="0"/>
        <v>0</v>
      </c>
      <c r="E7" s="3">
        <v>84</v>
      </c>
      <c r="F7" s="3">
        <v>0</v>
      </c>
      <c r="G7" s="3">
        <v>14</v>
      </c>
      <c r="H7" s="3">
        <v>8</v>
      </c>
      <c r="I7" s="3">
        <f t="shared" si="1"/>
        <v>6</v>
      </c>
      <c r="J7" s="3">
        <f t="shared" si="2"/>
        <v>70</v>
      </c>
      <c r="K7" s="3">
        <v>14</v>
      </c>
      <c r="L7" s="3">
        <v>28</v>
      </c>
      <c r="M7" s="3">
        <v>25</v>
      </c>
      <c r="N7" s="3">
        <f t="shared" si="3"/>
        <v>9</v>
      </c>
      <c r="O7" s="3">
        <f t="shared" si="4"/>
        <v>56</v>
      </c>
      <c r="P7" s="3">
        <v>28</v>
      </c>
      <c r="Q7" s="3">
        <v>0</v>
      </c>
      <c r="R7" s="3">
        <v>8</v>
      </c>
      <c r="S7" s="3">
        <f t="shared" si="5"/>
        <v>1</v>
      </c>
      <c r="T7" s="3">
        <f t="shared" si="6"/>
        <v>84</v>
      </c>
      <c r="U7" s="3">
        <v>0</v>
      </c>
      <c r="V7" s="3">
        <v>28</v>
      </c>
      <c r="W7" s="3">
        <v>14</v>
      </c>
      <c r="X7" s="3">
        <f t="shared" si="7"/>
        <v>15</v>
      </c>
      <c r="Y7" s="3">
        <f t="shared" si="8"/>
        <v>56</v>
      </c>
      <c r="Z7" s="3">
        <v>14</v>
      </c>
      <c r="AA7" s="3">
        <v>14</v>
      </c>
      <c r="AB7" s="3">
        <v>14</v>
      </c>
      <c r="AC7" s="3">
        <f t="shared" si="9"/>
        <v>15</v>
      </c>
      <c r="AD7" s="3">
        <f t="shared" si="10"/>
        <v>56</v>
      </c>
      <c r="AE7" s="3">
        <v>28</v>
      </c>
      <c r="AF7" s="3">
        <v>14</v>
      </c>
      <c r="AG7" s="3">
        <v>12</v>
      </c>
      <c r="AH7" s="3">
        <f t="shared" si="11"/>
        <v>17</v>
      </c>
      <c r="AI7" s="3">
        <f t="shared" si="12"/>
        <v>70</v>
      </c>
      <c r="AJ7" s="3">
        <v>0</v>
      </c>
      <c r="AK7" s="3">
        <v>14</v>
      </c>
      <c r="AL7" s="3">
        <v>22</v>
      </c>
      <c r="AM7" s="3">
        <f t="shared" si="13"/>
        <v>9</v>
      </c>
      <c r="AN7" s="3">
        <f t="shared" si="14"/>
        <v>56</v>
      </c>
      <c r="AO7" s="3"/>
      <c r="AP7" s="3">
        <v>28</v>
      </c>
      <c r="AQ7" s="3">
        <v>19</v>
      </c>
      <c r="AR7" s="3">
        <f t="shared" si="15"/>
        <v>18</v>
      </c>
      <c r="AS7" s="3">
        <f t="shared" si="16"/>
        <v>28</v>
      </c>
      <c r="AT7" s="3">
        <v>14</v>
      </c>
      <c r="AU7" s="3">
        <v>28</v>
      </c>
      <c r="AV7" s="3">
        <v>21</v>
      </c>
      <c r="AW7" s="3">
        <f t="shared" si="17"/>
        <v>25</v>
      </c>
      <c r="AX7" s="3">
        <f t="shared" si="18"/>
        <v>14</v>
      </c>
      <c r="AY7" s="3">
        <v>42</v>
      </c>
      <c r="AZ7" s="3">
        <v>28</v>
      </c>
      <c r="BA7" s="3">
        <v>27</v>
      </c>
      <c r="BB7" s="3">
        <f t="shared" si="19"/>
        <v>26</v>
      </c>
      <c r="BC7" s="3">
        <f t="shared" si="20"/>
        <v>28</v>
      </c>
      <c r="BD7" s="3">
        <v>0</v>
      </c>
      <c r="BE7" s="3">
        <v>14</v>
      </c>
      <c r="BF7" s="3">
        <v>27</v>
      </c>
      <c r="BG7" s="3">
        <f t="shared" si="21"/>
        <v>13</v>
      </c>
      <c r="BH7" s="3">
        <f t="shared" si="22"/>
        <v>14</v>
      </c>
      <c r="BI7" s="3">
        <v>70</v>
      </c>
      <c r="BJ7" s="3">
        <v>42</v>
      </c>
      <c r="BK7" s="3">
        <v>45</v>
      </c>
      <c r="BL7" s="3">
        <f t="shared" si="23"/>
        <v>10</v>
      </c>
      <c r="BM7" s="3">
        <f t="shared" si="24"/>
        <v>42</v>
      </c>
      <c r="BN7" s="3">
        <v>42</v>
      </c>
      <c r="BO7" s="3">
        <v>42</v>
      </c>
      <c r="BP7" s="3">
        <v>39</v>
      </c>
      <c r="BQ7" s="3">
        <f t="shared" si="25"/>
        <v>13</v>
      </c>
      <c r="BR7" s="3">
        <f t="shared" si="26"/>
        <v>42</v>
      </c>
      <c r="BS7" s="3">
        <v>0</v>
      </c>
      <c r="BT7" s="3">
        <v>28</v>
      </c>
      <c r="BU7" s="3">
        <v>15</v>
      </c>
      <c r="BV7" s="3">
        <f t="shared" si="27"/>
        <v>26</v>
      </c>
      <c r="BW7" s="3">
        <f t="shared" si="28"/>
        <v>14</v>
      </c>
      <c r="BX7" s="3">
        <v>0</v>
      </c>
      <c r="BY7" s="3">
        <v>0</v>
      </c>
      <c r="BZ7" s="3">
        <v>8</v>
      </c>
      <c r="CA7" s="3">
        <f t="shared" si="29"/>
        <v>18</v>
      </c>
      <c r="CB7" s="3">
        <f t="shared" si="30"/>
        <v>14</v>
      </c>
      <c r="CC7" s="3">
        <v>14</v>
      </c>
      <c r="CD7" s="3">
        <v>24</v>
      </c>
      <c r="CE7" s="3">
        <v>30</v>
      </c>
      <c r="CF7" s="3">
        <f t="shared" si="31"/>
        <v>12</v>
      </c>
      <c r="CG7" s="3">
        <f t="shared" si="32"/>
        <v>4</v>
      </c>
      <c r="CH7" s="3">
        <v>112</v>
      </c>
      <c r="CI7" s="3">
        <v>28</v>
      </c>
      <c r="CJ7" s="3">
        <v>24</v>
      </c>
      <c r="CK7" s="3">
        <f t="shared" si="33"/>
        <v>16</v>
      </c>
      <c r="CL7" s="3">
        <f t="shared" si="34"/>
        <v>88</v>
      </c>
      <c r="CM7" s="3">
        <v>0</v>
      </c>
      <c r="CN7" s="3">
        <v>28</v>
      </c>
      <c r="CO7" s="3">
        <v>20</v>
      </c>
      <c r="CP7" s="3">
        <f t="shared" si="35"/>
        <v>24</v>
      </c>
      <c r="CQ7" s="3">
        <f t="shared" si="36"/>
        <v>60</v>
      </c>
      <c r="CR7" s="3">
        <v>0</v>
      </c>
      <c r="CS7" s="3">
        <v>42</v>
      </c>
      <c r="CT7" s="3">
        <v>37</v>
      </c>
      <c r="CU7" s="3">
        <f t="shared" si="37"/>
        <v>29</v>
      </c>
      <c r="CV7" s="3">
        <f t="shared" si="38"/>
        <v>18</v>
      </c>
      <c r="CW7" s="3">
        <v>56</v>
      </c>
      <c r="CX7" s="3">
        <v>42</v>
      </c>
      <c r="CY7" s="3">
        <v>47</v>
      </c>
      <c r="CZ7" s="3">
        <f t="shared" si="39"/>
        <v>24</v>
      </c>
      <c r="DA7" s="3">
        <f t="shared" si="40"/>
        <v>32</v>
      </c>
      <c r="DB7" s="3">
        <v>28</v>
      </c>
      <c r="DC7" s="3">
        <v>28</v>
      </c>
      <c r="DD7" s="3">
        <v>20</v>
      </c>
      <c r="DE7" s="3">
        <f t="shared" si="41"/>
        <v>32</v>
      </c>
      <c r="DF7" s="3">
        <f t="shared" si="42"/>
        <v>32</v>
      </c>
      <c r="DG7" s="3">
        <v>14</v>
      </c>
      <c r="DH7" s="3">
        <v>0</v>
      </c>
      <c r="DI7" s="3">
        <v>6</v>
      </c>
      <c r="DJ7" s="3">
        <f t="shared" si="43"/>
        <v>26</v>
      </c>
      <c r="DK7" s="3">
        <f t="shared" si="44"/>
        <v>46</v>
      </c>
      <c r="DL7" s="3">
        <v>0</v>
      </c>
      <c r="DM7" s="3">
        <v>14</v>
      </c>
      <c r="DN7" s="3">
        <v>23</v>
      </c>
      <c r="DO7" s="3">
        <f t="shared" si="45"/>
        <v>17</v>
      </c>
      <c r="DP7" s="3">
        <f t="shared" si="46"/>
        <v>32</v>
      </c>
      <c r="DQ7" s="3"/>
      <c r="DR7" s="3">
        <v>0</v>
      </c>
      <c r="DS7" s="3">
        <v>0</v>
      </c>
      <c r="DT7" s="3">
        <f t="shared" si="47"/>
        <v>17</v>
      </c>
      <c r="DU7" s="3">
        <f t="shared" si="48"/>
        <v>32</v>
      </c>
      <c r="DV7" s="3">
        <v>0</v>
      </c>
      <c r="DW7" s="3">
        <v>0</v>
      </c>
      <c r="DX7" s="3">
        <v>0</v>
      </c>
    </row>
    <row r="8" spans="1:128" x14ac:dyDescent="0.35">
      <c r="A8" s="3">
        <v>0</v>
      </c>
      <c r="B8" s="2" t="s">
        <v>4</v>
      </c>
      <c r="C8" s="2" t="s">
        <v>17</v>
      </c>
      <c r="D8" s="3">
        <f t="shared" si="0"/>
        <v>0</v>
      </c>
      <c r="E8" s="3">
        <v>14</v>
      </c>
      <c r="F8" s="3">
        <v>0</v>
      </c>
      <c r="G8" s="3">
        <v>0</v>
      </c>
      <c r="H8" s="3">
        <v>0</v>
      </c>
      <c r="I8" s="3">
        <f t="shared" si="1"/>
        <v>0</v>
      </c>
      <c r="J8" s="3">
        <f t="shared" si="2"/>
        <v>14</v>
      </c>
      <c r="K8" s="3">
        <v>0</v>
      </c>
      <c r="L8" s="3">
        <v>0</v>
      </c>
      <c r="M8" s="3">
        <v>0</v>
      </c>
      <c r="N8" s="3">
        <f t="shared" si="3"/>
        <v>0</v>
      </c>
      <c r="O8" s="3">
        <f t="shared" si="4"/>
        <v>14</v>
      </c>
      <c r="P8" s="3">
        <v>0</v>
      </c>
      <c r="Q8" s="3">
        <v>0</v>
      </c>
      <c r="R8" s="3">
        <v>0</v>
      </c>
      <c r="S8" s="3">
        <f t="shared" si="5"/>
        <v>0</v>
      </c>
      <c r="T8" s="3">
        <f t="shared" si="6"/>
        <v>14</v>
      </c>
      <c r="U8" s="3">
        <v>0</v>
      </c>
      <c r="V8" s="3"/>
      <c r="W8" s="3">
        <v>0</v>
      </c>
      <c r="X8" s="3">
        <f t="shared" si="7"/>
        <v>0</v>
      </c>
      <c r="Y8" s="3">
        <f t="shared" si="8"/>
        <v>14</v>
      </c>
      <c r="Z8" s="3">
        <v>0</v>
      </c>
      <c r="AA8" s="3">
        <v>0</v>
      </c>
      <c r="AB8" s="3">
        <v>0</v>
      </c>
      <c r="AC8" s="3">
        <f t="shared" si="9"/>
        <v>0</v>
      </c>
      <c r="AD8" s="3">
        <f t="shared" si="10"/>
        <v>14</v>
      </c>
      <c r="AE8" s="3">
        <v>0</v>
      </c>
      <c r="AF8" s="3">
        <v>0</v>
      </c>
      <c r="AG8" s="3">
        <v>0</v>
      </c>
      <c r="AH8" s="3">
        <f t="shared" si="11"/>
        <v>0</v>
      </c>
      <c r="AI8" s="3">
        <f t="shared" si="12"/>
        <v>14</v>
      </c>
      <c r="AJ8" s="3">
        <v>0</v>
      </c>
      <c r="AK8" s="3">
        <v>0</v>
      </c>
      <c r="AL8" s="3">
        <v>0</v>
      </c>
      <c r="AM8" s="3">
        <f t="shared" si="13"/>
        <v>0</v>
      </c>
      <c r="AN8" s="3">
        <f t="shared" si="14"/>
        <v>14</v>
      </c>
      <c r="AO8" s="3"/>
      <c r="AP8" s="3">
        <v>0</v>
      </c>
      <c r="AQ8" s="3">
        <v>0</v>
      </c>
      <c r="AR8" s="3">
        <f t="shared" si="15"/>
        <v>0</v>
      </c>
      <c r="AS8" s="3">
        <f t="shared" si="16"/>
        <v>14</v>
      </c>
      <c r="AT8" s="3">
        <v>0</v>
      </c>
      <c r="AU8" s="3">
        <v>0</v>
      </c>
      <c r="AV8" s="3">
        <v>0</v>
      </c>
      <c r="AW8" s="3">
        <f t="shared" si="17"/>
        <v>0</v>
      </c>
      <c r="AX8" s="3">
        <f t="shared" si="18"/>
        <v>14</v>
      </c>
      <c r="AY8" s="3">
        <v>0</v>
      </c>
      <c r="AZ8" s="3">
        <v>0</v>
      </c>
      <c r="BA8" s="3">
        <v>0</v>
      </c>
      <c r="BB8" s="3">
        <f t="shared" si="19"/>
        <v>0</v>
      </c>
      <c r="BC8" s="3">
        <f t="shared" si="20"/>
        <v>14</v>
      </c>
      <c r="BD8" s="3">
        <v>0</v>
      </c>
      <c r="BE8" s="3">
        <v>0</v>
      </c>
      <c r="BF8" s="3">
        <v>0</v>
      </c>
      <c r="BG8" s="3">
        <f t="shared" si="21"/>
        <v>0</v>
      </c>
      <c r="BH8" s="3">
        <f t="shared" si="22"/>
        <v>14</v>
      </c>
      <c r="BI8" s="3">
        <v>0</v>
      </c>
      <c r="BJ8" s="3">
        <v>0</v>
      </c>
      <c r="BK8" s="3">
        <v>0</v>
      </c>
      <c r="BL8" s="3">
        <f t="shared" si="23"/>
        <v>0</v>
      </c>
      <c r="BM8" s="3">
        <f t="shared" si="24"/>
        <v>14</v>
      </c>
      <c r="BN8" s="3">
        <v>0</v>
      </c>
      <c r="BO8" s="3">
        <v>0</v>
      </c>
      <c r="BP8" s="3">
        <v>0</v>
      </c>
      <c r="BQ8" s="3">
        <f t="shared" si="25"/>
        <v>0</v>
      </c>
      <c r="BR8" s="3">
        <f t="shared" si="26"/>
        <v>14</v>
      </c>
      <c r="BS8" s="3">
        <v>0</v>
      </c>
      <c r="BT8" s="3">
        <v>0</v>
      </c>
      <c r="BU8" s="3">
        <v>0</v>
      </c>
      <c r="BV8" s="3">
        <f t="shared" si="27"/>
        <v>0</v>
      </c>
      <c r="BW8" s="3">
        <f t="shared" si="28"/>
        <v>14</v>
      </c>
      <c r="BX8" s="3">
        <v>0</v>
      </c>
      <c r="BY8" s="3">
        <v>0</v>
      </c>
      <c r="BZ8" s="3">
        <v>0</v>
      </c>
      <c r="CA8" s="3">
        <f t="shared" si="29"/>
        <v>0</v>
      </c>
      <c r="CB8" s="3">
        <f t="shared" si="30"/>
        <v>14</v>
      </c>
      <c r="CC8" s="3">
        <v>0</v>
      </c>
      <c r="CD8" s="3">
        <v>0</v>
      </c>
      <c r="CE8" s="3">
        <v>0</v>
      </c>
      <c r="CF8" s="3">
        <f t="shared" si="31"/>
        <v>0</v>
      </c>
      <c r="CG8" s="3">
        <f t="shared" si="32"/>
        <v>14</v>
      </c>
      <c r="CH8" s="3">
        <v>0</v>
      </c>
      <c r="CI8" s="3">
        <v>0</v>
      </c>
      <c r="CJ8" s="3">
        <v>0</v>
      </c>
      <c r="CK8" s="3">
        <f t="shared" si="33"/>
        <v>0</v>
      </c>
      <c r="CL8" s="3">
        <f t="shared" si="34"/>
        <v>14</v>
      </c>
      <c r="CM8" s="3">
        <v>0</v>
      </c>
      <c r="CN8" s="3">
        <v>0</v>
      </c>
      <c r="CO8" s="3">
        <v>0</v>
      </c>
      <c r="CP8" s="3">
        <f t="shared" si="35"/>
        <v>0</v>
      </c>
      <c r="CQ8" s="3">
        <f t="shared" si="36"/>
        <v>14</v>
      </c>
      <c r="CR8" s="3">
        <v>0</v>
      </c>
      <c r="CS8" s="3">
        <v>0</v>
      </c>
      <c r="CT8" s="3">
        <v>0</v>
      </c>
      <c r="CU8" s="3">
        <f t="shared" si="37"/>
        <v>0</v>
      </c>
      <c r="CV8" s="3">
        <f t="shared" si="38"/>
        <v>14</v>
      </c>
      <c r="CW8" s="3">
        <v>0</v>
      </c>
      <c r="CX8" s="3">
        <v>0</v>
      </c>
      <c r="CY8" s="3">
        <v>0</v>
      </c>
      <c r="CZ8" s="3">
        <f t="shared" si="39"/>
        <v>0</v>
      </c>
      <c r="DA8" s="3">
        <f t="shared" si="40"/>
        <v>14</v>
      </c>
      <c r="DB8" s="3">
        <v>0</v>
      </c>
      <c r="DC8" s="3">
        <v>0</v>
      </c>
      <c r="DD8" s="3">
        <v>0</v>
      </c>
      <c r="DE8" s="3">
        <f t="shared" si="41"/>
        <v>0</v>
      </c>
      <c r="DF8" s="3">
        <f t="shared" si="42"/>
        <v>14</v>
      </c>
      <c r="DG8" s="3">
        <v>0</v>
      </c>
      <c r="DH8" s="3">
        <v>0</v>
      </c>
      <c r="DI8" s="3">
        <v>0</v>
      </c>
      <c r="DJ8" s="3">
        <f t="shared" si="43"/>
        <v>0</v>
      </c>
      <c r="DK8" s="3">
        <f t="shared" si="44"/>
        <v>14</v>
      </c>
      <c r="DL8" s="3">
        <v>0</v>
      </c>
      <c r="DM8" s="3">
        <v>0</v>
      </c>
      <c r="DN8" s="3">
        <v>0</v>
      </c>
      <c r="DO8" s="3">
        <f t="shared" si="45"/>
        <v>0</v>
      </c>
      <c r="DP8" s="3">
        <f t="shared" si="46"/>
        <v>14</v>
      </c>
      <c r="DQ8" s="3"/>
      <c r="DR8" s="3">
        <v>0</v>
      </c>
      <c r="DS8" s="3">
        <v>0</v>
      </c>
      <c r="DT8" s="3">
        <f t="shared" si="47"/>
        <v>0</v>
      </c>
      <c r="DU8" s="3">
        <f t="shared" si="48"/>
        <v>14</v>
      </c>
      <c r="DV8" s="3">
        <v>0</v>
      </c>
      <c r="DW8" s="3">
        <v>0</v>
      </c>
      <c r="DX8" s="3">
        <v>0</v>
      </c>
    </row>
    <row r="9" spans="1:128" x14ac:dyDescent="0.35">
      <c r="A9" s="3">
        <v>14</v>
      </c>
      <c r="B9" s="2" t="s">
        <v>5</v>
      </c>
      <c r="C9" s="2" t="s">
        <v>18</v>
      </c>
      <c r="D9" s="3">
        <f t="shared" si="0"/>
        <v>14</v>
      </c>
      <c r="E9" s="3">
        <v>0</v>
      </c>
      <c r="F9" s="3">
        <v>14</v>
      </c>
      <c r="G9" s="3">
        <v>0</v>
      </c>
      <c r="H9" s="3">
        <v>0</v>
      </c>
      <c r="I9" s="3">
        <f t="shared" si="1"/>
        <v>14</v>
      </c>
      <c r="J9" s="3">
        <f t="shared" si="2"/>
        <v>14</v>
      </c>
      <c r="K9" s="3">
        <v>14</v>
      </c>
      <c r="L9" s="3">
        <v>0</v>
      </c>
      <c r="M9" s="3">
        <v>0</v>
      </c>
      <c r="N9" s="3">
        <f t="shared" si="3"/>
        <v>14</v>
      </c>
      <c r="O9" s="3">
        <v>14</v>
      </c>
      <c r="P9" s="3">
        <v>14</v>
      </c>
      <c r="Q9" s="3">
        <v>14</v>
      </c>
      <c r="R9" s="3">
        <v>6</v>
      </c>
      <c r="S9" s="3">
        <f t="shared" si="5"/>
        <v>22</v>
      </c>
      <c r="T9" s="3">
        <f t="shared" si="6"/>
        <v>14</v>
      </c>
      <c r="U9" s="3">
        <v>0</v>
      </c>
      <c r="V9" s="3">
        <v>14</v>
      </c>
      <c r="W9" s="3">
        <v>8</v>
      </c>
      <c r="X9" s="3">
        <f t="shared" si="7"/>
        <v>28</v>
      </c>
      <c r="Y9" s="3">
        <f t="shared" si="8"/>
        <v>0</v>
      </c>
      <c r="Z9" s="3">
        <v>0</v>
      </c>
      <c r="AA9" s="3">
        <v>0</v>
      </c>
      <c r="AB9" s="3">
        <v>4</v>
      </c>
      <c r="AC9" s="3">
        <f t="shared" si="9"/>
        <v>24</v>
      </c>
      <c r="AD9" s="3">
        <f t="shared" si="10"/>
        <v>0</v>
      </c>
      <c r="AE9" s="3">
        <v>28</v>
      </c>
      <c r="AF9" s="3">
        <v>0</v>
      </c>
      <c r="AG9" s="3">
        <v>1</v>
      </c>
      <c r="AH9" s="3">
        <f t="shared" si="11"/>
        <v>23</v>
      </c>
      <c r="AI9" s="3">
        <f t="shared" si="12"/>
        <v>28</v>
      </c>
      <c r="AJ9" s="3">
        <v>0</v>
      </c>
      <c r="AK9" s="3">
        <v>0</v>
      </c>
      <c r="AL9" s="3">
        <v>0</v>
      </c>
      <c r="AM9" s="3">
        <f t="shared" si="13"/>
        <v>23</v>
      </c>
      <c r="AN9" s="3">
        <f t="shared" si="14"/>
        <v>28</v>
      </c>
      <c r="AO9" s="3"/>
      <c r="AP9" s="3">
        <v>0</v>
      </c>
      <c r="AQ9" s="3">
        <v>0</v>
      </c>
      <c r="AR9" s="3">
        <f t="shared" si="15"/>
        <v>23</v>
      </c>
      <c r="AS9" s="3">
        <f t="shared" si="16"/>
        <v>28</v>
      </c>
      <c r="AT9" s="3">
        <v>0</v>
      </c>
      <c r="AU9" s="3">
        <v>0</v>
      </c>
      <c r="AV9" s="3">
        <v>5</v>
      </c>
      <c r="AW9" s="3">
        <f t="shared" si="17"/>
        <v>18</v>
      </c>
      <c r="AX9" s="3">
        <f t="shared" si="18"/>
        <v>28</v>
      </c>
      <c r="AY9" s="3">
        <v>14</v>
      </c>
      <c r="AZ9" s="3">
        <v>0</v>
      </c>
      <c r="BA9" s="3">
        <v>8</v>
      </c>
      <c r="BB9" s="3">
        <f t="shared" si="19"/>
        <v>10</v>
      </c>
      <c r="BC9" s="3">
        <f t="shared" si="20"/>
        <v>42</v>
      </c>
      <c r="BD9" s="3">
        <v>0</v>
      </c>
      <c r="BE9" s="3">
        <v>0</v>
      </c>
      <c r="BF9" s="3">
        <v>1</v>
      </c>
      <c r="BG9" s="3">
        <f t="shared" si="21"/>
        <v>9</v>
      </c>
      <c r="BH9" s="3">
        <f t="shared" si="22"/>
        <v>42</v>
      </c>
      <c r="BI9" s="3">
        <v>0</v>
      </c>
      <c r="BJ9" s="3">
        <v>14</v>
      </c>
      <c r="BK9" s="3">
        <v>1</v>
      </c>
      <c r="BL9" s="3">
        <f t="shared" si="23"/>
        <v>22</v>
      </c>
      <c r="BM9" s="3">
        <f t="shared" si="24"/>
        <v>28</v>
      </c>
      <c r="BN9" s="3">
        <v>14</v>
      </c>
      <c r="BO9" s="3">
        <v>14</v>
      </c>
      <c r="BP9" s="3">
        <v>3</v>
      </c>
      <c r="BQ9" s="3">
        <f t="shared" si="25"/>
        <v>33</v>
      </c>
      <c r="BR9" s="3">
        <f t="shared" si="26"/>
        <v>28</v>
      </c>
      <c r="BS9" s="3">
        <v>14</v>
      </c>
      <c r="BT9" s="3">
        <v>0</v>
      </c>
      <c r="BU9" s="3">
        <v>19</v>
      </c>
      <c r="BV9" s="3">
        <f t="shared" si="27"/>
        <v>14</v>
      </c>
      <c r="BW9" s="3">
        <f t="shared" si="28"/>
        <v>42</v>
      </c>
      <c r="BX9" s="3">
        <v>0</v>
      </c>
      <c r="BY9" s="3">
        <v>14</v>
      </c>
      <c r="BZ9" s="3">
        <v>0</v>
      </c>
      <c r="CA9" s="3">
        <f t="shared" si="29"/>
        <v>28</v>
      </c>
      <c r="CB9" s="3">
        <f t="shared" si="30"/>
        <v>28</v>
      </c>
      <c r="CC9" s="3">
        <v>14</v>
      </c>
      <c r="CD9" s="3">
        <v>0</v>
      </c>
      <c r="CE9" s="3">
        <v>0</v>
      </c>
      <c r="CF9" s="3">
        <f t="shared" si="31"/>
        <v>28</v>
      </c>
      <c r="CG9" s="3">
        <f t="shared" si="32"/>
        <v>42</v>
      </c>
      <c r="CH9" s="3">
        <v>0</v>
      </c>
      <c r="CI9" s="3">
        <v>0</v>
      </c>
      <c r="CJ9" s="3">
        <v>3</v>
      </c>
      <c r="CK9" s="3">
        <f t="shared" si="33"/>
        <v>25</v>
      </c>
      <c r="CL9" s="3">
        <f t="shared" si="34"/>
        <v>42</v>
      </c>
      <c r="CM9" s="3">
        <v>0</v>
      </c>
      <c r="CN9" s="3">
        <v>0</v>
      </c>
      <c r="CO9" s="3">
        <v>3</v>
      </c>
      <c r="CP9" s="3">
        <f t="shared" si="35"/>
        <v>22</v>
      </c>
      <c r="CQ9" s="3">
        <f t="shared" si="36"/>
        <v>42</v>
      </c>
      <c r="CR9" s="3">
        <v>0</v>
      </c>
      <c r="CS9" s="3">
        <v>0</v>
      </c>
      <c r="CT9" s="3">
        <v>0</v>
      </c>
      <c r="CU9" s="3">
        <f t="shared" si="37"/>
        <v>22</v>
      </c>
      <c r="CV9" s="3">
        <f t="shared" si="38"/>
        <v>42</v>
      </c>
      <c r="CW9" s="3">
        <v>0</v>
      </c>
      <c r="CX9" s="3">
        <v>0</v>
      </c>
      <c r="CY9" s="3">
        <v>0</v>
      </c>
      <c r="CZ9" s="3">
        <f t="shared" si="39"/>
        <v>22</v>
      </c>
      <c r="DA9" s="3">
        <f t="shared" si="40"/>
        <v>42</v>
      </c>
      <c r="DB9" s="3">
        <v>0</v>
      </c>
      <c r="DC9" s="3">
        <v>0</v>
      </c>
      <c r="DD9" s="3">
        <v>0</v>
      </c>
      <c r="DE9" s="3">
        <f t="shared" si="41"/>
        <v>22</v>
      </c>
      <c r="DF9" s="3">
        <f t="shared" si="42"/>
        <v>42</v>
      </c>
      <c r="DG9" s="3">
        <v>0</v>
      </c>
      <c r="DH9" s="3">
        <v>0</v>
      </c>
      <c r="DI9" s="3">
        <v>0</v>
      </c>
      <c r="DJ9" s="3">
        <f t="shared" si="43"/>
        <v>22</v>
      </c>
      <c r="DK9" s="3">
        <f t="shared" si="44"/>
        <v>42</v>
      </c>
      <c r="DL9" s="3">
        <v>0</v>
      </c>
      <c r="DM9" s="3">
        <v>0</v>
      </c>
      <c r="DN9" s="3">
        <v>2</v>
      </c>
      <c r="DO9" s="3">
        <f t="shared" si="45"/>
        <v>20</v>
      </c>
      <c r="DP9" s="3">
        <f t="shared" si="46"/>
        <v>42</v>
      </c>
      <c r="DQ9" s="3"/>
      <c r="DR9" s="3">
        <v>0</v>
      </c>
      <c r="DS9" s="3">
        <v>3</v>
      </c>
      <c r="DT9" s="3">
        <f t="shared" si="47"/>
        <v>17</v>
      </c>
      <c r="DU9" s="3">
        <f t="shared" si="48"/>
        <v>42</v>
      </c>
      <c r="DV9" s="3">
        <v>0</v>
      </c>
      <c r="DW9" s="3">
        <v>0</v>
      </c>
      <c r="DX9" s="3">
        <v>0</v>
      </c>
    </row>
    <row r="10" spans="1:128" x14ac:dyDescent="0.35">
      <c r="A10" s="3">
        <v>20</v>
      </c>
      <c r="B10" s="2" t="s">
        <v>6</v>
      </c>
      <c r="C10" s="2" t="s">
        <v>19</v>
      </c>
      <c r="D10" s="3">
        <f t="shared" si="0"/>
        <v>20</v>
      </c>
      <c r="E10" s="3">
        <v>56</v>
      </c>
      <c r="F10" s="3">
        <v>0</v>
      </c>
      <c r="G10" s="3">
        <v>0</v>
      </c>
      <c r="H10" s="3">
        <v>0</v>
      </c>
      <c r="I10" s="3">
        <f t="shared" si="1"/>
        <v>20</v>
      </c>
      <c r="J10" s="3">
        <f t="shared" si="2"/>
        <v>56</v>
      </c>
      <c r="K10" s="3">
        <v>42</v>
      </c>
      <c r="L10" s="3">
        <v>28</v>
      </c>
      <c r="M10" s="3">
        <v>15</v>
      </c>
      <c r="N10" s="3">
        <f t="shared" si="3"/>
        <v>33</v>
      </c>
      <c r="O10" s="3">
        <f t="shared" si="4"/>
        <v>70</v>
      </c>
      <c r="P10" s="3">
        <v>42</v>
      </c>
      <c r="Q10" s="3">
        <v>42</v>
      </c>
      <c r="R10" s="3">
        <v>53</v>
      </c>
      <c r="S10" s="3">
        <f t="shared" si="5"/>
        <v>22</v>
      </c>
      <c r="T10" s="3">
        <f t="shared" si="6"/>
        <v>70</v>
      </c>
      <c r="U10" s="3">
        <v>42</v>
      </c>
      <c r="V10" s="3">
        <v>56</v>
      </c>
      <c r="W10" s="3">
        <v>53</v>
      </c>
      <c r="X10" s="3">
        <f t="shared" si="7"/>
        <v>25</v>
      </c>
      <c r="Y10" s="3">
        <f t="shared" si="8"/>
        <v>56</v>
      </c>
      <c r="Z10" s="3">
        <v>42</v>
      </c>
      <c r="AA10" s="3">
        <v>56</v>
      </c>
      <c r="AB10" s="3">
        <v>54</v>
      </c>
      <c r="AC10" s="3">
        <f t="shared" si="9"/>
        <v>27</v>
      </c>
      <c r="AD10" s="3">
        <f t="shared" si="10"/>
        <v>42</v>
      </c>
      <c r="AE10" s="3">
        <v>84</v>
      </c>
      <c r="AF10" s="3">
        <v>70</v>
      </c>
      <c r="AG10" s="3">
        <v>47</v>
      </c>
      <c r="AH10" s="3">
        <f t="shared" si="11"/>
        <v>50</v>
      </c>
      <c r="AI10" s="3">
        <f t="shared" si="12"/>
        <v>56</v>
      </c>
      <c r="AJ10" s="3">
        <v>84</v>
      </c>
      <c r="AK10" s="3">
        <v>70</v>
      </c>
      <c r="AL10" s="3">
        <v>52</v>
      </c>
      <c r="AM10" s="3">
        <f t="shared" si="13"/>
        <v>68</v>
      </c>
      <c r="AN10" s="3">
        <f t="shared" si="14"/>
        <v>70</v>
      </c>
      <c r="AO10" s="3"/>
      <c r="AP10" s="3">
        <v>0</v>
      </c>
      <c r="AQ10" s="3">
        <v>42</v>
      </c>
      <c r="AR10" s="3">
        <f t="shared" si="15"/>
        <v>26</v>
      </c>
      <c r="AS10" s="3">
        <f t="shared" si="16"/>
        <v>70</v>
      </c>
      <c r="AT10" s="3">
        <v>42</v>
      </c>
      <c r="AU10" s="3">
        <v>56</v>
      </c>
      <c r="AV10" s="3">
        <v>44</v>
      </c>
      <c r="AW10" s="3">
        <f t="shared" si="17"/>
        <v>38</v>
      </c>
      <c r="AX10" s="3">
        <f t="shared" si="18"/>
        <v>56</v>
      </c>
      <c r="AY10" s="3">
        <v>56</v>
      </c>
      <c r="AZ10" s="3">
        <v>70</v>
      </c>
      <c r="BA10" s="3">
        <v>60</v>
      </c>
      <c r="BB10" s="3">
        <f t="shared" si="19"/>
        <v>48</v>
      </c>
      <c r="BC10" s="3">
        <f t="shared" si="20"/>
        <v>42</v>
      </c>
      <c r="BD10" s="3">
        <v>14</v>
      </c>
      <c r="BE10" s="3">
        <v>14</v>
      </c>
      <c r="BF10" s="3">
        <v>10</v>
      </c>
      <c r="BG10" s="3">
        <f t="shared" si="21"/>
        <v>52</v>
      </c>
      <c r="BH10" s="3">
        <f t="shared" si="22"/>
        <v>42</v>
      </c>
      <c r="BI10" s="3">
        <v>28</v>
      </c>
      <c r="BJ10" s="3">
        <v>14</v>
      </c>
      <c r="BK10" s="3">
        <v>27</v>
      </c>
      <c r="BL10" s="3">
        <f t="shared" si="23"/>
        <v>39</v>
      </c>
      <c r="BM10" s="3">
        <f t="shared" si="24"/>
        <v>56</v>
      </c>
      <c r="BN10" s="3">
        <v>56</v>
      </c>
      <c r="BO10" s="3">
        <v>52</v>
      </c>
      <c r="BP10" s="3">
        <v>51</v>
      </c>
      <c r="BQ10" s="3">
        <f t="shared" si="25"/>
        <v>40</v>
      </c>
      <c r="BR10" s="3">
        <f t="shared" si="26"/>
        <v>60</v>
      </c>
      <c r="BS10" s="3">
        <v>42</v>
      </c>
      <c r="BT10" s="3">
        <v>42</v>
      </c>
      <c r="BU10" s="3">
        <v>36</v>
      </c>
      <c r="BV10" s="3">
        <f t="shared" si="27"/>
        <v>46</v>
      </c>
      <c r="BW10" s="3">
        <f t="shared" si="28"/>
        <v>60</v>
      </c>
      <c r="BX10" s="3">
        <v>70</v>
      </c>
      <c r="BY10" s="3">
        <v>28</v>
      </c>
      <c r="BZ10" s="3">
        <v>42</v>
      </c>
      <c r="CA10" s="3">
        <f t="shared" si="29"/>
        <v>32</v>
      </c>
      <c r="CB10" s="3">
        <f t="shared" si="30"/>
        <v>102</v>
      </c>
      <c r="CC10" s="3">
        <v>0</v>
      </c>
      <c r="CD10" s="3">
        <v>42</v>
      </c>
      <c r="CE10" s="3">
        <v>38</v>
      </c>
      <c r="CF10" s="3">
        <f t="shared" si="31"/>
        <v>36</v>
      </c>
      <c r="CG10" s="3">
        <f t="shared" si="32"/>
        <v>60</v>
      </c>
      <c r="CH10" s="3">
        <v>28</v>
      </c>
      <c r="CI10" s="3">
        <v>28</v>
      </c>
      <c r="CJ10" s="3">
        <v>26</v>
      </c>
      <c r="CK10" s="3">
        <f t="shared" si="33"/>
        <v>38</v>
      </c>
      <c r="CL10" s="3">
        <f t="shared" si="34"/>
        <v>60</v>
      </c>
      <c r="CM10" s="3">
        <v>42</v>
      </c>
      <c r="CN10" s="3">
        <v>42</v>
      </c>
      <c r="CO10" s="3">
        <v>24</v>
      </c>
      <c r="CP10" s="3">
        <f t="shared" si="35"/>
        <v>56</v>
      </c>
      <c r="CQ10" s="3">
        <f t="shared" si="36"/>
        <v>60</v>
      </c>
      <c r="CR10" s="3">
        <v>14</v>
      </c>
      <c r="CS10" s="3">
        <v>0</v>
      </c>
      <c r="CT10" s="3">
        <v>4</v>
      </c>
      <c r="CU10" s="3">
        <f t="shared" si="37"/>
        <v>52</v>
      </c>
      <c r="CV10" s="3">
        <f t="shared" si="38"/>
        <v>74</v>
      </c>
      <c r="CW10" s="3">
        <v>0</v>
      </c>
      <c r="CX10" s="3">
        <v>0</v>
      </c>
      <c r="CY10" s="3">
        <v>4</v>
      </c>
      <c r="CZ10" s="3">
        <f t="shared" si="39"/>
        <v>48</v>
      </c>
      <c r="DA10" s="3">
        <f t="shared" si="40"/>
        <v>74</v>
      </c>
      <c r="DB10" s="3">
        <v>0</v>
      </c>
      <c r="DC10" s="3">
        <v>0</v>
      </c>
      <c r="DD10" s="3">
        <v>0</v>
      </c>
      <c r="DE10" s="3">
        <f t="shared" si="41"/>
        <v>48</v>
      </c>
      <c r="DF10" s="3">
        <f t="shared" si="42"/>
        <v>74</v>
      </c>
      <c r="DG10" s="3">
        <v>0</v>
      </c>
      <c r="DH10" s="3">
        <v>0</v>
      </c>
      <c r="DI10" s="3">
        <v>1</v>
      </c>
      <c r="DJ10" s="3">
        <f t="shared" si="43"/>
        <v>47</v>
      </c>
      <c r="DK10" s="3">
        <f t="shared" si="44"/>
        <v>74</v>
      </c>
      <c r="DL10" s="3">
        <v>0</v>
      </c>
      <c r="DM10" s="3">
        <v>14</v>
      </c>
      <c r="DN10" s="3">
        <v>30</v>
      </c>
      <c r="DO10" s="3">
        <f t="shared" si="45"/>
        <v>31</v>
      </c>
      <c r="DP10" s="3">
        <f t="shared" si="46"/>
        <v>60</v>
      </c>
      <c r="DQ10" s="3"/>
      <c r="DR10" s="3">
        <v>0</v>
      </c>
      <c r="DS10" s="3">
        <v>10</v>
      </c>
      <c r="DT10" s="3">
        <f t="shared" si="47"/>
        <v>21</v>
      </c>
      <c r="DU10" s="3">
        <f t="shared" si="48"/>
        <v>60</v>
      </c>
      <c r="DV10" s="3">
        <v>0</v>
      </c>
      <c r="DW10" s="3">
        <v>0</v>
      </c>
      <c r="DX10" s="3">
        <v>0</v>
      </c>
    </row>
    <row r="11" spans="1:128" x14ac:dyDescent="0.35">
      <c r="A11" s="3">
        <v>126</v>
      </c>
      <c r="B11" s="2" t="s">
        <v>7</v>
      </c>
      <c r="C11" s="2" t="s">
        <v>20</v>
      </c>
      <c r="D11" s="3">
        <f t="shared" si="0"/>
        <v>126</v>
      </c>
      <c r="E11" s="3">
        <v>28</v>
      </c>
      <c r="F11" s="3">
        <v>14</v>
      </c>
      <c r="G11" s="3">
        <v>14</v>
      </c>
      <c r="H11" s="3">
        <v>0</v>
      </c>
      <c r="I11" s="3">
        <f t="shared" si="1"/>
        <v>140</v>
      </c>
      <c r="J11" s="3">
        <f t="shared" si="2"/>
        <v>28</v>
      </c>
      <c r="K11" s="3">
        <v>28</v>
      </c>
      <c r="L11" s="3">
        <v>14</v>
      </c>
      <c r="M11" s="3">
        <v>14</v>
      </c>
      <c r="N11" s="3">
        <f t="shared" si="3"/>
        <v>140</v>
      </c>
      <c r="O11" s="3">
        <f t="shared" si="4"/>
        <v>42</v>
      </c>
      <c r="P11" s="3">
        <v>28</v>
      </c>
      <c r="Q11" s="3">
        <v>28</v>
      </c>
      <c r="R11" s="3">
        <v>25</v>
      </c>
      <c r="S11" s="3">
        <f t="shared" si="5"/>
        <v>143</v>
      </c>
      <c r="T11" s="3">
        <f t="shared" si="6"/>
        <v>42</v>
      </c>
      <c r="U11" s="3">
        <v>56</v>
      </c>
      <c r="V11" s="3">
        <v>42</v>
      </c>
      <c r="W11" s="3">
        <v>28</v>
      </c>
      <c r="X11" s="3">
        <f t="shared" si="7"/>
        <v>157</v>
      </c>
      <c r="Y11" s="3">
        <f t="shared" si="8"/>
        <v>56</v>
      </c>
      <c r="Z11" s="3">
        <v>0</v>
      </c>
      <c r="AA11" s="3">
        <v>42</v>
      </c>
      <c r="AB11" s="3">
        <v>23</v>
      </c>
      <c r="AC11" s="3">
        <f t="shared" si="9"/>
        <v>176</v>
      </c>
      <c r="AD11" s="3">
        <f t="shared" si="10"/>
        <v>14</v>
      </c>
      <c r="AE11" s="3">
        <v>98</v>
      </c>
      <c r="AF11" s="3">
        <v>28</v>
      </c>
      <c r="AG11" s="3">
        <v>32</v>
      </c>
      <c r="AH11" s="3">
        <f t="shared" si="11"/>
        <v>172</v>
      </c>
      <c r="AI11" s="3">
        <f t="shared" si="12"/>
        <v>84</v>
      </c>
      <c r="AJ11" s="3">
        <v>0</v>
      </c>
      <c r="AK11" s="3">
        <v>28</v>
      </c>
      <c r="AL11" s="3">
        <v>31</v>
      </c>
      <c r="AM11" s="3">
        <f t="shared" si="13"/>
        <v>169</v>
      </c>
      <c r="AN11" s="3">
        <f t="shared" si="14"/>
        <v>56</v>
      </c>
      <c r="AO11" s="3"/>
      <c r="AP11" s="3">
        <v>42</v>
      </c>
      <c r="AQ11" s="3">
        <v>41</v>
      </c>
      <c r="AR11" s="3">
        <f t="shared" si="15"/>
        <v>170</v>
      </c>
      <c r="AS11" s="3">
        <f t="shared" si="16"/>
        <v>14</v>
      </c>
      <c r="AT11" s="3">
        <v>70</v>
      </c>
      <c r="AU11" s="3">
        <v>42</v>
      </c>
      <c r="AV11" s="3">
        <v>47</v>
      </c>
      <c r="AW11" s="3">
        <f t="shared" si="17"/>
        <v>165</v>
      </c>
      <c r="AX11" s="3">
        <f t="shared" si="18"/>
        <v>42</v>
      </c>
      <c r="AY11" s="3">
        <v>42</v>
      </c>
      <c r="AZ11" s="3">
        <v>14</v>
      </c>
      <c r="BA11" s="3">
        <v>9</v>
      </c>
      <c r="BB11" s="3">
        <f t="shared" si="19"/>
        <v>170</v>
      </c>
      <c r="BC11" s="3">
        <f t="shared" si="20"/>
        <v>70</v>
      </c>
      <c r="BD11" s="3">
        <v>28</v>
      </c>
      <c r="BE11" s="3">
        <v>14</v>
      </c>
      <c r="BF11" s="3">
        <v>34</v>
      </c>
      <c r="BG11" s="3">
        <f t="shared" si="21"/>
        <v>150</v>
      </c>
      <c r="BH11" s="3">
        <f t="shared" si="22"/>
        <v>84</v>
      </c>
      <c r="BI11" s="3">
        <v>28</v>
      </c>
      <c r="BJ11" s="3">
        <v>42</v>
      </c>
      <c r="BK11" s="3">
        <v>46</v>
      </c>
      <c r="BL11" s="3">
        <f t="shared" si="23"/>
        <v>146</v>
      </c>
      <c r="BM11" s="3">
        <f t="shared" si="24"/>
        <v>70</v>
      </c>
      <c r="BN11" s="3">
        <v>28</v>
      </c>
      <c r="BO11" s="3">
        <v>28</v>
      </c>
      <c r="BP11" s="3">
        <v>33</v>
      </c>
      <c r="BQ11" s="3">
        <f t="shared" si="25"/>
        <v>141</v>
      </c>
      <c r="BR11" s="3">
        <f t="shared" si="26"/>
        <v>70</v>
      </c>
      <c r="BS11" s="3">
        <v>14</v>
      </c>
      <c r="BT11" s="3">
        <v>28</v>
      </c>
      <c r="BU11" s="3">
        <v>37</v>
      </c>
      <c r="BV11" s="3">
        <f t="shared" si="27"/>
        <v>132</v>
      </c>
      <c r="BW11" s="3">
        <f t="shared" si="28"/>
        <v>56</v>
      </c>
      <c r="BX11" s="3">
        <v>28</v>
      </c>
      <c r="BY11" s="3">
        <v>0</v>
      </c>
      <c r="BZ11" s="3">
        <v>25</v>
      </c>
      <c r="CA11" s="3">
        <f t="shared" si="29"/>
        <v>107</v>
      </c>
      <c r="CB11" s="3">
        <f t="shared" si="30"/>
        <v>84</v>
      </c>
      <c r="CC11" s="3">
        <v>14</v>
      </c>
      <c r="CD11" s="3">
        <v>14</v>
      </c>
      <c r="CE11" s="3">
        <v>32</v>
      </c>
      <c r="CF11" s="3">
        <f t="shared" si="31"/>
        <v>89</v>
      </c>
      <c r="CG11" s="3">
        <f t="shared" si="32"/>
        <v>84</v>
      </c>
      <c r="CH11" s="3">
        <v>14</v>
      </c>
      <c r="CI11" s="3">
        <v>14</v>
      </c>
      <c r="CJ11" s="3">
        <v>10</v>
      </c>
      <c r="CK11" s="3">
        <f t="shared" si="33"/>
        <v>93</v>
      </c>
      <c r="CL11" s="3">
        <f t="shared" si="34"/>
        <v>84</v>
      </c>
      <c r="CM11" s="3">
        <v>0</v>
      </c>
      <c r="CN11" s="3">
        <v>0</v>
      </c>
      <c r="CO11" s="3">
        <v>30</v>
      </c>
      <c r="CP11" s="3">
        <f t="shared" si="35"/>
        <v>63</v>
      </c>
      <c r="CQ11" s="3">
        <f t="shared" si="36"/>
        <v>84</v>
      </c>
      <c r="CR11" s="3">
        <v>0</v>
      </c>
      <c r="CS11" s="3">
        <v>0</v>
      </c>
      <c r="CT11" s="3">
        <v>17</v>
      </c>
      <c r="CU11" s="3">
        <f t="shared" si="37"/>
        <v>46</v>
      </c>
      <c r="CV11" s="3">
        <f t="shared" si="38"/>
        <v>84</v>
      </c>
      <c r="CW11" s="3">
        <v>28</v>
      </c>
      <c r="CX11" s="3">
        <v>24</v>
      </c>
      <c r="CY11" s="3">
        <v>29</v>
      </c>
      <c r="CZ11" s="3">
        <f t="shared" si="39"/>
        <v>41</v>
      </c>
      <c r="DA11" s="3">
        <f t="shared" si="40"/>
        <v>88</v>
      </c>
      <c r="DB11" s="3">
        <v>0</v>
      </c>
      <c r="DC11" s="3">
        <v>28</v>
      </c>
      <c r="DD11" s="3">
        <v>40</v>
      </c>
      <c r="DE11" s="3">
        <f t="shared" si="41"/>
        <v>29</v>
      </c>
      <c r="DF11" s="3">
        <f t="shared" si="42"/>
        <v>60</v>
      </c>
      <c r="DG11" s="3">
        <v>0</v>
      </c>
      <c r="DH11" s="3">
        <v>0</v>
      </c>
      <c r="DI11" s="3">
        <v>0</v>
      </c>
      <c r="DJ11" s="3">
        <f t="shared" si="43"/>
        <v>29</v>
      </c>
      <c r="DK11" s="3">
        <f t="shared" si="44"/>
        <v>60</v>
      </c>
      <c r="DL11" s="3">
        <v>0</v>
      </c>
      <c r="DM11" s="3">
        <v>0</v>
      </c>
      <c r="DN11" s="3">
        <v>6</v>
      </c>
      <c r="DO11" s="3">
        <f t="shared" si="45"/>
        <v>23</v>
      </c>
      <c r="DP11" s="3">
        <f t="shared" si="46"/>
        <v>60</v>
      </c>
      <c r="DQ11" s="3"/>
      <c r="DR11" s="3">
        <v>0</v>
      </c>
      <c r="DS11" s="3">
        <v>3</v>
      </c>
      <c r="DT11" s="3">
        <f t="shared" si="47"/>
        <v>20</v>
      </c>
      <c r="DU11" s="3">
        <f t="shared" si="48"/>
        <v>60</v>
      </c>
      <c r="DV11" s="3">
        <v>0</v>
      </c>
      <c r="DW11" s="3">
        <v>0</v>
      </c>
      <c r="DX11" s="3">
        <v>0</v>
      </c>
    </row>
    <row r="12" spans="1:128" x14ac:dyDescent="0.35">
      <c r="B12" s="33" t="s">
        <v>32</v>
      </c>
      <c r="C12" s="33"/>
      <c r="D12" s="5">
        <f>SUM(D4:D11)</f>
        <v>180</v>
      </c>
      <c r="E12" s="5">
        <f>SUM(E4:E11)</f>
        <v>462</v>
      </c>
      <c r="F12" s="5">
        <f t="shared" ref="F12:H12" si="49">SUM(F4:F11)</f>
        <v>238</v>
      </c>
      <c r="G12" s="5">
        <f t="shared" si="49"/>
        <v>182</v>
      </c>
      <c r="H12" s="5">
        <f t="shared" si="49"/>
        <v>147</v>
      </c>
      <c r="I12" s="6">
        <f>SUM(I4:I11)</f>
        <v>215</v>
      </c>
      <c r="J12" s="6">
        <f>SUM(J4:J11)</f>
        <v>518</v>
      </c>
      <c r="K12" s="6">
        <f t="shared" ref="K12" si="50">SUM(K4:K11)</f>
        <v>322</v>
      </c>
      <c r="L12" s="6">
        <f t="shared" ref="L12" si="51">SUM(L4:L11)</f>
        <v>350</v>
      </c>
      <c r="M12" s="6">
        <f t="shared" ref="M12" si="52">SUM(M4:M11)</f>
        <v>296</v>
      </c>
      <c r="N12" s="5">
        <f>SUM(N4:N11)</f>
        <v>269</v>
      </c>
      <c r="O12" s="5">
        <f>SUM(O4:O11)</f>
        <v>476</v>
      </c>
      <c r="P12" s="5">
        <f t="shared" ref="P12" si="53">SUM(P4:P11)</f>
        <v>378</v>
      </c>
      <c r="Q12" s="5">
        <f t="shared" ref="Q12" si="54">SUM(Q4:Q11)</f>
        <v>308</v>
      </c>
      <c r="R12" s="5">
        <f t="shared" ref="R12" si="55">SUM(R4:R11)</f>
        <v>315</v>
      </c>
      <c r="S12" s="6">
        <f>SUM(S4:S11)</f>
        <v>262</v>
      </c>
      <c r="T12" s="6">
        <f>SUM(T4:T11)</f>
        <v>546</v>
      </c>
      <c r="U12" s="6">
        <f t="shared" ref="U12:W12" si="56">SUM(U4:U11)</f>
        <v>392</v>
      </c>
      <c r="V12" s="6">
        <f t="shared" si="56"/>
        <v>400</v>
      </c>
      <c r="W12" s="6">
        <f t="shared" si="56"/>
        <v>346</v>
      </c>
      <c r="X12" s="5">
        <f>SUM(X4:X11)</f>
        <v>316</v>
      </c>
      <c r="Y12" s="5">
        <f>SUM(Y4:Y11)</f>
        <v>538</v>
      </c>
      <c r="Z12" s="5">
        <f t="shared" ref="Z12:AB12" si="57">SUM(Z4:Z11)</f>
        <v>364</v>
      </c>
      <c r="AA12" s="5">
        <f t="shared" si="57"/>
        <v>406</v>
      </c>
      <c r="AB12" s="5">
        <f t="shared" si="57"/>
        <v>376</v>
      </c>
      <c r="AC12" s="6">
        <f>SUM(AC4:AC11)</f>
        <v>346</v>
      </c>
      <c r="AD12" s="6">
        <f>SUM(AD4:AD11)</f>
        <v>496</v>
      </c>
      <c r="AE12" s="6">
        <f t="shared" ref="AE12:AG12" si="58">SUM(AE4:AE11)</f>
        <v>406</v>
      </c>
      <c r="AF12" s="6">
        <f t="shared" si="58"/>
        <v>406</v>
      </c>
      <c r="AG12" s="6">
        <f t="shared" si="58"/>
        <v>335</v>
      </c>
      <c r="AH12" s="5">
        <f>SUM(AH4:AH11)</f>
        <v>417</v>
      </c>
      <c r="AI12" s="5">
        <f>SUM(AI4:AI11)</f>
        <v>496</v>
      </c>
      <c r="AJ12" s="5">
        <f t="shared" ref="AJ12:AL12" si="59">SUM(AJ4:AJ11)</f>
        <v>326</v>
      </c>
      <c r="AK12" s="5">
        <f t="shared" si="59"/>
        <v>318</v>
      </c>
      <c r="AL12" s="5">
        <f t="shared" si="59"/>
        <v>339</v>
      </c>
      <c r="AM12" s="6">
        <f>SUM(AM4:AM11)</f>
        <v>396</v>
      </c>
      <c r="AN12" s="6">
        <f>SUM(AN4:AN11)</f>
        <v>504</v>
      </c>
      <c r="AO12" s="6">
        <f t="shared" ref="AO12:AQ12" si="60">SUM(AO4:AO11)</f>
        <v>294</v>
      </c>
      <c r="AP12" s="6">
        <f t="shared" si="60"/>
        <v>364</v>
      </c>
      <c r="AQ12" s="6">
        <f t="shared" si="60"/>
        <v>350</v>
      </c>
      <c r="AR12" s="5">
        <f>SUM(AR4:AR11)</f>
        <v>410</v>
      </c>
      <c r="AS12" s="5">
        <f>SUM(AS4:AS11)</f>
        <v>434</v>
      </c>
      <c r="AT12" s="5">
        <f t="shared" ref="AT12:AV12" si="61">SUM(AT4:AT11)</f>
        <v>310</v>
      </c>
      <c r="AU12" s="5">
        <f t="shared" si="61"/>
        <v>350</v>
      </c>
      <c r="AV12" s="5">
        <f t="shared" si="61"/>
        <v>346</v>
      </c>
      <c r="AW12" s="6">
        <f>SUM(AW4:AW11)</f>
        <v>414</v>
      </c>
      <c r="AX12" s="6">
        <f>SUM(AX4:AX11)</f>
        <v>394</v>
      </c>
      <c r="AY12" s="6">
        <f t="shared" ref="AY12:BA12" si="62">SUM(AY4:AY11)</f>
        <v>308</v>
      </c>
      <c r="AZ12" s="6">
        <f t="shared" si="62"/>
        <v>350</v>
      </c>
      <c r="BA12" s="6">
        <f t="shared" si="62"/>
        <v>315</v>
      </c>
      <c r="BB12" s="5">
        <f>SUM(BB4:BB11)</f>
        <v>449</v>
      </c>
      <c r="BC12" s="5">
        <f>SUM(BC4:BC11)</f>
        <v>352</v>
      </c>
      <c r="BD12" s="5">
        <f t="shared" ref="BD12:BF12" si="63">SUM(BD4:BD11)</f>
        <v>238</v>
      </c>
      <c r="BE12" s="5">
        <f t="shared" si="63"/>
        <v>112</v>
      </c>
      <c r="BF12" s="5">
        <f t="shared" si="63"/>
        <v>225</v>
      </c>
      <c r="BG12" s="6">
        <f>SUM(BG4:BG11)</f>
        <v>336</v>
      </c>
      <c r="BH12" s="6">
        <f>SUM(BH4:BH11)</f>
        <v>478</v>
      </c>
      <c r="BI12" s="6">
        <f t="shared" ref="BI12:BK12" si="64">SUM(BI4:BI11)</f>
        <v>350</v>
      </c>
      <c r="BJ12" s="6">
        <f t="shared" si="64"/>
        <v>350</v>
      </c>
      <c r="BK12" s="6">
        <f t="shared" si="64"/>
        <v>341</v>
      </c>
      <c r="BL12" s="5">
        <f>SUM(BL4:BL11)</f>
        <v>345</v>
      </c>
      <c r="BM12" s="5">
        <f>SUM(BM4:BM11)</f>
        <v>478</v>
      </c>
      <c r="BN12" s="5">
        <f t="shared" ref="BN12:BP12" si="65">SUM(BN4:BN11)</f>
        <v>378</v>
      </c>
      <c r="BO12" s="5">
        <f t="shared" si="65"/>
        <v>416</v>
      </c>
      <c r="BP12" s="5">
        <f t="shared" si="65"/>
        <v>354</v>
      </c>
      <c r="BQ12" s="6">
        <f>SUM(BQ4:BQ11)</f>
        <v>407</v>
      </c>
      <c r="BR12" s="6">
        <f>SUM(BR4:BR11)</f>
        <v>440</v>
      </c>
      <c r="BS12" s="6">
        <f t="shared" ref="BS12:BU12" si="66">SUM(BS4:BS11)</f>
        <v>322</v>
      </c>
      <c r="BT12" s="6">
        <f t="shared" si="66"/>
        <v>336</v>
      </c>
      <c r="BU12" s="6">
        <f t="shared" si="66"/>
        <v>340</v>
      </c>
      <c r="BV12" s="5">
        <f>SUM(BV4:BV11)</f>
        <v>403</v>
      </c>
      <c r="BW12" s="5">
        <f>SUM(BW4:BW11)</f>
        <v>426</v>
      </c>
      <c r="BX12" s="5">
        <f t="shared" ref="BX12:BZ12" si="67">SUM(BX4:BX11)</f>
        <v>392</v>
      </c>
      <c r="BY12" s="5">
        <f t="shared" si="67"/>
        <v>322</v>
      </c>
      <c r="BZ12" s="5">
        <f t="shared" si="67"/>
        <v>359</v>
      </c>
      <c r="CA12" s="6">
        <f>SUM(CA4:CA11)</f>
        <v>366</v>
      </c>
      <c r="CB12" s="6">
        <f>SUM(CB4:CB11)</f>
        <v>496</v>
      </c>
      <c r="CC12" s="6">
        <f t="shared" ref="CC12:CE12" si="68">SUM(CC4:CC11)</f>
        <v>252</v>
      </c>
      <c r="CD12" s="6">
        <f t="shared" si="68"/>
        <v>344</v>
      </c>
      <c r="CE12" s="6">
        <f t="shared" si="68"/>
        <v>466</v>
      </c>
      <c r="CF12" s="5">
        <f>SUM(CF4:CF11)</f>
        <v>244</v>
      </c>
      <c r="CG12" s="5">
        <f>SUM(CG4:CG11)</f>
        <v>404</v>
      </c>
      <c r="CH12" s="5">
        <f t="shared" ref="CH12:CJ12" si="69">SUM(CH4:CH11)</f>
        <v>506</v>
      </c>
      <c r="CI12" s="5">
        <f t="shared" si="69"/>
        <v>420</v>
      </c>
      <c r="CJ12" s="5">
        <f t="shared" si="69"/>
        <v>319</v>
      </c>
      <c r="CK12" s="6">
        <f>SUM(CK4:CK11)</f>
        <v>345</v>
      </c>
      <c r="CL12" s="6">
        <f>SUM(CL4:CL11)</f>
        <v>490</v>
      </c>
      <c r="CM12" s="6">
        <f t="shared" ref="CM12:CO12" si="70">SUM(CM4:CM11)</f>
        <v>238</v>
      </c>
      <c r="CN12" s="6">
        <f t="shared" si="70"/>
        <v>306</v>
      </c>
      <c r="CO12" s="6">
        <f t="shared" si="70"/>
        <v>309</v>
      </c>
      <c r="CP12" s="5">
        <f>SUM(CP4:CP11)</f>
        <v>342</v>
      </c>
      <c r="CQ12" s="5">
        <f>SUM(CQ4:CQ11)</f>
        <v>422</v>
      </c>
      <c r="CR12" s="5">
        <f t="shared" ref="CR12:CT12" si="71">SUM(CR4:CR11)</f>
        <v>252</v>
      </c>
      <c r="CS12" s="5">
        <f t="shared" si="71"/>
        <v>210</v>
      </c>
      <c r="CT12" s="5">
        <f t="shared" si="71"/>
        <v>280</v>
      </c>
      <c r="CU12" s="6">
        <f>SUM(CU4:CU11)</f>
        <v>272</v>
      </c>
      <c r="CV12" s="6">
        <f>SUM(CV4:CV11)</f>
        <v>464</v>
      </c>
      <c r="CW12" s="6">
        <f t="shared" ref="CW12:CY12" si="72">SUM(CW4:CW11)</f>
        <v>322</v>
      </c>
      <c r="CX12" s="6">
        <f t="shared" si="72"/>
        <v>304</v>
      </c>
      <c r="CY12" s="6">
        <f t="shared" si="72"/>
        <v>294</v>
      </c>
      <c r="CZ12" s="5">
        <f>SUM(CZ4:CZ11)</f>
        <v>282</v>
      </c>
      <c r="DA12" s="5">
        <f>SUM(DA4:DA11)</f>
        <v>482</v>
      </c>
      <c r="DB12" s="5">
        <f t="shared" ref="DB12:DD12" si="73">SUM(DB4:DB11)</f>
        <v>266</v>
      </c>
      <c r="DC12" s="5">
        <f t="shared" si="73"/>
        <v>336</v>
      </c>
      <c r="DD12" s="5">
        <f t="shared" si="73"/>
        <v>374</v>
      </c>
      <c r="DE12" s="6">
        <f>SUM(DE4:DE11)</f>
        <v>244</v>
      </c>
      <c r="DF12" s="6">
        <f>SUM(DF4:DF11)</f>
        <v>412</v>
      </c>
      <c r="DG12" s="6">
        <f t="shared" ref="DG12:DI12" si="74">SUM(DG4:DG11)</f>
        <v>280</v>
      </c>
      <c r="DH12" s="6">
        <f t="shared" si="74"/>
        <v>322</v>
      </c>
      <c r="DI12" s="6">
        <f t="shared" si="74"/>
        <v>326</v>
      </c>
      <c r="DJ12" s="5">
        <f>SUM(DJ4:DJ11)</f>
        <v>240</v>
      </c>
      <c r="DK12" s="5">
        <f>SUM(DK4:DK11)</f>
        <v>370</v>
      </c>
      <c r="DL12" s="5">
        <f t="shared" ref="DL12:DN12" si="75">SUM(DL4:DL11)</f>
        <v>280</v>
      </c>
      <c r="DM12" s="5">
        <f t="shared" si="75"/>
        <v>300</v>
      </c>
      <c r="DN12" s="5">
        <f t="shared" si="75"/>
        <v>353</v>
      </c>
      <c r="DO12" s="6">
        <f>SUM(DO4:DO11)</f>
        <v>187</v>
      </c>
      <c r="DP12" s="6">
        <f>SUM(DP4:DP11)</f>
        <v>350</v>
      </c>
      <c r="DQ12" s="6">
        <f t="shared" ref="DQ12:DS12" si="76">SUM(DQ4:DQ11)</f>
        <v>168</v>
      </c>
      <c r="DR12" s="6">
        <f t="shared" si="76"/>
        <v>70</v>
      </c>
      <c r="DS12" s="6">
        <f t="shared" si="76"/>
        <v>73</v>
      </c>
      <c r="DT12" s="5">
        <f>SUM(DT4:DT11)</f>
        <v>184</v>
      </c>
      <c r="DU12" s="5">
        <f>SUM(DU4:DU11)</f>
        <v>448</v>
      </c>
      <c r="DV12" s="5">
        <f t="shared" ref="DV12:DX12" si="77">SUM(DV4:DV11)</f>
        <v>0</v>
      </c>
      <c r="DW12" s="5">
        <f t="shared" si="77"/>
        <v>0</v>
      </c>
      <c r="DX12" s="5">
        <f t="shared" si="77"/>
        <v>0</v>
      </c>
    </row>
    <row r="13" spans="1:128" s="1" customFormat="1" ht="43.5" x14ac:dyDescent="0.35">
      <c r="B13" s="4" t="s">
        <v>21</v>
      </c>
      <c r="C13" s="4" t="s">
        <v>22</v>
      </c>
      <c r="D13" s="5" t="s">
        <v>23</v>
      </c>
      <c r="E13" s="5" t="s">
        <v>31</v>
      </c>
      <c r="F13" s="5" t="s">
        <v>34</v>
      </c>
      <c r="G13" s="5" t="s">
        <v>35</v>
      </c>
      <c r="H13" s="5" t="s">
        <v>33</v>
      </c>
      <c r="I13" s="6" t="s">
        <v>23</v>
      </c>
      <c r="J13" s="6" t="s">
        <v>31</v>
      </c>
      <c r="K13" s="6" t="s">
        <v>34</v>
      </c>
      <c r="L13" s="6" t="s">
        <v>35</v>
      </c>
      <c r="M13" s="6" t="s">
        <v>33</v>
      </c>
      <c r="N13" s="5" t="s">
        <v>23</v>
      </c>
      <c r="O13" s="5" t="s">
        <v>31</v>
      </c>
      <c r="P13" s="5" t="s">
        <v>34</v>
      </c>
      <c r="Q13" s="5" t="s">
        <v>35</v>
      </c>
      <c r="R13" s="5" t="s">
        <v>33</v>
      </c>
      <c r="S13" s="6" t="s">
        <v>23</v>
      </c>
      <c r="T13" s="6" t="s">
        <v>31</v>
      </c>
      <c r="U13" s="6" t="s">
        <v>34</v>
      </c>
      <c r="V13" s="6" t="s">
        <v>35</v>
      </c>
      <c r="W13" s="6" t="s">
        <v>33</v>
      </c>
      <c r="X13" s="5" t="s">
        <v>23</v>
      </c>
      <c r="Y13" s="5" t="s">
        <v>31</v>
      </c>
      <c r="Z13" s="5" t="s">
        <v>34</v>
      </c>
      <c r="AA13" s="5" t="s">
        <v>35</v>
      </c>
      <c r="AB13" s="5" t="s">
        <v>33</v>
      </c>
      <c r="AC13" s="6" t="s">
        <v>23</v>
      </c>
      <c r="AD13" s="6" t="s">
        <v>31</v>
      </c>
      <c r="AE13" s="6" t="s">
        <v>34</v>
      </c>
      <c r="AF13" s="6" t="s">
        <v>35</v>
      </c>
      <c r="AG13" s="6" t="s">
        <v>33</v>
      </c>
      <c r="AH13" s="5" t="s">
        <v>23</v>
      </c>
      <c r="AI13" s="5" t="s">
        <v>31</v>
      </c>
      <c r="AJ13" s="5" t="s">
        <v>34</v>
      </c>
      <c r="AK13" s="5" t="s">
        <v>35</v>
      </c>
      <c r="AL13" s="5" t="s">
        <v>33</v>
      </c>
      <c r="AM13" s="6" t="s">
        <v>23</v>
      </c>
      <c r="AN13" s="6" t="s">
        <v>31</v>
      </c>
      <c r="AO13" s="6" t="s">
        <v>34</v>
      </c>
      <c r="AP13" s="6" t="s">
        <v>35</v>
      </c>
      <c r="AQ13" s="6" t="s">
        <v>33</v>
      </c>
      <c r="AR13" s="5" t="s">
        <v>23</v>
      </c>
      <c r="AS13" s="5" t="s">
        <v>31</v>
      </c>
      <c r="AT13" s="5" t="s">
        <v>34</v>
      </c>
      <c r="AU13" s="5" t="s">
        <v>35</v>
      </c>
      <c r="AV13" s="5" t="s">
        <v>33</v>
      </c>
      <c r="AW13" s="6" t="s">
        <v>23</v>
      </c>
      <c r="AX13" s="6" t="s">
        <v>31</v>
      </c>
      <c r="AY13" s="6" t="s">
        <v>34</v>
      </c>
      <c r="AZ13" s="6" t="s">
        <v>35</v>
      </c>
      <c r="BA13" s="6" t="s">
        <v>33</v>
      </c>
      <c r="BB13" s="5" t="s">
        <v>23</v>
      </c>
      <c r="BC13" s="5" t="s">
        <v>31</v>
      </c>
      <c r="BD13" s="5" t="s">
        <v>34</v>
      </c>
      <c r="BE13" s="5" t="s">
        <v>35</v>
      </c>
      <c r="BF13" s="5" t="s">
        <v>33</v>
      </c>
      <c r="BG13" s="6" t="s">
        <v>23</v>
      </c>
      <c r="BH13" s="6" t="s">
        <v>31</v>
      </c>
      <c r="BI13" s="6" t="s">
        <v>34</v>
      </c>
      <c r="BJ13" s="6" t="s">
        <v>35</v>
      </c>
      <c r="BK13" s="6" t="s">
        <v>33</v>
      </c>
      <c r="BL13" s="5" t="s">
        <v>23</v>
      </c>
      <c r="BM13" s="5" t="s">
        <v>31</v>
      </c>
      <c r="BN13" s="5" t="s">
        <v>34</v>
      </c>
      <c r="BO13" s="5" t="s">
        <v>35</v>
      </c>
      <c r="BP13" s="5" t="s">
        <v>33</v>
      </c>
      <c r="BQ13" s="6" t="s">
        <v>23</v>
      </c>
      <c r="BR13" s="6" t="s">
        <v>31</v>
      </c>
      <c r="BS13" s="6" t="s">
        <v>34</v>
      </c>
      <c r="BT13" s="6" t="s">
        <v>35</v>
      </c>
      <c r="BU13" s="6" t="s">
        <v>33</v>
      </c>
      <c r="BV13" s="5" t="s">
        <v>23</v>
      </c>
      <c r="BW13" s="5" t="s">
        <v>31</v>
      </c>
      <c r="BX13" s="5" t="s">
        <v>34</v>
      </c>
      <c r="BY13" s="5" t="s">
        <v>35</v>
      </c>
      <c r="BZ13" s="5" t="s">
        <v>33</v>
      </c>
      <c r="CA13" s="6" t="s">
        <v>23</v>
      </c>
      <c r="CB13" s="6" t="s">
        <v>31</v>
      </c>
      <c r="CC13" s="6" t="s">
        <v>34</v>
      </c>
      <c r="CD13" s="6" t="s">
        <v>35</v>
      </c>
      <c r="CE13" s="6" t="s">
        <v>33</v>
      </c>
      <c r="CF13" s="5" t="s">
        <v>23</v>
      </c>
      <c r="CG13" s="5" t="s">
        <v>31</v>
      </c>
      <c r="CH13" s="5" t="s">
        <v>34</v>
      </c>
      <c r="CI13" s="5" t="s">
        <v>35</v>
      </c>
      <c r="CJ13" s="5" t="s">
        <v>33</v>
      </c>
      <c r="CK13" s="6" t="s">
        <v>23</v>
      </c>
      <c r="CL13" s="6" t="s">
        <v>31</v>
      </c>
      <c r="CM13" s="6" t="s">
        <v>34</v>
      </c>
      <c r="CN13" s="6" t="s">
        <v>35</v>
      </c>
      <c r="CO13" s="6" t="s">
        <v>33</v>
      </c>
      <c r="CP13" s="5" t="s">
        <v>23</v>
      </c>
      <c r="CQ13" s="5" t="s">
        <v>31</v>
      </c>
      <c r="CR13" s="5" t="s">
        <v>34</v>
      </c>
      <c r="CS13" s="5" t="s">
        <v>35</v>
      </c>
      <c r="CT13" s="5" t="s">
        <v>33</v>
      </c>
      <c r="CU13" s="6" t="s">
        <v>23</v>
      </c>
      <c r="CV13" s="6" t="s">
        <v>31</v>
      </c>
      <c r="CW13" s="6" t="s">
        <v>34</v>
      </c>
      <c r="CX13" s="6" t="s">
        <v>35</v>
      </c>
      <c r="CY13" s="6" t="s">
        <v>33</v>
      </c>
      <c r="CZ13" s="5" t="s">
        <v>23</v>
      </c>
      <c r="DA13" s="5" t="s">
        <v>31</v>
      </c>
      <c r="DB13" s="5" t="s">
        <v>34</v>
      </c>
      <c r="DC13" s="5" t="s">
        <v>35</v>
      </c>
      <c r="DD13" s="5" t="s">
        <v>33</v>
      </c>
      <c r="DE13" s="6" t="s">
        <v>23</v>
      </c>
      <c r="DF13" s="6" t="s">
        <v>31</v>
      </c>
      <c r="DG13" s="6" t="s">
        <v>34</v>
      </c>
      <c r="DH13" s="6" t="s">
        <v>35</v>
      </c>
      <c r="DI13" s="6" t="s">
        <v>33</v>
      </c>
      <c r="DJ13" s="5" t="s">
        <v>23</v>
      </c>
      <c r="DK13" s="5" t="s">
        <v>31</v>
      </c>
      <c r="DL13" s="5" t="s">
        <v>34</v>
      </c>
      <c r="DM13" s="5" t="s">
        <v>35</v>
      </c>
      <c r="DN13" s="5" t="s">
        <v>33</v>
      </c>
      <c r="DO13" s="6" t="s">
        <v>23</v>
      </c>
      <c r="DP13" s="6" t="s">
        <v>31</v>
      </c>
      <c r="DQ13" s="6" t="s">
        <v>34</v>
      </c>
      <c r="DR13" s="6" t="s">
        <v>35</v>
      </c>
      <c r="DS13" s="6" t="s">
        <v>33</v>
      </c>
      <c r="DT13" s="5" t="s">
        <v>23</v>
      </c>
      <c r="DU13" s="5" t="s">
        <v>31</v>
      </c>
      <c r="DV13" s="5" t="s">
        <v>34</v>
      </c>
      <c r="DW13" s="5" t="s">
        <v>35</v>
      </c>
      <c r="DX13" s="5" t="s">
        <v>33</v>
      </c>
    </row>
    <row r="14" spans="1:128" x14ac:dyDescent="0.35">
      <c r="A14" s="3">
        <v>140</v>
      </c>
      <c r="B14" s="2" t="s">
        <v>26</v>
      </c>
      <c r="C14" s="2" t="s">
        <v>25</v>
      </c>
      <c r="D14" s="3">
        <f t="shared" ref="D14:D20" si="78">A14</f>
        <v>140</v>
      </c>
      <c r="E14" s="3">
        <v>91</v>
      </c>
      <c r="F14" s="3">
        <f>88+124</f>
        <v>212</v>
      </c>
      <c r="G14" s="3">
        <v>132</v>
      </c>
      <c r="H14" s="3">
        <v>168</v>
      </c>
      <c r="I14" s="3">
        <f t="shared" ref="I14:I20" si="79">D14+G14-H14</f>
        <v>104</v>
      </c>
      <c r="J14" s="3">
        <f t="shared" ref="J14:J20" si="80">E14+F14-G14</f>
        <v>171</v>
      </c>
      <c r="K14" s="3">
        <v>273</v>
      </c>
      <c r="L14" s="3">
        <v>228</v>
      </c>
      <c r="M14" s="3">
        <v>272</v>
      </c>
      <c r="N14" s="3">
        <f t="shared" ref="N14:N20" si="81">I14+L14-M14</f>
        <v>60</v>
      </c>
      <c r="O14" s="3">
        <f t="shared" ref="O14:O20" si="82">J14+K14-L14</f>
        <v>216</v>
      </c>
      <c r="P14" s="3">
        <f>57+90</f>
        <v>147</v>
      </c>
      <c r="Q14" s="3">
        <v>188</v>
      </c>
      <c r="R14" s="3">
        <v>252</v>
      </c>
      <c r="S14" s="3">
        <f t="shared" ref="S14:S20" si="83">N14+Q14-R14</f>
        <v>-4</v>
      </c>
      <c r="T14" s="3">
        <f t="shared" ref="T14:T20" si="84">O14+P14-Q14</f>
        <v>175</v>
      </c>
      <c r="U14" s="3">
        <f>158+104</f>
        <v>262</v>
      </c>
      <c r="V14" s="3">
        <v>176</v>
      </c>
      <c r="W14" s="3">
        <v>144</v>
      </c>
      <c r="X14" s="3">
        <f t="shared" ref="X14:X20" si="85">S14+V14-W14</f>
        <v>28</v>
      </c>
      <c r="Y14" s="3">
        <f t="shared" ref="Y14:Y20" si="86">T14+U14-V14</f>
        <v>261</v>
      </c>
      <c r="Z14" s="3">
        <v>134</v>
      </c>
      <c r="AA14" s="3">
        <v>160</v>
      </c>
      <c r="AB14" s="3">
        <v>184</v>
      </c>
      <c r="AC14" s="3">
        <f t="shared" ref="AC14:AC20" si="87">X14+AA14-AB14</f>
        <v>4</v>
      </c>
      <c r="AD14" s="3">
        <f t="shared" ref="AD14:AD20" si="88">Y14+Z14-AA14</f>
        <v>235</v>
      </c>
      <c r="AE14" s="3">
        <v>137</v>
      </c>
      <c r="AF14" s="3">
        <v>144</v>
      </c>
      <c r="AG14" s="3">
        <v>128</v>
      </c>
      <c r="AH14" s="3">
        <f t="shared" ref="AH14:AH20" si="89">AC14+AF14-AG14</f>
        <v>20</v>
      </c>
      <c r="AI14" s="3">
        <f t="shared" ref="AI14:AI20" si="90">AD14+AE14-AF14</f>
        <v>228</v>
      </c>
      <c r="AJ14" s="3">
        <v>169</v>
      </c>
      <c r="AK14" s="3">
        <v>164</v>
      </c>
      <c r="AL14" s="3">
        <v>136</v>
      </c>
      <c r="AM14" s="3">
        <f t="shared" ref="AM14:AM20" si="91">AH14+AK14-AL14</f>
        <v>48</v>
      </c>
      <c r="AN14" s="3">
        <f t="shared" ref="AN14:AN20" si="92">AI14+AJ14-AK14</f>
        <v>233</v>
      </c>
      <c r="AO14" s="3">
        <v>166</v>
      </c>
      <c r="AP14" s="3">
        <v>208</v>
      </c>
      <c r="AQ14" s="3">
        <v>218</v>
      </c>
      <c r="AR14" s="3">
        <f t="shared" ref="AR14:AR20" si="93">AM14+AP14-AQ14</f>
        <v>38</v>
      </c>
      <c r="AS14" s="3">
        <f t="shared" ref="AS14:AS20" si="94">AN14+AO14-AP14</f>
        <v>191</v>
      </c>
      <c r="AT14" s="3">
        <v>112</v>
      </c>
      <c r="AU14" s="3">
        <v>188</v>
      </c>
      <c r="AV14" s="3">
        <v>148</v>
      </c>
      <c r="AW14" s="3">
        <f t="shared" ref="AW14:AW20" si="95">AR14+AU14-AV14</f>
        <v>78</v>
      </c>
      <c r="AX14" s="3">
        <f t="shared" ref="AX14:AX20" si="96">AS14+AT14-AU14</f>
        <v>115</v>
      </c>
      <c r="AY14" s="3">
        <v>80</v>
      </c>
      <c r="AZ14" s="3">
        <v>172</v>
      </c>
      <c r="BA14" s="3">
        <v>172</v>
      </c>
      <c r="BB14" s="3">
        <f t="shared" ref="BB14:BB20" si="97">AW14+AZ14-BA14</f>
        <v>78</v>
      </c>
      <c r="BC14" s="3">
        <f t="shared" ref="BC14:BC20" si="98">AX14+AY14-AZ14</f>
        <v>23</v>
      </c>
      <c r="BD14" s="3">
        <v>70</v>
      </c>
      <c r="BE14" s="3">
        <v>24</v>
      </c>
      <c r="BF14" s="3">
        <v>14</v>
      </c>
      <c r="BG14" s="3">
        <f t="shared" ref="BG14:BG20" si="99">BB14+BE14-BF14</f>
        <v>88</v>
      </c>
      <c r="BH14" s="3">
        <f t="shared" ref="BH14:BH20" si="100">BC14+BD14-BE14</f>
        <v>69</v>
      </c>
      <c r="BI14" s="3">
        <v>72</v>
      </c>
      <c r="BJ14" s="3">
        <v>72</v>
      </c>
      <c r="BK14" s="3">
        <v>102</v>
      </c>
      <c r="BL14" s="3">
        <f t="shared" ref="BL14:BL20" si="101">BG14+BJ14-BK14</f>
        <v>58</v>
      </c>
      <c r="BM14" s="3">
        <f t="shared" ref="BM14:BM20" si="102">BH14+BI14-BJ14</f>
        <v>69</v>
      </c>
      <c r="BN14" s="3">
        <v>53</v>
      </c>
      <c r="BO14" s="3">
        <v>92</v>
      </c>
      <c r="BP14" s="3">
        <v>62</v>
      </c>
      <c r="BQ14" s="3">
        <f t="shared" ref="BQ14:BQ20" si="103">BL14+BO14-BP14</f>
        <v>88</v>
      </c>
      <c r="BR14" s="3">
        <f t="shared" ref="BR14:BR20" si="104">BM14+BN14-BO14</f>
        <v>30</v>
      </c>
      <c r="BS14" s="3">
        <f>104+82</f>
        <v>186</v>
      </c>
      <c r="BT14" s="3">
        <v>92</v>
      </c>
      <c r="BU14" s="3">
        <v>102</v>
      </c>
      <c r="BV14" s="3">
        <f t="shared" ref="BV14:BV20" si="105">BQ14+BT14-BU14</f>
        <v>78</v>
      </c>
      <c r="BW14" s="3">
        <f t="shared" ref="BW14:BW20" si="106">BR14+BS14-BT14</f>
        <v>124</v>
      </c>
      <c r="BX14" s="3">
        <v>108</v>
      </c>
      <c r="BY14" s="3">
        <v>168</v>
      </c>
      <c r="BZ14" s="3">
        <v>188</v>
      </c>
      <c r="CA14" s="3">
        <f t="shared" ref="CA14:CA20" si="107">BV14+BY14-BZ14</f>
        <v>58</v>
      </c>
      <c r="CB14" s="3">
        <f t="shared" ref="CB14:CB20" si="108">BW14+BX14-BY14</f>
        <v>64</v>
      </c>
      <c r="CC14" s="3">
        <v>172</v>
      </c>
      <c r="CD14" s="3">
        <v>196</v>
      </c>
      <c r="CE14" s="3">
        <v>186</v>
      </c>
      <c r="CF14" s="3">
        <f t="shared" ref="CF14:CF20" si="109">CA14+CD14-CE14</f>
        <v>68</v>
      </c>
      <c r="CG14" s="3">
        <f t="shared" ref="CG14:CG20" si="110">CB14+CC14-CD14</f>
        <v>40</v>
      </c>
      <c r="CH14" s="3">
        <v>136</v>
      </c>
      <c r="CI14" s="3">
        <v>104</v>
      </c>
      <c r="CJ14" s="3">
        <v>84</v>
      </c>
      <c r="CK14" s="3">
        <f t="shared" ref="CK14:CK20" si="111">CF14+CI14-CJ14</f>
        <v>88</v>
      </c>
      <c r="CL14" s="3">
        <f t="shared" ref="CL14:CL20" si="112">CG14+CH14-CI14</f>
        <v>72</v>
      </c>
      <c r="CM14" s="3">
        <f>102+43</f>
        <v>145</v>
      </c>
      <c r="CN14" s="3">
        <v>180</v>
      </c>
      <c r="CO14" s="3">
        <v>195</v>
      </c>
      <c r="CP14" s="3">
        <f t="shared" ref="CP14:CP20" si="113">CK14+CN14-CO14</f>
        <v>73</v>
      </c>
      <c r="CQ14" s="3">
        <f t="shared" ref="CQ14:CQ20" si="114">CL14+CM14-CN14</f>
        <v>37</v>
      </c>
      <c r="CR14" s="3">
        <f>102+90</f>
        <v>192</v>
      </c>
      <c r="CS14" s="3">
        <v>116</v>
      </c>
      <c r="CT14" s="3">
        <v>121</v>
      </c>
      <c r="CU14" s="3">
        <f t="shared" ref="CU14:CU20" si="115">CP14+CS14-CT14</f>
        <v>68</v>
      </c>
      <c r="CV14" s="3">
        <f t="shared" ref="CV14:CV20" si="116">CQ14+CR14-CS14</f>
        <v>113</v>
      </c>
      <c r="CW14" s="3">
        <f>88+48</f>
        <v>136</v>
      </c>
      <c r="CX14" s="3">
        <v>172</v>
      </c>
      <c r="CY14" s="3">
        <v>192</v>
      </c>
      <c r="CZ14" s="3">
        <f t="shared" ref="CZ14:CZ20" si="117">CU14+CX14-CY14</f>
        <v>48</v>
      </c>
      <c r="DA14" s="3">
        <f t="shared" ref="DA14:DA20" si="118">CV14+CW14-CX14</f>
        <v>77</v>
      </c>
      <c r="DB14" s="3">
        <v>112</v>
      </c>
      <c r="DC14" s="3">
        <v>148</v>
      </c>
      <c r="DD14" s="3">
        <v>148</v>
      </c>
      <c r="DE14" s="3">
        <f t="shared" ref="DE14:DE20" si="119">CZ14+DC14-DD14</f>
        <v>48</v>
      </c>
      <c r="DF14" s="3">
        <f t="shared" ref="DF14:DF20" si="120">DA14+DB14-DC14</f>
        <v>41</v>
      </c>
      <c r="DG14" s="3">
        <v>210</v>
      </c>
      <c r="DH14" s="3">
        <v>164</v>
      </c>
      <c r="DI14" s="3">
        <v>154</v>
      </c>
      <c r="DJ14" s="3">
        <f t="shared" ref="DJ14:DJ20" si="121">DE14+DH14-DI14</f>
        <v>58</v>
      </c>
      <c r="DK14" s="3">
        <f t="shared" ref="DK14:DK20" si="122">DF14+DG14-DH14</f>
        <v>87</v>
      </c>
      <c r="DL14" s="3">
        <v>159</v>
      </c>
      <c r="DM14" s="3">
        <v>160</v>
      </c>
      <c r="DN14" s="3">
        <v>135</v>
      </c>
      <c r="DO14" s="3">
        <f t="shared" ref="DO14:DO20" si="123">DJ14+DM14-DN14</f>
        <v>83</v>
      </c>
      <c r="DP14" s="3">
        <f t="shared" ref="DP14:DP20" si="124">DK14+DL14-DM14</f>
        <v>86</v>
      </c>
      <c r="DQ14" s="3">
        <f>82+44</f>
        <v>126</v>
      </c>
      <c r="DR14" s="3">
        <v>120</v>
      </c>
      <c r="DS14" s="3">
        <v>55</v>
      </c>
      <c r="DT14" s="3">
        <f t="shared" ref="DT14:DT20" si="125">DO14+DR14-DS14</f>
        <v>148</v>
      </c>
      <c r="DU14" s="3">
        <f t="shared" ref="DU14:DU20" si="126">DP14+DQ14-DR14</f>
        <v>92</v>
      </c>
      <c r="DV14" s="3">
        <v>96</v>
      </c>
      <c r="DW14" s="3">
        <v>32</v>
      </c>
      <c r="DX14" s="3">
        <v>172</v>
      </c>
    </row>
    <row r="15" spans="1:128" x14ac:dyDescent="0.35">
      <c r="A15" s="3">
        <v>30</v>
      </c>
      <c r="B15" s="2" t="s">
        <v>8</v>
      </c>
      <c r="C15" s="2" t="s">
        <v>27</v>
      </c>
      <c r="D15" s="3">
        <f t="shared" si="78"/>
        <v>30</v>
      </c>
      <c r="E15" s="3">
        <v>32</v>
      </c>
      <c r="F15" s="3">
        <v>20</v>
      </c>
      <c r="G15" s="3">
        <v>16</v>
      </c>
      <c r="H15" s="3">
        <v>0</v>
      </c>
      <c r="I15" s="3">
        <f t="shared" si="79"/>
        <v>46</v>
      </c>
      <c r="J15" s="3">
        <f t="shared" si="80"/>
        <v>36</v>
      </c>
      <c r="K15" s="3">
        <v>3</v>
      </c>
      <c r="L15" s="3">
        <v>0</v>
      </c>
      <c r="M15" s="3">
        <v>0</v>
      </c>
      <c r="N15" s="3">
        <f t="shared" si="81"/>
        <v>46</v>
      </c>
      <c r="O15" s="3">
        <f t="shared" si="82"/>
        <v>39</v>
      </c>
      <c r="P15" s="3">
        <v>12</v>
      </c>
      <c r="Q15" s="3">
        <v>0</v>
      </c>
      <c r="R15" s="3">
        <v>0</v>
      </c>
      <c r="S15" s="3">
        <f t="shared" si="83"/>
        <v>46</v>
      </c>
      <c r="T15" s="3">
        <f t="shared" si="84"/>
        <v>51</v>
      </c>
      <c r="U15" s="3">
        <v>0</v>
      </c>
      <c r="V15" s="3">
        <v>0</v>
      </c>
      <c r="W15" s="3">
        <v>14</v>
      </c>
      <c r="X15" s="3">
        <f t="shared" si="85"/>
        <v>32</v>
      </c>
      <c r="Y15" s="3">
        <f t="shared" si="86"/>
        <v>51</v>
      </c>
      <c r="Z15" s="3">
        <v>0</v>
      </c>
      <c r="AA15" s="3">
        <v>0</v>
      </c>
      <c r="AB15" s="3">
        <v>0</v>
      </c>
      <c r="AC15" s="3">
        <f t="shared" si="87"/>
        <v>32</v>
      </c>
      <c r="AD15" s="3">
        <f t="shared" si="88"/>
        <v>51</v>
      </c>
      <c r="AE15" s="3">
        <v>0</v>
      </c>
      <c r="AF15" s="3">
        <v>0</v>
      </c>
      <c r="AG15" s="3">
        <v>0</v>
      </c>
      <c r="AH15" s="3">
        <f t="shared" si="89"/>
        <v>32</v>
      </c>
      <c r="AI15" s="3">
        <f t="shared" si="90"/>
        <v>51</v>
      </c>
      <c r="AJ15" s="3">
        <v>0</v>
      </c>
      <c r="AK15" s="3">
        <v>0</v>
      </c>
      <c r="AL15" s="3">
        <v>1</v>
      </c>
      <c r="AM15" s="3">
        <f t="shared" si="91"/>
        <v>31</v>
      </c>
      <c r="AN15" s="3">
        <f t="shared" si="92"/>
        <v>51</v>
      </c>
      <c r="AO15" s="3">
        <v>0</v>
      </c>
      <c r="AP15" s="3">
        <v>0</v>
      </c>
      <c r="AQ15" s="3">
        <v>7</v>
      </c>
      <c r="AR15" s="3">
        <f t="shared" si="93"/>
        <v>24</v>
      </c>
      <c r="AS15" s="3">
        <f t="shared" si="94"/>
        <v>51</v>
      </c>
      <c r="AT15" s="3">
        <v>0</v>
      </c>
      <c r="AU15" s="3">
        <v>0</v>
      </c>
      <c r="AV15" s="3">
        <v>23</v>
      </c>
      <c r="AW15" s="3">
        <f t="shared" si="95"/>
        <v>1</v>
      </c>
      <c r="AX15" s="3">
        <f t="shared" si="96"/>
        <v>51</v>
      </c>
      <c r="AY15" s="3">
        <v>44</v>
      </c>
      <c r="AZ15" s="3">
        <v>40</v>
      </c>
      <c r="BA15" s="3">
        <v>37</v>
      </c>
      <c r="BB15" s="3">
        <f t="shared" si="97"/>
        <v>4</v>
      </c>
      <c r="BC15" s="3">
        <f t="shared" si="98"/>
        <v>55</v>
      </c>
      <c r="BD15" s="3">
        <v>35</v>
      </c>
      <c r="BE15" s="3">
        <v>74</v>
      </c>
      <c r="BF15" s="3">
        <v>56</v>
      </c>
      <c r="BG15" s="3">
        <f t="shared" si="99"/>
        <v>22</v>
      </c>
      <c r="BH15" s="3">
        <f t="shared" si="100"/>
        <v>16</v>
      </c>
      <c r="BI15" s="3">
        <v>60</v>
      </c>
      <c r="BJ15" s="3">
        <v>32</v>
      </c>
      <c r="BK15" s="3">
        <v>42</v>
      </c>
      <c r="BL15" s="3">
        <f t="shared" si="101"/>
        <v>12</v>
      </c>
      <c r="BM15" s="3">
        <f t="shared" si="102"/>
        <v>44</v>
      </c>
      <c r="BN15" s="3">
        <v>28</v>
      </c>
      <c r="BO15" s="3">
        <v>44</v>
      </c>
      <c r="BP15" s="3">
        <v>34</v>
      </c>
      <c r="BQ15" s="3">
        <f t="shared" si="103"/>
        <v>22</v>
      </c>
      <c r="BR15" s="3">
        <f t="shared" si="104"/>
        <v>28</v>
      </c>
      <c r="BS15" s="3">
        <v>12</v>
      </c>
      <c r="BT15" s="3">
        <v>12</v>
      </c>
      <c r="BU15" s="3">
        <v>7</v>
      </c>
      <c r="BV15" s="3">
        <f t="shared" si="105"/>
        <v>27</v>
      </c>
      <c r="BW15" s="3">
        <f t="shared" si="106"/>
        <v>28</v>
      </c>
      <c r="BX15" s="3">
        <v>16</v>
      </c>
      <c r="BY15" s="3">
        <v>12</v>
      </c>
      <c r="BZ15" s="3">
        <v>12</v>
      </c>
      <c r="CA15" s="3">
        <f t="shared" si="107"/>
        <v>27</v>
      </c>
      <c r="CB15" s="3">
        <f t="shared" si="108"/>
        <v>32</v>
      </c>
      <c r="CC15" s="3">
        <v>60</v>
      </c>
      <c r="CD15" s="3">
        <v>44</v>
      </c>
      <c r="CE15" s="3">
        <v>39</v>
      </c>
      <c r="CF15" s="3">
        <f t="shared" si="109"/>
        <v>32</v>
      </c>
      <c r="CG15" s="3">
        <f t="shared" si="110"/>
        <v>48</v>
      </c>
      <c r="CH15" s="3">
        <v>0</v>
      </c>
      <c r="CI15" s="3">
        <v>32</v>
      </c>
      <c r="CJ15" s="3">
        <v>42</v>
      </c>
      <c r="CK15" s="3">
        <f t="shared" si="111"/>
        <v>22</v>
      </c>
      <c r="CL15" s="3">
        <f t="shared" si="112"/>
        <v>16</v>
      </c>
      <c r="CM15" s="3">
        <f>8+16</f>
        <v>24</v>
      </c>
      <c r="CN15" s="3">
        <v>28</v>
      </c>
      <c r="CO15" s="3">
        <v>23</v>
      </c>
      <c r="CP15" s="3">
        <f t="shared" si="113"/>
        <v>27</v>
      </c>
      <c r="CQ15" s="3">
        <f t="shared" si="114"/>
        <v>12</v>
      </c>
      <c r="CR15" s="3">
        <f>24+44</f>
        <v>68</v>
      </c>
      <c r="CS15" s="3">
        <v>40</v>
      </c>
      <c r="CT15" s="3">
        <v>37</v>
      </c>
      <c r="CU15" s="3">
        <f t="shared" si="115"/>
        <v>30</v>
      </c>
      <c r="CV15" s="3">
        <f t="shared" si="116"/>
        <v>40</v>
      </c>
      <c r="CW15" s="3">
        <f>52+16</f>
        <v>68</v>
      </c>
      <c r="CX15" s="3">
        <v>88</v>
      </c>
      <c r="CY15" s="3">
        <v>98</v>
      </c>
      <c r="CZ15" s="3">
        <f t="shared" si="117"/>
        <v>20</v>
      </c>
      <c r="DA15" s="3">
        <f t="shared" si="118"/>
        <v>20</v>
      </c>
      <c r="DB15" s="3">
        <v>16</v>
      </c>
      <c r="DC15" s="3">
        <v>24</v>
      </c>
      <c r="DD15" s="3">
        <v>28</v>
      </c>
      <c r="DE15" s="3">
        <f t="shared" si="119"/>
        <v>16</v>
      </c>
      <c r="DF15" s="3">
        <f t="shared" si="120"/>
        <v>12</v>
      </c>
      <c r="DG15" s="3">
        <v>12</v>
      </c>
      <c r="DH15" s="3">
        <v>12</v>
      </c>
      <c r="DI15" s="3">
        <v>5</v>
      </c>
      <c r="DJ15" s="3">
        <f t="shared" si="121"/>
        <v>23</v>
      </c>
      <c r="DK15" s="3">
        <f t="shared" si="122"/>
        <v>12</v>
      </c>
      <c r="DL15" s="3">
        <v>16</v>
      </c>
      <c r="DM15" s="3">
        <v>0</v>
      </c>
      <c r="DN15" s="3">
        <v>8</v>
      </c>
      <c r="DO15" s="3">
        <f t="shared" si="123"/>
        <v>15</v>
      </c>
      <c r="DP15" s="3">
        <f t="shared" si="124"/>
        <v>28</v>
      </c>
      <c r="DQ15" s="3">
        <v>0</v>
      </c>
      <c r="DR15" s="3">
        <v>16</v>
      </c>
      <c r="DS15" s="3">
        <v>1</v>
      </c>
      <c r="DT15" s="3">
        <f t="shared" si="125"/>
        <v>30</v>
      </c>
      <c r="DU15" s="3">
        <f t="shared" si="126"/>
        <v>12</v>
      </c>
      <c r="DV15" s="3">
        <v>12</v>
      </c>
      <c r="DW15" s="3">
        <v>12</v>
      </c>
      <c r="DX15" s="3">
        <v>1</v>
      </c>
    </row>
    <row r="16" spans="1:128" x14ac:dyDescent="0.35">
      <c r="A16" s="3">
        <v>170</v>
      </c>
      <c r="B16" s="2" t="s">
        <v>9</v>
      </c>
      <c r="C16" s="2" t="s">
        <v>40</v>
      </c>
      <c r="D16" s="3">
        <f t="shared" si="78"/>
        <v>170</v>
      </c>
      <c r="E16" s="3">
        <v>88</v>
      </c>
      <c r="F16" s="3">
        <v>56</v>
      </c>
      <c r="G16" s="3">
        <v>28</v>
      </c>
      <c r="H16" s="3">
        <v>53</v>
      </c>
      <c r="I16" s="3">
        <f t="shared" si="79"/>
        <v>145</v>
      </c>
      <c r="J16" s="3">
        <f t="shared" si="80"/>
        <v>116</v>
      </c>
      <c r="K16" s="3">
        <v>76</v>
      </c>
      <c r="L16" s="3">
        <v>64</v>
      </c>
      <c r="M16" s="3">
        <v>44</v>
      </c>
      <c r="N16" s="3">
        <f t="shared" si="81"/>
        <v>165</v>
      </c>
      <c r="O16" s="3">
        <f t="shared" si="82"/>
        <v>128</v>
      </c>
      <c r="P16" s="3">
        <f>26+40</f>
        <v>66</v>
      </c>
      <c r="Q16" s="3">
        <v>88</v>
      </c>
      <c r="R16" s="3">
        <v>92</v>
      </c>
      <c r="S16" s="3">
        <f t="shared" si="83"/>
        <v>161</v>
      </c>
      <c r="T16" s="3">
        <f t="shared" si="84"/>
        <v>106</v>
      </c>
      <c r="U16" s="3">
        <v>144</v>
      </c>
      <c r="V16" s="3">
        <v>128</v>
      </c>
      <c r="W16" s="3">
        <v>139</v>
      </c>
      <c r="X16" s="3">
        <f t="shared" si="85"/>
        <v>150</v>
      </c>
      <c r="Y16" s="3">
        <f t="shared" si="86"/>
        <v>122</v>
      </c>
      <c r="Z16" s="3">
        <v>79</v>
      </c>
      <c r="AA16" s="3">
        <v>76</v>
      </c>
      <c r="AB16" s="3">
        <v>128</v>
      </c>
      <c r="AC16" s="3">
        <f t="shared" si="87"/>
        <v>98</v>
      </c>
      <c r="AD16" s="3">
        <v>84</v>
      </c>
      <c r="AE16" s="3">
        <f>85+40</f>
        <v>125</v>
      </c>
      <c r="AF16" s="3">
        <v>112</v>
      </c>
      <c r="AG16" s="3">
        <v>97</v>
      </c>
      <c r="AH16" s="3">
        <f t="shared" si="89"/>
        <v>113</v>
      </c>
      <c r="AI16" s="3">
        <f t="shared" si="90"/>
        <v>97</v>
      </c>
      <c r="AJ16" s="3">
        <v>167</v>
      </c>
      <c r="AK16" s="3">
        <v>124</v>
      </c>
      <c r="AL16" s="3">
        <v>93</v>
      </c>
      <c r="AM16" s="3">
        <f t="shared" si="91"/>
        <v>144</v>
      </c>
      <c r="AN16" s="3">
        <f t="shared" si="92"/>
        <v>140</v>
      </c>
      <c r="AO16" s="3">
        <f>101+40</f>
        <v>141</v>
      </c>
      <c r="AP16" s="3">
        <v>132</v>
      </c>
      <c r="AQ16" s="3">
        <v>128</v>
      </c>
      <c r="AR16" s="3">
        <f t="shared" si="93"/>
        <v>148</v>
      </c>
      <c r="AS16" s="3">
        <f t="shared" si="94"/>
        <v>149</v>
      </c>
      <c r="AT16" s="3">
        <v>47</v>
      </c>
      <c r="AU16" s="3">
        <v>108</v>
      </c>
      <c r="AV16" s="3">
        <v>78</v>
      </c>
      <c r="AW16" s="3">
        <f t="shared" si="95"/>
        <v>178</v>
      </c>
      <c r="AX16" s="3">
        <f t="shared" si="96"/>
        <v>88</v>
      </c>
      <c r="AY16" s="3">
        <v>110</v>
      </c>
      <c r="AZ16" s="3">
        <v>44</v>
      </c>
      <c r="BA16" s="3">
        <v>94</v>
      </c>
      <c r="BB16" s="3">
        <f t="shared" si="97"/>
        <v>128</v>
      </c>
      <c r="BC16" s="3">
        <f t="shared" si="98"/>
        <v>154</v>
      </c>
      <c r="BD16" s="3">
        <v>55</v>
      </c>
      <c r="BE16" s="3">
        <v>92</v>
      </c>
      <c r="BF16" s="3">
        <v>122</v>
      </c>
      <c r="BG16" s="3">
        <f t="shared" si="99"/>
        <v>98</v>
      </c>
      <c r="BH16" s="3">
        <f t="shared" si="100"/>
        <v>117</v>
      </c>
      <c r="BI16" s="3">
        <v>16</v>
      </c>
      <c r="BJ16" s="3">
        <v>92</v>
      </c>
      <c r="BK16" s="3">
        <v>82</v>
      </c>
      <c r="BL16" s="3">
        <f t="shared" si="101"/>
        <v>108</v>
      </c>
      <c r="BM16" s="3">
        <f t="shared" si="102"/>
        <v>41</v>
      </c>
      <c r="BN16" s="3">
        <f>34+58</f>
        <v>92</v>
      </c>
      <c r="BO16" s="3">
        <v>96</v>
      </c>
      <c r="BP16" s="3">
        <v>131</v>
      </c>
      <c r="BQ16" s="3">
        <f t="shared" si="103"/>
        <v>73</v>
      </c>
      <c r="BR16" s="3">
        <f t="shared" si="104"/>
        <v>37</v>
      </c>
      <c r="BS16" s="3">
        <v>136</v>
      </c>
      <c r="BT16" s="3">
        <v>148</v>
      </c>
      <c r="BU16" s="3">
        <v>148</v>
      </c>
      <c r="BV16" s="3">
        <f t="shared" si="105"/>
        <v>73</v>
      </c>
      <c r="BW16" s="3">
        <f t="shared" si="106"/>
        <v>25</v>
      </c>
      <c r="BX16" s="3">
        <v>77</v>
      </c>
      <c r="BY16" s="3">
        <v>60</v>
      </c>
      <c r="BZ16" s="3">
        <v>70</v>
      </c>
      <c r="CA16" s="3">
        <f t="shared" si="107"/>
        <v>63</v>
      </c>
      <c r="CB16" s="3">
        <f t="shared" si="108"/>
        <v>42</v>
      </c>
      <c r="CC16" s="3">
        <v>0</v>
      </c>
      <c r="CD16" s="3">
        <v>40</v>
      </c>
      <c r="CE16" s="3">
        <v>60</v>
      </c>
      <c r="CF16" s="3">
        <f t="shared" si="109"/>
        <v>43</v>
      </c>
      <c r="CG16" s="3">
        <f t="shared" si="110"/>
        <v>2</v>
      </c>
      <c r="CH16" s="3">
        <v>152</v>
      </c>
      <c r="CI16" s="3">
        <v>64</v>
      </c>
      <c r="CJ16" s="3">
        <v>79</v>
      </c>
      <c r="CK16" s="3">
        <f t="shared" si="111"/>
        <v>28</v>
      </c>
      <c r="CL16" s="3">
        <f t="shared" si="112"/>
        <v>90</v>
      </c>
      <c r="CM16" s="3">
        <f>92</f>
        <v>92</v>
      </c>
      <c r="CN16" s="3">
        <v>60</v>
      </c>
      <c r="CO16" s="3">
        <v>55</v>
      </c>
      <c r="CP16" s="3">
        <f t="shared" si="113"/>
        <v>33</v>
      </c>
      <c r="CQ16" s="3">
        <f t="shared" si="114"/>
        <v>122</v>
      </c>
      <c r="CR16" s="3">
        <v>70</v>
      </c>
      <c r="CS16" s="3">
        <v>48</v>
      </c>
      <c r="CT16" s="3">
        <v>12</v>
      </c>
      <c r="CU16" s="3">
        <f t="shared" si="115"/>
        <v>69</v>
      </c>
      <c r="CV16" s="3">
        <f t="shared" si="116"/>
        <v>144</v>
      </c>
      <c r="CW16" s="3">
        <v>40</v>
      </c>
      <c r="CX16" s="3">
        <v>16</v>
      </c>
      <c r="CY16" s="3">
        <v>68</v>
      </c>
      <c r="CZ16" s="3">
        <f t="shared" si="117"/>
        <v>17</v>
      </c>
      <c r="DA16" s="3">
        <f t="shared" si="118"/>
        <v>168</v>
      </c>
      <c r="DB16" s="3">
        <v>72</v>
      </c>
      <c r="DC16" s="3">
        <v>84</v>
      </c>
      <c r="DD16" s="3">
        <v>38</v>
      </c>
      <c r="DE16" s="3">
        <f t="shared" si="119"/>
        <v>63</v>
      </c>
      <c r="DF16" s="3">
        <f t="shared" si="120"/>
        <v>156</v>
      </c>
      <c r="DG16" s="3">
        <v>84</v>
      </c>
      <c r="DH16" s="3">
        <v>28</v>
      </c>
      <c r="DI16" s="3">
        <v>68</v>
      </c>
      <c r="DJ16" s="3">
        <f t="shared" si="121"/>
        <v>23</v>
      </c>
      <c r="DK16" s="3">
        <f t="shared" si="122"/>
        <v>212</v>
      </c>
      <c r="DL16" s="3">
        <v>40</v>
      </c>
      <c r="DM16" s="3">
        <v>144</v>
      </c>
      <c r="DN16" s="3">
        <v>114</v>
      </c>
      <c r="DO16" s="3">
        <f t="shared" si="123"/>
        <v>53</v>
      </c>
      <c r="DP16" s="3">
        <f t="shared" si="124"/>
        <v>108</v>
      </c>
      <c r="DQ16" s="3">
        <v>0</v>
      </c>
      <c r="DR16" s="3">
        <v>44</v>
      </c>
      <c r="DS16" s="3">
        <v>33</v>
      </c>
      <c r="DT16" s="3">
        <f t="shared" si="125"/>
        <v>64</v>
      </c>
      <c r="DU16" s="3">
        <f t="shared" si="126"/>
        <v>64</v>
      </c>
      <c r="DV16" s="3">
        <v>0</v>
      </c>
      <c r="DW16" s="3">
        <v>32</v>
      </c>
      <c r="DX16" s="3">
        <v>51</v>
      </c>
    </row>
    <row r="17" spans="1:128" x14ac:dyDescent="0.35">
      <c r="A17" s="3">
        <v>49</v>
      </c>
      <c r="B17" s="2" t="s">
        <v>24</v>
      </c>
      <c r="C17" s="2" t="s">
        <v>28</v>
      </c>
      <c r="D17" s="3">
        <f t="shared" si="78"/>
        <v>49</v>
      </c>
      <c r="E17" s="3">
        <v>12</v>
      </c>
      <c r="F17" s="3">
        <v>62</v>
      </c>
      <c r="G17" s="3">
        <v>48</v>
      </c>
      <c r="H17" s="3">
        <v>70</v>
      </c>
      <c r="I17" s="3">
        <f t="shared" si="79"/>
        <v>27</v>
      </c>
      <c r="J17" s="3">
        <f t="shared" si="80"/>
        <v>26</v>
      </c>
      <c r="K17" s="3">
        <v>0</v>
      </c>
      <c r="L17" s="3">
        <v>16</v>
      </c>
      <c r="M17" s="3">
        <v>3</v>
      </c>
      <c r="N17" s="3">
        <f t="shared" si="81"/>
        <v>40</v>
      </c>
      <c r="O17" s="3">
        <f t="shared" si="82"/>
        <v>10</v>
      </c>
      <c r="P17" s="3">
        <v>64</v>
      </c>
      <c r="Q17" s="3">
        <v>0</v>
      </c>
      <c r="R17" s="3">
        <v>20</v>
      </c>
      <c r="S17" s="3">
        <f t="shared" si="83"/>
        <v>20</v>
      </c>
      <c r="T17" s="3">
        <f t="shared" si="84"/>
        <v>74</v>
      </c>
      <c r="U17" s="3">
        <v>0</v>
      </c>
      <c r="V17" s="3">
        <v>48</v>
      </c>
      <c r="W17" s="3">
        <v>20</v>
      </c>
      <c r="X17" s="3">
        <f t="shared" si="85"/>
        <v>48</v>
      </c>
      <c r="Y17" s="3">
        <f t="shared" si="86"/>
        <v>26</v>
      </c>
      <c r="Z17" s="3">
        <v>56</v>
      </c>
      <c r="AA17" s="3">
        <v>16</v>
      </c>
      <c r="AB17" s="3">
        <v>8</v>
      </c>
      <c r="AC17" s="3">
        <f t="shared" si="87"/>
        <v>56</v>
      </c>
      <c r="AD17" s="3">
        <f t="shared" si="88"/>
        <v>66</v>
      </c>
      <c r="AE17" s="3">
        <v>12</v>
      </c>
      <c r="AF17" s="3">
        <v>32</v>
      </c>
      <c r="AG17" s="3">
        <v>24</v>
      </c>
      <c r="AH17" s="3">
        <f t="shared" si="89"/>
        <v>64</v>
      </c>
      <c r="AI17" s="3">
        <f t="shared" si="90"/>
        <v>46</v>
      </c>
      <c r="AJ17" s="3">
        <v>16</v>
      </c>
      <c r="AK17" s="3">
        <v>16</v>
      </c>
      <c r="AL17" s="3">
        <v>14</v>
      </c>
      <c r="AM17" s="3">
        <f t="shared" si="91"/>
        <v>66</v>
      </c>
      <c r="AN17" s="3">
        <f t="shared" si="92"/>
        <v>46</v>
      </c>
      <c r="AO17" s="3">
        <v>0</v>
      </c>
      <c r="AP17" s="3">
        <v>28</v>
      </c>
      <c r="AQ17" s="3">
        <v>58</v>
      </c>
      <c r="AR17" s="3">
        <f t="shared" si="93"/>
        <v>36</v>
      </c>
      <c r="AS17" s="3">
        <f t="shared" si="94"/>
        <v>18</v>
      </c>
      <c r="AT17" s="3">
        <v>68</v>
      </c>
      <c r="AU17" s="3">
        <v>72</v>
      </c>
      <c r="AV17" s="3">
        <v>64</v>
      </c>
      <c r="AW17" s="3">
        <f t="shared" si="95"/>
        <v>44</v>
      </c>
      <c r="AX17" s="3">
        <f t="shared" si="96"/>
        <v>14</v>
      </c>
      <c r="AY17" s="3">
        <v>80</v>
      </c>
      <c r="AZ17" s="3">
        <v>86</v>
      </c>
      <c r="BA17" s="3">
        <v>79</v>
      </c>
      <c r="BB17" s="3">
        <f t="shared" si="97"/>
        <v>51</v>
      </c>
      <c r="BC17" s="3">
        <f t="shared" si="98"/>
        <v>8</v>
      </c>
      <c r="BD17" s="3">
        <v>135</v>
      </c>
      <c r="BE17" s="3">
        <v>64</v>
      </c>
      <c r="BF17" s="3">
        <v>62</v>
      </c>
      <c r="BG17" s="3">
        <f t="shared" si="99"/>
        <v>53</v>
      </c>
      <c r="BH17" s="3">
        <v>76</v>
      </c>
      <c r="BI17" s="3">
        <v>100</v>
      </c>
      <c r="BJ17" s="3">
        <v>76</v>
      </c>
      <c r="BK17" s="3">
        <v>46</v>
      </c>
      <c r="BL17" s="3">
        <f t="shared" si="101"/>
        <v>83</v>
      </c>
      <c r="BM17" s="3">
        <f t="shared" si="102"/>
        <v>100</v>
      </c>
      <c r="BN17" s="3">
        <v>32</v>
      </c>
      <c r="BO17" s="3">
        <v>16</v>
      </c>
      <c r="BP17" s="3">
        <v>41</v>
      </c>
      <c r="BQ17" s="3">
        <f t="shared" si="103"/>
        <v>58</v>
      </c>
      <c r="BR17" s="3">
        <f t="shared" si="104"/>
        <v>116</v>
      </c>
      <c r="BS17" s="3">
        <v>0</v>
      </c>
      <c r="BT17" s="3">
        <v>60</v>
      </c>
      <c r="BU17" s="3">
        <v>70</v>
      </c>
      <c r="BV17" s="3">
        <f t="shared" si="105"/>
        <v>48</v>
      </c>
      <c r="BW17" s="3">
        <f t="shared" si="106"/>
        <v>56</v>
      </c>
      <c r="BX17" s="3">
        <v>48</v>
      </c>
      <c r="BY17" s="3">
        <v>16</v>
      </c>
      <c r="BZ17" s="3">
        <v>6</v>
      </c>
      <c r="CA17" s="3">
        <f t="shared" si="107"/>
        <v>58</v>
      </c>
      <c r="CB17" s="3">
        <f t="shared" si="108"/>
        <v>88</v>
      </c>
      <c r="CC17" s="3">
        <v>23</v>
      </c>
      <c r="CD17" s="3">
        <v>40</v>
      </c>
      <c r="CE17" s="3">
        <v>60</v>
      </c>
      <c r="CF17" s="3">
        <f t="shared" si="109"/>
        <v>38</v>
      </c>
      <c r="CG17" s="3">
        <f t="shared" si="110"/>
        <v>71</v>
      </c>
      <c r="CH17" s="3">
        <v>0</v>
      </c>
      <c r="CI17" s="3">
        <v>12</v>
      </c>
      <c r="CJ17" s="3">
        <v>56</v>
      </c>
      <c r="CK17" s="3">
        <f t="shared" si="111"/>
        <v>-6</v>
      </c>
      <c r="CL17" s="3">
        <f t="shared" si="112"/>
        <v>59</v>
      </c>
      <c r="CM17" s="3">
        <v>0</v>
      </c>
      <c r="CN17" s="3">
        <v>40</v>
      </c>
      <c r="CO17" s="3">
        <v>21</v>
      </c>
      <c r="CP17" s="3">
        <f t="shared" si="113"/>
        <v>13</v>
      </c>
      <c r="CQ17" s="3">
        <f t="shared" si="114"/>
        <v>19</v>
      </c>
      <c r="CR17" s="3">
        <v>16</v>
      </c>
      <c r="CS17" s="3">
        <v>48</v>
      </c>
      <c r="CT17" s="3">
        <v>52</v>
      </c>
      <c r="CU17" s="3">
        <f t="shared" si="115"/>
        <v>9</v>
      </c>
      <c r="CV17" s="3">
        <f t="shared" si="116"/>
        <v>-13</v>
      </c>
      <c r="CW17" s="3">
        <v>16</v>
      </c>
      <c r="CX17" s="3">
        <v>16</v>
      </c>
      <c r="CY17" s="3">
        <v>27</v>
      </c>
      <c r="CZ17" s="3">
        <f t="shared" si="117"/>
        <v>-2</v>
      </c>
      <c r="DA17" s="3">
        <f t="shared" si="118"/>
        <v>-13</v>
      </c>
      <c r="DB17" s="3">
        <v>79</v>
      </c>
      <c r="DC17" s="3">
        <v>48</v>
      </c>
      <c r="DD17" s="3">
        <v>22</v>
      </c>
      <c r="DE17" s="3">
        <f t="shared" si="119"/>
        <v>24</v>
      </c>
      <c r="DF17" s="3">
        <f t="shared" si="120"/>
        <v>18</v>
      </c>
      <c r="DG17" s="3">
        <v>20</v>
      </c>
      <c r="DH17" s="3">
        <v>16</v>
      </c>
      <c r="DI17" s="3">
        <v>11</v>
      </c>
      <c r="DJ17" s="3">
        <f t="shared" si="121"/>
        <v>29</v>
      </c>
      <c r="DK17" s="3">
        <f t="shared" si="122"/>
        <v>22</v>
      </c>
      <c r="DL17" s="3">
        <v>32</v>
      </c>
      <c r="DM17" s="3">
        <v>0</v>
      </c>
      <c r="DN17" s="3">
        <v>10</v>
      </c>
      <c r="DO17" s="3">
        <f t="shared" si="123"/>
        <v>19</v>
      </c>
      <c r="DP17" s="3">
        <f t="shared" si="124"/>
        <v>54</v>
      </c>
      <c r="DQ17" s="3">
        <v>0</v>
      </c>
      <c r="DR17" s="3">
        <v>32</v>
      </c>
      <c r="DS17" s="3">
        <v>35</v>
      </c>
      <c r="DT17" s="3">
        <f t="shared" si="125"/>
        <v>16</v>
      </c>
      <c r="DU17" s="3">
        <f t="shared" si="126"/>
        <v>22</v>
      </c>
      <c r="DV17" s="3">
        <v>24</v>
      </c>
      <c r="DW17" s="3">
        <v>16</v>
      </c>
      <c r="DX17" s="3">
        <v>3</v>
      </c>
    </row>
    <row r="18" spans="1:128" x14ac:dyDescent="0.35">
      <c r="A18" s="3">
        <v>40</v>
      </c>
      <c r="B18" s="2" t="s">
        <v>10</v>
      </c>
      <c r="C18" s="2" t="s">
        <v>41</v>
      </c>
      <c r="D18" s="3">
        <f t="shared" si="78"/>
        <v>40</v>
      </c>
      <c r="E18" s="3">
        <v>18</v>
      </c>
      <c r="F18" s="3">
        <v>66</v>
      </c>
      <c r="G18" s="3">
        <v>60</v>
      </c>
      <c r="H18" s="3">
        <v>67</v>
      </c>
      <c r="I18" s="3">
        <f t="shared" si="79"/>
        <v>33</v>
      </c>
      <c r="J18" s="3">
        <f t="shared" si="80"/>
        <v>24</v>
      </c>
      <c r="K18" s="3">
        <v>40</v>
      </c>
      <c r="L18" s="3">
        <v>24</v>
      </c>
      <c r="M18" s="3">
        <v>0</v>
      </c>
      <c r="N18" s="3">
        <f t="shared" si="81"/>
        <v>57</v>
      </c>
      <c r="O18" s="3">
        <f t="shared" si="82"/>
        <v>40</v>
      </c>
      <c r="P18" s="3">
        <v>52</v>
      </c>
      <c r="Q18" s="3">
        <v>28</v>
      </c>
      <c r="R18" s="3">
        <v>30</v>
      </c>
      <c r="S18" s="3">
        <f t="shared" si="83"/>
        <v>55</v>
      </c>
      <c r="T18" s="3">
        <f t="shared" si="84"/>
        <v>64</v>
      </c>
      <c r="U18" s="3">
        <v>28</v>
      </c>
      <c r="V18" s="3">
        <v>60</v>
      </c>
      <c r="W18" s="3">
        <v>51</v>
      </c>
      <c r="X18" s="3">
        <f t="shared" si="85"/>
        <v>64</v>
      </c>
      <c r="Y18" s="3">
        <f t="shared" si="86"/>
        <v>32</v>
      </c>
      <c r="Z18" s="3">
        <v>55</v>
      </c>
      <c r="AA18" s="3">
        <v>12</v>
      </c>
      <c r="AB18" s="3">
        <v>0</v>
      </c>
      <c r="AC18" s="3">
        <f t="shared" si="87"/>
        <v>76</v>
      </c>
      <c r="AD18" s="3">
        <v>38</v>
      </c>
      <c r="AE18" s="3">
        <v>0</v>
      </c>
      <c r="AF18" s="3">
        <v>16</v>
      </c>
      <c r="AG18" s="3">
        <v>21</v>
      </c>
      <c r="AH18" s="3">
        <f t="shared" si="89"/>
        <v>71</v>
      </c>
      <c r="AI18" s="3">
        <f t="shared" si="90"/>
        <v>22</v>
      </c>
      <c r="AJ18" s="3">
        <v>44</v>
      </c>
      <c r="AK18" s="3">
        <v>0</v>
      </c>
      <c r="AL18" s="3">
        <v>5</v>
      </c>
      <c r="AM18" s="3">
        <f t="shared" si="91"/>
        <v>66</v>
      </c>
      <c r="AN18" s="3">
        <f t="shared" si="92"/>
        <v>66</v>
      </c>
      <c r="AO18" s="3">
        <v>0</v>
      </c>
      <c r="AP18" s="3">
        <v>0</v>
      </c>
      <c r="AQ18" s="3">
        <v>28</v>
      </c>
      <c r="AR18" s="3">
        <f t="shared" si="93"/>
        <v>38</v>
      </c>
      <c r="AS18" s="3">
        <f t="shared" si="94"/>
        <v>66</v>
      </c>
      <c r="AT18" s="3">
        <v>0</v>
      </c>
      <c r="AU18" s="3">
        <v>44</v>
      </c>
      <c r="AV18" s="3">
        <v>14</v>
      </c>
      <c r="AW18" s="3">
        <f t="shared" si="95"/>
        <v>68</v>
      </c>
      <c r="AX18" s="3">
        <f t="shared" si="96"/>
        <v>22</v>
      </c>
      <c r="AY18" s="3">
        <v>48</v>
      </c>
      <c r="AZ18" s="3">
        <v>16</v>
      </c>
      <c r="BA18" s="3">
        <v>46</v>
      </c>
      <c r="BB18" s="3">
        <f t="shared" si="97"/>
        <v>38</v>
      </c>
      <c r="BC18" s="3">
        <f t="shared" si="98"/>
        <v>54</v>
      </c>
      <c r="BD18" s="3">
        <v>60</v>
      </c>
      <c r="BE18" s="3">
        <v>32</v>
      </c>
      <c r="BF18" s="3">
        <v>25</v>
      </c>
      <c r="BG18" s="3">
        <f t="shared" si="99"/>
        <v>45</v>
      </c>
      <c r="BH18" s="3">
        <f t="shared" si="100"/>
        <v>82</v>
      </c>
      <c r="BI18" s="3">
        <v>16</v>
      </c>
      <c r="BJ18" s="3">
        <v>76</v>
      </c>
      <c r="BK18" s="3">
        <v>86</v>
      </c>
      <c r="BL18" s="3">
        <f t="shared" si="101"/>
        <v>35</v>
      </c>
      <c r="BM18" s="3">
        <f t="shared" si="102"/>
        <v>22</v>
      </c>
      <c r="BN18" s="3">
        <v>32</v>
      </c>
      <c r="BO18" s="3">
        <v>56</v>
      </c>
      <c r="BP18" s="3">
        <v>61</v>
      </c>
      <c r="BQ18" s="3">
        <f t="shared" si="103"/>
        <v>30</v>
      </c>
      <c r="BR18" s="3">
        <f t="shared" si="104"/>
        <v>-2</v>
      </c>
      <c r="BS18" s="3">
        <f>20+53</f>
        <v>73</v>
      </c>
      <c r="BT18" s="3">
        <v>48</v>
      </c>
      <c r="BU18" s="3">
        <v>43</v>
      </c>
      <c r="BV18" s="3">
        <f t="shared" si="105"/>
        <v>35</v>
      </c>
      <c r="BW18" s="3">
        <f t="shared" si="106"/>
        <v>23</v>
      </c>
      <c r="BX18" s="3">
        <v>16</v>
      </c>
      <c r="BY18" s="3">
        <v>12</v>
      </c>
      <c r="BZ18" s="3">
        <v>22</v>
      </c>
      <c r="CA18" s="3">
        <f t="shared" si="107"/>
        <v>25</v>
      </c>
      <c r="CB18" s="3">
        <f t="shared" si="108"/>
        <v>27</v>
      </c>
      <c r="CC18" s="3">
        <v>16</v>
      </c>
      <c r="CD18" s="3">
        <v>16</v>
      </c>
      <c r="CE18" s="3">
        <v>16</v>
      </c>
      <c r="CF18" s="3">
        <f t="shared" si="109"/>
        <v>25</v>
      </c>
      <c r="CG18" s="3">
        <f t="shared" si="110"/>
        <v>27</v>
      </c>
      <c r="CH18" s="3">
        <v>0</v>
      </c>
      <c r="CI18" s="3">
        <v>16</v>
      </c>
      <c r="CJ18" s="3">
        <v>6</v>
      </c>
      <c r="CK18" s="3">
        <f t="shared" si="111"/>
        <v>35</v>
      </c>
      <c r="CL18" s="3">
        <f t="shared" si="112"/>
        <v>11</v>
      </c>
      <c r="CM18" s="3">
        <v>28</v>
      </c>
      <c r="CN18" s="3">
        <v>32</v>
      </c>
      <c r="CO18" s="3">
        <v>32</v>
      </c>
      <c r="CP18" s="3">
        <f t="shared" si="113"/>
        <v>35</v>
      </c>
      <c r="CQ18" s="3">
        <f t="shared" si="114"/>
        <v>7</v>
      </c>
      <c r="CR18" s="3">
        <v>0</v>
      </c>
      <c r="CS18" s="3">
        <v>0</v>
      </c>
      <c r="CT18" s="3">
        <v>4</v>
      </c>
      <c r="CU18" s="3">
        <f t="shared" si="115"/>
        <v>31</v>
      </c>
      <c r="CV18" s="3">
        <f t="shared" si="116"/>
        <v>7</v>
      </c>
      <c r="CW18" s="3">
        <v>0</v>
      </c>
      <c r="CX18" s="3">
        <v>0</v>
      </c>
      <c r="CY18" s="3">
        <v>30</v>
      </c>
      <c r="CZ18" s="3">
        <f t="shared" si="117"/>
        <v>1</v>
      </c>
      <c r="DA18" s="3">
        <f t="shared" si="118"/>
        <v>7</v>
      </c>
      <c r="DB18" s="3">
        <v>40</v>
      </c>
      <c r="DC18" s="3">
        <v>28</v>
      </c>
      <c r="DD18" s="3">
        <v>0</v>
      </c>
      <c r="DE18" s="3">
        <f t="shared" si="119"/>
        <v>29</v>
      </c>
      <c r="DF18" s="3">
        <f t="shared" si="120"/>
        <v>19</v>
      </c>
      <c r="DG18" s="3">
        <v>0</v>
      </c>
      <c r="DH18" s="3">
        <v>16</v>
      </c>
      <c r="DI18" s="3">
        <v>11</v>
      </c>
      <c r="DJ18" s="3">
        <f t="shared" si="121"/>
        <v>34</v>
      </c>
      <c r="DK18" s="3">
        <f t="shared" si="122"/>
        <v>3</v>
      </c>
      <c r="DL18" s="3">
        <v>16</v>
      </c>
      <c r="DM18" s="3">
        <v>12</v>
      </c>
      <c r="DN18" s="3">
        <v>17</v>
      </c>
      <c r="DO18" s="3">
        <f t="shared" si="123"/>
        <v>29</v>
      </c>
      <c r="DP18" s="3">
        <f t="shared" si="124"/>
        <v>7</v>
      </c>
      <c r="DQ18" s="3">
        <v>45</v>
      </c>
      <c r="DR18" s="3">
        <v>40</v>
      </c>
      <c r="DS18" s="3">
        <v>17</v>
      </c>
      <c r="DT18" s="3">
        <f t="shared" si="125"/>
        <v>52</v>
      </c>
      <c r="DU18" s="3">
        <f t="shared" si="126"/>
        <v>12</v>
      </c>
      <c r="DV18" s="3">
        <v>4</v>
      </c>
      <c r="DW18" s="3">
        <v>12</v>
      </c>
      <c r="DX18" s="3">
        <v>35</v>
      </c>
    </row>
    <row r="19" spans="1:128" x14ac:dyDescent="0.35">
      <c r="A19" s="3">
        <v>25</v>
      </c>
      <c r="B19" s="2" t="s">
        <v>11</v>
      </c>
      <c r="C19" s="2" t="s">
        <v>29</v>
      </c>
      <c r="D19" s="3">
        <f t="shared" si="78"/>
        <v>25</v>
      </c>
      <c r="E19" s="3">
        <v>0</v>
      </c>
      <c r="F19" s="3">
        <v>0</v>
      </c>
      <c r="G19" s="3">
        <v>0</v>
      </c>
      <c r="H19" s="3">
        <v>0</v>
      </c>
      <c r="I19" s="3">
        <f t="shared" si="79"/>
        <v>25</v>
      </c>
      <c r="J19" s="3">
        <f t="shared" si="80"/>
        <v>0</v>
      </c>
      <c r="K19" s="3">
        <v>0</v>
      </c>
      <c r="L19" s="3">
        <v>0</v>
      </c>
      <c r="M19" s="3">
        <v>0</v>
      </c>
      <c r="N19" s="3">
        <f t="shared" si="81"/>
        <v>25</v>
      </c>
      <c r="O19" s="3">
        <f t="shared" si="82"/>
        <v>0</v>
      </c>
      <c r="P19" s="3">
        <v>0</v>
      </c>
      <c r="Q19" s="3">
        <v>0</v>
      </c>
      <c r="R19" s="3">
        <v>0</v>
      </c>
      <c r="S19" s="3">
        <f t="shared" si="83"/>
        <v>25</v>
      </c>
      <c r="T19" s="3">
        <f t="shared" si="84"/>
        <v>0</v>
      </c>
      <c r="U19" s="3">
        <v>0</v>
      </c>
      <c r="V19" s="3">
        <v>0</v>
      </c>
      <c r="W19" s="3">
        <v>0</v>
      </c>
      <c r="X19" s="3">
        <f t="shared" si="85"/>
        <v>25</v>
      </c>
      <c r="Y19" s="3">
        <f t="shared" si="86"/>
        <v>0</v>
      </c>
      <c r="Z19" s="3">
        <v>0</v>
      </c>
      <c r="AA19" s="3">
        <v>0</v>
      </c>
      <c r="AB19" s="3">
        <v>0</v>
      </c>
      <c r="AC19" s="3">
        <f t="shared" si="87"/>
        <v>25</v>
      </c>
      <c r="AD19" s="3">
        <f t="shared" si="88"/>
        <v>0</v>
      </c>
      <c r="AE19" s="3">
        <v>0</v>
      </c>
      <c r="AF19" s="3">
        <v>0</v>
      </c>
      <c r="AG19" s="3">
        <v>0</v>
      </c>
      <c r="AH19" s="3">
        <f t="shared" si="89"/>
        <v>25</v>
      </c>
      <c r="AI19" s="3">
        <f t="shared" si="90"/>
        <v>0</v>
      </c>
      <c r="AJ19" s="3">
        <v>0</v>
      </c>
      <c r="AK19" s="3">
        <v>0</v>
      </c>
      <c r="AL19" s="3">
        <v>0</v>
      </c>
      <c r="AM19" s="3">
        <f t="shared" si="91"/>
        <v>25</v>
      </c>
      <c r="AN19" s="3">
        <f t="shared" si="92"/>
        <v>0</v>
      </c>
      <c r="AO19" s="3">
        <v>0</v>
      </c>
      <c r="AP19" s="3">
        <v>0</v>
      </c>
      <c r="AQ19" s="3">
        <v>0</v>
      </c>
      <c r="AR19" s="3">
        <f t="shared" si="93"/>
        <v>25</v>
      </c>
      <c r="AS19" s="3">
        <f t="shared" si="94"/>
        <v>0</v>
      </c>
      <c r="AT19" s="3">
        <v>0</v>
      </c>
      <c r="AU19" s="3">
        <v>0</v>
      </c>
      <c r="AV19" s="3">
        <v>9</v>
      </c>
      <c r="AW19" s="3">
        <f t="shared" si="95"/>
        <v>16</v>
      </c>
      <c r="AX19" s="3">
        <f t="shared" si="96"/>
        <v>0</v>
      </c>
      <c r="AY19" s="3">
        <v>0</v>
      </c>
      <c r="AZ19" s="3">
        <v>0</v>
      </c>
      <c r="BA19" s="3">
        <v>0</v>
      </c>
      <c r="BB19" s="3">
        <f t="shared" si="97"/>
        <v>16</v>
      </c>
      <c r="BC19" s="3">
        <f t="shared" si="98"/>
        <v>0</v>
      </c>
      <c r="BD19" s="3">
        <v>0</v>
      </c>
      <c r="BE19" s="3">
        <v>0</v>
      </c>
      <c r="BF19" s="3">
        <v>0</v>
      </c>
      <c r="BG19" s="3">
        <f t="shared" si="99"/>
        <v>16</v>
      </c>
      <c r="BH19" s="3">
        <f t="shared" si="100"/>
        <v>0</v>
      </c>
      <c r="BI19" s="3">
        <v>0</v>
      </c>
      <c r="BJ19" s="3">
        <v>0</v>
      </c>
      <c r="BK19" s="3">
        <v>0</v>
      </c>
      <c r="BL19" s="3">
        <f t="shared" si="101"/>
        <v>16</v>
      </c>
      <c r="BM19" s="3">
        <f t="shared" si="102"/>
        <v>0</v>
      </c>
      <c r="BN19" s="3">
        <v>0</v>
      </c>
      <c r="BO19" s="3"/>
      <c r="BP19" s="3">
        <v>0</v>
      </c>
      <c r="BQ19" s="3">
        <f t="shared" si="103"/>
        <v>16</v>
      </c>
      <c r="BR19" s="3">
        <f t="shared" si="104"/>
        <v>0</v>
      </c>
      <c r="BS19" s="3">
        <v>16</v>
      </c>
      <c r="BT19" s="3">
        <v>16</v>
      </c>
      <c r="BU19" s="3">
        <v>7</v>
      </c>
      <c r="BV19" s="3">
        <f t="shared" si="105"/>
        <v>25</v>
      </c>
      <c r="BW19" s="3">
        <f t="shared" si="106"/>
        <v>0</v>
      </c>
      <c r="BX19" s="3">
        <v>0</v>
      </c>
      <c r="BY19" s="3">
        <v>0</v>
      </c>
      <c r="BZ19" s="3">
        <v>0</v>
      </c>
      <c r="CA19" s="3">
        <f t="shared" si="107"/>
        <v>25</v>
      </c>
      <c r="CB19" s="3">
        <f t="shared" si="108"/>
        <v>0</v>
      </c>
      <c r="CC19" s="3">
        <v>54</v>
      </c>
      <c r="CD19" s="3">
        <v>0</v>
      </c>
      <c r="CE19" s="3">
        <v>0</v>
      </c>
      <c r="CF19" s="3">
        <f t="shared" si="109"/>
        <v>25</v>
      </c>
      <c r="CG19" s="3">
        <f t="shared" si="110"/>
        <v>54</v>
      </c>
      <c r="CH19" s="3">
        <v>0</v>
      </c>
      <c r="CI19" s="3">
        <v>0</v>
      </c>
      <c r="CJ19" s="3">
        <v>13</v>
      </c>
      <c r="CK19" s="3">
        <f t="shared" si="111"/>
        <v>12</v>
      </c>
      <c r="CL19" s="3">
        <f t="shared" si="112"/>
        <v>54</v>
      </c>
      <c r="CM19" s="3">
        <v>0</v>
      </c>
      <c r="CN19" s="3">
        <v>32</v>
      </c>
      <c r="CO19" s="3">
        <v>29</v>
      </c>
      <c r="CP19" s="3">
        <f t="shared" si="113"/>
        <v>15</v>
      </c>
      <c r="CQ19" s="3">
        <f t="shared" si="114"/>
        <v>22</v>
      </c>
      <c r="CR19" s="3">
        <v>16</v>
      </c>
      <c r="CS19" s="3">
        <v>16</v>
      </c>
      <c r="CT19" s="3">
        <v>6</v>
      </c>
      <c r="CU19" s="3">
        <f t="shared" si="115"/>
        <v>25</v>
      </c>
      <c r="CV19" s="3">
        <f t="shared" si="116"/>
        <v>22</v>
      </c>
      <c r="CW19" s="3">
        <v>0</v>
      </c>
      <c r="CX19" s="3">
        <v>0</v>
      </c>
      <c r="CY19" s="3">
        <v>12</v>
      </c>
      <c r="CZ19" s="3">
        <f t="shared" si="117"/>
        <v>13</v>
      </c>
      <c r="DA19" s="3">
        <f t="shared" si="118"/>
        <v>22</v>
      </c>
      <c r="DB19" s="3">
        <v>16</v>
      </c>
      <c r="DC19" s="3">
        <v>16</v>
      </c>
      <c r="DD19" s="3">
        <v>9</v>
      </c>
      <c r="DE19" s="3">
        <f t="shared" si="119"/>
        <v>20</v>
      </c>
      <c r="DF19" s="3">
        <f t="shared" si="120"/>
        <v>22</v>
      </c>
      <c r="DG19" s="3">
        <v>0</v>
      </c>
      <c r="DH19" s="3">
        <v>0</v>
      </c>
      <c r="DI19" s="3">
        <v>7</v>
      </c>
      <c r="DJ19" s="3">
        <f t="shared" si="121"/>
        <v>13</v>
      </c>
      <c r="DK19" s="3">
        <f t="shared" si="122"/>
        <v>22</v>
      </c>
      <c r="DL19" s="3">
        <v>12</v>
      </c>
      <c r="DM19" s="3">
        <v>24</v>
      </c>
      <c r="DN19" s="3">
        <v>24</v>
      </c>
      <c r="DO19" s="3">
        <f t="shared" si="123"/>
        <v>13</v>
      </c>
      <c r="DP19" s="3">
        <f t="shared" si="124"/>
        <v>10</v>
      </c>
      <c r="DQ19" s="3">
        <v>71</v>
      </c>
      <c r="DR19" s="3">
        <v>63</v>
      </c>
      <c r="DS19" s="3">
        <v>34</v>
      </c>
      <c r="DT19" s="3">
        <f t="shared" si="125"/>
        <v>42</v>
      </c>
      <c r="DU19" s="3">
        <f t="shared" si="126"/>
        <v>18</v>
      </c>
      <c r="DV19" s="3">
        <v>32</v>
      </c>
      <c r="DW19" s="3">
        <v>28</v>
      </c>
      <c r="DX19" s="3">
        <v>23</v>
      </c>
    </row>
    <row r="20" spans="1:128" x14ac:dyDescent="0.35">
      <c r="A20" s="3">
        <v>16</v>
      </c>
      <c r="B20" s="2" t="s">
        <v>12</v>
      </c>
      <c r="C20" s="2" t="s">
        <v>30</v>
      </c>
      <c r="D20" s="3">
        <f t="shared" si="78"/>
        <v>16</v>
      </c>
      <c r="E20" s="3">
        <v>0</v>
      </c>
      <c r="F20" s="3">
        <v>0</v>
      </c>
      <c r="G20" s="3">
        <v>0</v>
      </c>
      <c r="H20" s="3">
        <v>0</v>
      </c>
      <c r="I20" s="3">
        <f t="shared" si="79"/>
        <v>16</v>
      </c>
      <c r="J20" s="3">
        <f t="shared" si="80"/>
        <v>0</v>
      </c>
      <c r="K20" s="3">
        <v>0</v>
      </c>
      <c r="L20" s="3">
        <v>0</v>
      </c>
      <c r="M20" s="3">
        <v>0</v>
      </c>
      <c r="N20" s="3">
        <f t="shared" si="81"/>
        <v>16</v>
      </c>
      <c r="O20" s="3">
        <f t="shared" si="82"/>
        <v>0</v>
      </c>
      <c r="P20" s="3">
        <v>0</v>
      </c>
      <c r="Q20" s="3">
        <v>0</v>
      </c>
      <c r="R20" s="3">
        <v>0</v>
      </c>
      <c r="S20" s="3">
        <f t="shared" si="83"/>
        <v>16</v>
      </c>
      <c r="T20" s="3">
        <f t="shared" si="84"/>
        <v>0</v>
      </c>
      <c r="U20" s="3">
        <v>0</v>
      </c>
      <c r="V20" s="3">
        <v>0</v>
      </c>
      <c r="W20" s="3">
        <v>0</v>
      </c>
      <c r="X20" s="3">
        <f t="shared" si="85"/>
        <v>16</v>
      </c>
      <c r="Y20" s="3">
        <f t="shared" si="86"/>
        <v>0</v>
      </c>
      <c r="Z20" s="3">
        <v>0</v>
      </c>
      <c r="AA20" s="3"/>
      <c r="AB20" s="3">
        <v>0</v>
      </c>
      <c r="AC20" s="3">
        <f t="shared" si="87"/>
        <v>16</v>
      </c>
      <c r="AD20" s="3">
        <f t="shared" si="88"/>
        <v>0</v>
      </c>
      <c r="AE20" s="3">
        <v>0</v>
      </c>
      <c r="AF20" s="3">
        <v>0</v>
      </c>
      <c r="AG20" s="3">
        <v>0</v>
      </c>
      <c r="AH20" s="3">
        <f t="shared" si="89"/>
        <v>16</v>
      </c>
      <c r="AI20" s="3">
        <f t="shared" si="90"/>
        <v>0</v>
      </c>
      <c r="AJ20" s="3">
        <v>0</v>
      </c>
      <c r="AK20" s="3"/>
      <c r="AL20" s="3">
        <v>0</v>
      </c>
      <c r="AM20" s="3">
        <f t="shared" si="91"/>
        <v>16</v>
      </c>
      <c r="AN20" s="3">
        <f t="shared" si="92"/>
        <v>0</v>
      </c>
      <c r="AO20" s="3">
        <v>0</v>
      </c>
      <c r="AP20" s="3"/>
      <c r="AQ20" s="3">
        <v>0</v>
      </c>
      <c r="AR20" s="3">
        <f t="shared" si="93"/>
        <v>16</v>
      </c>
      <c r="AS20" s="3">
        <f t="shared" si="94"/>
        <v>0</v>
      </c>
      <c r="AT20" s="3"/>
      <c r="AU20" s="3">
        <v>0</v>
      </c>
      <c r="AV20" s="3">
        <v>0</v>
      </c>
      <c r="AW20" s="3">
        <f t="shared" si="95"/>
        <v>16</v>
      </c>
      <c r="AX20" s="3">
        <f t="shared" si="96"/>
        <v>0</v>
      </c>
      <c r="AY20" s="3">
        <v>0</v>
      </c>
      <c r="AZ20" s="3"/>
      <c r="BA20" s="3">
        <v>0</v>
      </c>
      <c r="BB20" s="3">
        <f t="shared" si="97"/>
        <v>16</v>
      </c>
      <c r="BC20" s="3">
        <f t="shared" si="98"/>
        <v>0</v>
      </c>
      <c r="BD20" s="3">
        <v>0</v>
      </c>
      <c r="BE20" s="3">
        <v>0</v>
      </c>
      <c r="BF20" s="3">
        <v>0</v>
      </c>
      <c r="BG20" s="3">
        <f t="shared" si="99"/>
        <v>16</v>
      </c>
      <c r="BH20" s="3">
        <f t="shared" si="100"/>
        <v>0</v>
      </c>
      <c r="BI20" s="3">
        <v>0</v>
      </c>
      <c r="BJ20" s="3"/>
      <c r="BK20" s="3">
        <v>0</v>
      </c>
      <c r="BL20" s="3">
        <f t="shared" si="101"/>
        <v>16</v>
      </c>
      <c r="BM20" s="3">
        <f t="shared" si="102"/>
        <v>0</v>
      </c>
      <c r="BN20" s="3">
        <v>0</v>
      </c>
      <c r="BO20" s="3"/>
      <c r="BP20" s="3">
        <v>0</v>
      </c>
      <c r="BQ20" s="3">
        <f t="shared" si="103"/>
        <v>16</v>
      </c>
      <c r="BR20" s="3">
        <f t="shared" si="104"/>
        <v>0</v>
      </c>
      <c r="BS20" s="3">
        <v>15</v>
      </c>
      <c r="BT20" s="3">
        <v>0</v>
      </c>
      <c r="BU20" s="3">
        <v>0</v>
      </c>
      <c r="BV20" s="3">
        <f t="shared" si="105"/>
        <v>16</v>
      </c>
      <c r="BW20" s="3">
        <f t="shared" si="106"/>
        <v>15</v>
      </c>
      <c r="BX20" s="3">
        <v>0</v>
      </c>
      <c r="BY20" s="3"/>
      <c r="BZ20" s="3">
        <v>0</v>
      </c>
      <c r="CA20" s="3">
        <f t="shared" si="107"/>
        <v>16</v>
      </c>
      <c r="CB20" s="3">
        <f t="shared" si="108"/>
        <v>15</v>
      </c>
      <c r="CC20" s="3">
        <v>0</v>
      </c>
      <c r="CD20" s="3"/>
      <c r="CE20" s="3">
        <v>0</v>
      </c>
      <c r="CF20" s="3">
        <f t="shared" si="109"/>
        <v>16</v>
      </c>
      <c r="CG20" s="3">
        <f t="shared" si="110"/>
        <v>15</v>
      </c>
      <c r="CH20" s="3">
        <v>0</v>
      </c>
      <c r="CI20" s="3">
        <v>0</v>
      </c>
      <c r="CJ20" s="3">
        <v>3</v>
      </c>
      <c r="CK20" s="3">
        <f t="shared" si="111"/>
        <v>13</v>
      </c>
      <c r="CL20" s="3">
        <f t="shared" si="112"/>
        <v>15</v>
      </c>
      <c r="CM20" s="3">
        <v>0</v>
      </c>
      <c r="CN20" s="3">
        <v>0</v>
      </c>
      <c r="CO20" s="3">
        <v>3</v>
      </c>
      <c r="CP20" s="3">
        <f t="shared" si="113"/>
        <v>10</v>
      </c>
      <c r="CQ20" s="3">
        <f t="shared" si="114"/>
        <v>15</v>
      </c>
      <c r="CR20" s="3">
        <v>0</v>
      </c>
      <c r="CS20" s="3">
        <v>0</v>
      </c>
      <c r="CT20" s="3">
        <v>6</v>
      </c>
      <c r="CU20" s="3">
        <f t="shared" si="115"/>
        <v>4</v>
      </c>
      <c r="CV20" s="3">
        <f t="shared" si="116"/>
        <v>15</v>
      </c>
      <c r="CW20" s="3">
        <v>20</v>
      </c>
      <c r="CX20" s="3">
        <v>0</v>
      </c>
      <c r="CY20" s="3">
        <v>2</v>
      </c>
      <c r="CZ20" s="3">
        <f t="shared" si="117"/>
        <v>2</v>
      </c>
      <c r="DA20" s="3">
        <f t="shared" si="118"/>
        <v>35</v>
      </c>
      <c r="DB20" s="3">
        <v>0</v>
      </c>
      <c r="DC20" s="3">
        <v>0</v>
      </c>
      <c r="DD20" s="3">
        <v>0</v>
      </c>
      <c r="DE20" s="3">
        <f t="shared" si="119"/>
        <v>2</v>
      </c>
      <c r="DF20" s="3">
        <f t="shared" si="120"/>
        <v>35</v>
      </c>
      <c r="DG20" s="3">
        <v>0</v>
      </c>
      <c r="DH20" s="3">
        <v>0</v>
      </c>
      <c r="DI20" s="3">
        <v>0</v>
      </c>
      <c r="DJ20" s="3">
        <f t="shared" si="121"/>
        <v>2</v>
      </c>
      <c r="DK20" s="3">
        <f t="shared" si="122"/>
        <v>35</v>
      </c>
      <c r="DL20" s="3">
        <v>0</v>
      </c>
      <c r="DM20" s="3">
        <v>16</v>
      </c>
      <c r="DN20" s="3">
        <v>6</v>
      </c>
      <c r="DO20" s="3">
        <f t="shared" si="123"/>
        <v>12</v>
      </c>
      <c r="DP20" s="3">
        <f t="shared" si="124"/>
        <v>19</v>
      </c>
      <c r="DQ20" s="3">
        <v>26</v>
      </c>
      <c r="DR20" s="3">
        <v>32</v>
      </c>
      <c r="DS20" s="3">
        <v>4</v>
      </c>
      <c r="DT20" s="3">
        <f t="shared" si="125"/>
        <v>40</v>
      </c>
      <c r="DU20" s="3">
        <f t="shared" si="126"/>
        <v>13</v>
      </c>
      <c r="DV20" s="3"/>
      <c r="DW20" s="3">
        <v>0</v>
      </c>
      <c r="DX20" s="3">
        <v>8</v>
      </c>
    </row>
    <row r="21" spans="1:128" x14ac:dyDescent="0.35">
      <c r="B21" s="33" t="s">
        <v>32</v>
      </c>
      <c r="C21" s="33"/>
      <c r="D21" s="5">
        <f>SUM(D14:D20)</f>
        <v>470</v>
      </c>
      <c r="E21" s="5">
        <f>SUM(E14:E20)</f>
        <v>241</v>
      </c>
      <c r="F21" s="5">
        <f t="shared" ref="F21:H21" si="127">SUM(F14:F20)</f>
        <v>416</v>
      </c>
      <c r="G21" s="5">
        <f t="shared" si="127"/>
        <v>284</v>
      </c>
      <c r="H21" s="5">
        <f t="shared" si="127"/>
        <v>358</v>
      </c>
      <c r="I21" s="6">
        <f>SUM(I14:I20)</f>
        <v>396</v>
      </c>
      <c r="J21" s="6">
        <f>SUM(J14:J20)</f>
        <v>373</v>
      </c>
      <c r="K21" s="6">
        <f t="shared" ref="K21" si="128">SUM(K14:K20)</f>
        <v>392</v>
      </c>
      <c r="L21" s="6">
        <f t="shared" ref="L21" si="129">SUM(L14:L20)</f>
        <v>332</v>
      </c>
      <c r="M21" s="6">
        <f t="shared" ref="M21" si="130">SUM(M14:M20)</f>
        <v>319</v>
      </c>
      <c r="N21" s="5">
        <f>SUM(N14:N20)</f>
        <v>409</v>
      </c>
      <c r="O21" s="5">
        <f>SUM(O14:O20)</f>
        <v>433</v>
      </c>
      <c r="P21" s="5">
        <f t="shared" ref="P21" si="131">SUM(P14:P20)</f>
        <v>341</v>
      </c>
      <c r="Q21" s="5">
        <f t="shared" ref="Q21" si="132">SUM(Q14:Q20)</f>
        <v>304</v>
      </c>
      <c r="R21" s="5">
        <f t="shared" ref="R21" si="133">SUM(R14:R20)</f>
        <v>394</v>
      </c>
      <c r="S21" s="6">
        <f>SUM(S14:S20)</f>
        <v>319</v>
      </c>
      <c r="T21" s="6">
        <f>SUM(T14:T20)</f>
        <v>470</v>
      </c>
      <c r="U21" s="6">
        <f t="shared" ref="U21:W21" si="134">SUM(U14:U20)</f>
        <v>434</v>
      </c>
      <c r="V21" s="6">
        <f t="shared" si="134"/>
        <v>412</v>
      </c>
      <c r="W21" s="6">
        <f t="shared" si="134"/>
        <v>368</v>
      </c>
      <c r="X21" s="5">
        <f>SUM(X14:X20)</f>
        <v>363</v>
      </c>
      <c r="Y21" s="5">
        <f>SUM(Y14:Y20)</f>
        <v>492</v>
      </c>
      <c r="Z21" s="5">
        <f t="shared" ref="Z21:AB21" si="135">SUM(Z14:Z20)</f>
        <v>324</v>
      </c>
      <c r="AA21" s="5">
        <f t="shared" si="135"/>
        <v>264</v>
      </c>
      <c r="AB21" s="5">
        <f t="shared" si="135"/>
        <v>320</v>
      </c>
      <c r="AC21" s="6">
        <f>SUM(AC14:AC20)</f>
        <v>307</v>
      </c>
      <c r="AD21" s="6">
        <f>SUM(AD14:AD20)</f>
        <v>474</v>
      </c>
      <c r="AE21" s="6">
        <f t="shared" ref="AE21:AG21" si="136">SUM(AE14:AE20)</f>
        <v>274</v>
      </c>
      <c r="AF21" s="6">
        <f t="shared" si="136"/>
        <v>304</v>
      </c>
      <c r="AG21" s="6">
        <f t="shared" si="136"/>
        <v>270</v>
      </c>
      <c r="AH21" s="5">
        <f>SUM(AH14:AH20)</f>
        <v>341</v>
      </c>
      <c r="AI21" s="5">
        <f>SUM(AI14:AI20)</f>
        <v>444</v>
      </c>
      <c r="AJ21" s="5">
        <f t="shared" ref="AJ21:AL21" si="137">SUM(AJ14:AJ20)</f>
        <v>396</v>
      </c>
      <c r="AK21" s="5">
        <f t="shared" si="137"/>
        <v>304</v>
      </c>
      <c r="AL21" s="5">
        <f t="shared" si="137"/>
        <v>249</v>
      </c>
      <c r="AM21" s="6">
        <f>SUM(AM14:AM20)</f>
        <v>396</v>
      </c>
      <c r="AN21" s="6">
        <f>SUM(AN14:AN20)</f>
        <v>536</v>
      </c>
      <c r="AO21" s="6">
        <f t="shared" ref="AO21:AQ21" si="138">SUM(AO14:AO20)</f>
        <v>307</v>
      </c>
      <c r="AP21" s="6">
        <f t="shared" si="138"/>
        <v>368</v>
      </c>
      <c r="AQ21" s="6">
        <f t="shared" si="138"/>
        <v>439</v>
      </c>
      <c r="AR21" s="5">
        <f>SUM(AR14:AR20)</f>
        <v>325</v>
      </c>
      <c r="AS21" s="5">
        <f>SUM(AS14:AS20)</f>
        <v>475</v>
      </c>
      <c r="AT21" s="5">
        <f t="shared" ref="AT21:AV21" si="139">SUM(AT14:AT20)</f>
        <v>227</v>
      </c>
      <c r="AU21" s="5">
        <f t="shared" si="139"/>
        <v>412</v>
      </c>
      <c r="AV21" s="5">
        <f t="shared" si="139"/>
        <v>336</v>
      </c>
      <c r="AW21" s="6">
        <f>SUM(AW14:AW20)</f>
        <v>401</v>
      </c>
      <c r="AX21" s="6">
        <f>SUM(AX14:AX20)</f>
        <v>290</v>
      </c>
      <c r="AY21" s="6">
        <f t="shared" ref="AY21:BA21" si="140">SUM(AY14:AY20)</f>
        <v>362</v>
      </c>
      <c r="AZ21" s="6">
        <f t="shared" si="140"/>
        <v>358</v>
      </c>
      <c r="BA21" s="6">
        <f t="shared" si="140"/>
        <v>428</v>
      </c>
      <c r="BB21" s="5">
        <f>SUM(BB14:BB20)</f>
        <v>331</v>
      </c>
      <c r="BC21" s="5">
        <f>SUM(BC14:BC20)</f>
        <v>294</v>
      </c>
      <c r="BD21" s="5">
        <f t="shared" ref="BD21:BF21" si="141">SUM(BD14:BD20)</f>
        <v>355</v>
      </c>
      <c r="BE21" s="5">
        <f t="shared" si="141"/>
        <v>286</v>
      </c>
      <c r="BF21" s="5">
        <f t="shared" si="141"/>
        <v>279</v>
      </c>
      <c r="BG21" s="6">
        <f>SUM(BG14:BG20)</f>
        <v>338</v>
      </c>
      <c r="BH21" s="6">
        <f>SUM(BH14:BH20)</f>
        <v>360</v>
      </c>
      <c r="BI21" s="6">
        <f t="shared" ref="BI21:BK21" si="142">SUM(BI14:BI20)</f>
        <v>264</v>
      </c>
      <c r="BJ21" s="6">
        <f t="shared" si="142"/>
        <v>348</v>
      </c>
      <c r="BK21" s="6">
        <f t="shared" si="142"/>
        <v>358</v>
      </c>
      <c r="BL21" s="5">
        <f>SUM(BL14:BL20)</f>
        <v>328</v>
      </c>
      <c r="BM21" s="5">
        <f>SUM(BM14:BM20)</f>
        <v>276</v>
      </c>
      <c r="BN21" s="5">
        <f t="shared" ref="BN21:BP21" si="143">SUM(BN14:BN20)</f>
        <v>237</v>
      </c>
      <c r="BO21" s="5">
        <f t="shared" si="143"/>
        <v>304</v>
      </c>
      <c r="BP21" s="5">
        <f t="shared" si="143"/>
        <v>329</v>
      </c>
      <c r="BQ21" s="6">
        <f>SUM(BQ14:BQ20)</f>
        <v>303</v>
      </c>
      <c r="BR21" s="6">
        <f>SUM(BR14:BR20)</f>
        <v>209</v>
      </c>
      <c r="BS21" s="6">
        <f t="shared" ref="BS21:BU21" si="144">SUM(BS14:BS20)</f>
        <v>438</v>
      </c>
      <c r="BT21" s="6">
        <f t="shared" si="144"/>
        <v>376</v>
      </c>
      <c r="BU21" s="6">
        <f t="shared" si="144"/>
        <v>377</v>
      </c>
      <c r="BV21" s="5">
        <f>SUM(BV14:BV20)</f>
        <v>302</v>
      </c>
      <c r="BW21" s="5">
        <f>SUM(BW14:BW20)</f>
        <v>271</v>
      </c>
      <c r="BX21" s="5">
        <f t="shared" ref="BX21:BZ21" si="145">SUM(BX14:BX20)</f>
        <v>265</v>
      </c>
      <c r="BY21" s="5">
        <f t="shared" si="145"/>
        <v>268</v>
      </c>
      <c r="BZ21" s="5">
        <f t="shared" si="145"/>
        <v>298</v>
      </c>
      <c r="CA21" s="6">
        <f>SUM(CA14:CA20)</f>
        <v>272</v>
      </c>
      <c r="CB21" s="6">
        <f>SUM(CB14:CB20)</f>
        <v>268</v>
      </c>
      <c r="CC21" s="6">
        <f t="shared" ref="CC21:CE21" si="146">SUM(CC14:CC20)</f>
        <v>325</v>
      </c>
      <c r="CD21" s="6">
        <f t="shared" si="146"/>
        <v>336</v>
      </c>
      <c r="CE21" s="6">
        <f t="shared" si="146"/>
        <v>361</v>
      </c>
      <c r="CF21" s="5">
        <f>SUM(CF14:CF20)</f>
        <v>247</v>
      </c>
      <c r="CG21" s="5">
        <f>SUM(CG14:CG20)</f>
        <v>257</v>
      </c>
      <c r="CH21" s="5">
        <f t="shared" ref="CH21:CJ21" si="147">SUM(CH14:CH20)</f>
        <v>288</v>
      </c>
      <c r="CI21" s="5">
        <f t="shared" si="147"/>
        <v>228</v>
      </c>
      <c r="CJ21" s="5">
        <f t="shared" si="147"/>
        <v>283</v>
      </c>
      <c r="CK21" s="6">
        <f>SUM(CK14:CK20)</f>
        <v>192</v>
      </c>
      <c r="CL21" s="6">
        <f>SUM(CL14:CL20)</f>
        <v>317</v>
      </c>
      <c r="CM21" s="6">
        <f t="shared" ref="CM21:CO21" si="148">SUM(CM14:CM20)</f>
        <v>289</v>
      </c>
      <c r="CN21" s="6">
        <f t="shared" si="148"/>
        <v>372</v>
      </c>
      <c r="CO21" s="6">
        <f t="shared" si="148"/>
        <v>358</v>
      </c>
      <c r="CP21" s="5">
        <f>SUM(CP14:CP20)</f>
        <v>206</v>
      </c>
      <c r="CQ21" s="5">
        <f>SUM(CQ14:CQ20)</f>
        <v>234</v>
      </c>
      <c r="CR21" s="5">
        <f t="shared" ref="CR21:CT21" si="149">SUM(CR14:CR20)</f>
        <v>362</v>
      </c>
      <c r="CS21" s="5">
        <f t="shared" si="149"/>
        <v>268</v>
      </c>
      <c r="CT21" s="5">
        <f t="shared" si="149"/>
        <v>238</v>
      </c>
      <c r="CU21" s="6">
        <f>SUM(CU14:CU20)</f>
        <v>236</v>
      </c>
      <c r="CV21" s="6">
        <f>SUM(CV14:CV20)</f>
        <v>328</v>
      </c>
      <c r="CW21" s="6">
        <f t="shared" ref="CW21:CY21" si="150">SUM(CW14:CW20)</f>
        <v>280</v>
      </c>
      <c r="CX21" s="6">
        <f t="shared" si="150"/>
        <v>292</v>
      </c>
      <c r="CY21" s="6">
        <f t="shared" si="150"/>
        <v>429</v>
      </c>
      <c r="CZ21" s="5">
        <f>SUM(CZ14:CZ20)</f>
        <v>99</v>
      </c>
      <c r="DA21" s="5">
        <f>SUM(DA14:DA20)</f>
        <v>316</v>
      </c>
      <c r="DB21" s="5">
        <f t="shared" ref="DB21:DD21" si="151">SUM(DB14:DB20)</f>
        <v>335</v>
      </c>
      <c r="DC21" s="5">
        <f t="shared" si="151"/>
        <v>348</v>
      </c>
      <c r="DD21" s="5">
        <f t="shared" si="151"/>
        <v>245</v>
      </c>
      <c r="DE21" s="6">
        <f>SUM(DE14:DE20)</f>
        <v>202</v>
      </c>
      <c r="DF21" s="6">
        <f>SUM(DF14:DF20)</f>
        <v>303</v>
      </c>
      <c r="DG21" s="6">
        <f t="shared" ref="DG21:DI21" si="152">SUM(DG14:DG20)</f>
        <v>326</v>
      </c>
      <c r="DH21" s="6">
        <f t="shared" si="152"/>
        <v>236</v>
      </c>
      <c r="DI21" s="6">
        <f t="shared" si="152"/>
        <v>256</v>
      </c>
      <c r="DJ21" s="5">
        <f>SUM(DJ14:DJ20)</f>
        <v>182</v>
      </c>
      <c r="DK21" s="5">
        <f>SUM(DK14:DK20)</f>
        <v>393</v>
      </c>
      <c r="DL21" s="5">
        <f t="shared" ref="DL21:DN21" si="153">SUM(DL14:DL20)</f>
        <v>275</v>
      </c>
      <c r="DM21" s="5">
        <f t="shared" si="153"/>
        <v>356</v>
      </c>
      <c r="DN21" s="5">
        <f t="shared" si="153"/>
        <v>314</v>
      </c>
      <c r="DO21" s="6">
        <f>SUM(DO14:DO20)</f>
        <v>224</v>
      </c>
      <c r="DP21" s="6">
        <f>SUM(DP14:DP20)</f>
        <v>312</v>
      </c>
      <c r="DQ21" s="6">
        <f t="shared" ref="DQ21:DS21" si="154">SUM(DQ14:DQ20)</f>
        <v>268</v>
      </c>
      <c r="DR21" s="6">
        <f t="shared" si="154"/>
        <v>347</v>
      </c>
      <c r="DS21" s="6">
        <f t="shared" si="154"/>
        <v>179</v>
      </c>
      <c r="DT21" s="5">
        <f>SUM(DT14:DT20)</f>
        <v>392</v>
      </c>
      <c r="DU21" s="5">
        <f>SUM(DU14:DU20)</f>
        <v>233</v>
      </c>
      <c r="DV21" s="5">
        <f t="shared" ref="DV21:DX21" si="155">SUM(DV14:DV20)</f>
        <v>168</v>
      </c>
      <c r="DW21" s="5">
        <f t="shared" si="155"/>
        <v>132</v>
      </c>
      <c r="DX21" s="5">
        <f t="shared" si="155"/>
        <v>293</v>
      </c>
    </row>
    <row r="22" spans="1:128" x14ac:dyDescent="0.35">
      <c r="B22" s="33" t="s">
        <v>39</v>
      </c>
      <c r="C22" s="33"/>
      <c r="D22" s="5">
        <f>D21+D12</f>
        <v>650</v>
      </c>
      <c r="E22" s="5">
        <f t="shared" ref="E22:M22" si="156">E21+E12</f>
        <v>703</v>
      </c>
      <c r="F22" s="5">
        <f t="shared" si="156"/>
        <v>654</v>
      </c>
      <c r="G22" s="5">
        <f t="shared" si="156"/>
        <v>466</v>
      </c>
      <c r="H22" s="5">
        <f t="shared" si="156"/>
        <v>505</v>
      </c>
      <c r="I22" s="6">
        <f t="shared" si="156"/>
        <v>611</v>
      </c>
      <c r="J22" s="6">
        <f t="shared" si="156"/>
        <v>891</v>
      </c>
      <c r="K22" s="6">
        <f t="shared" si="156"/>
        <v>714</v>
      </c>
      <c r="L22" s="6">
        <f t="shared" si="156"/>
        <v>682</v>
      </c>
      <c r="M22" s="6">
        <f t="shared" si="156"/>
        <v>615</v>
      </c>
      <c r="N22" s="5">
        <f t="shared" ref="N22" si="157">N21+N12</f>
        <v>678</v>
      </c>
      <c r="O22" s="5">
        <f t="shared" ref="O22" si="158">O21+O12</f>
        <v>909</v>
      </c>
      <c r="P22" s="5">
        <f t="shared" ref="P22" si="159">P21+P12</f>
        <v>719</v>
      </c>
      <c r="Q22" s="5">
        <f t="shared" ref="Q22" si="160">Q21+Q12</f>
        <v>612</v>
      </c>
      <c r="R22" s="5">
        <f t="shared" ref="R22:V22" si="161">R21+R12</f>
        <v>709</v>
      </c>
      <c r="S22" s="6">
        <f t="shared" si="161"/>
        <v>581</v>
      </c>
      <c r="T22" s="6">
        <f t="shared" si="161"/>
        <v>1016</v>
      </c>
      <c r="U22" s="6">
        <f t="shared" si="161"/>
        <v>826</v>
      </c>
      <c r="V22" s="6">
        <f t="shared" si="161"/>
        <v>812</v>
      </c>
      <c r="W22" s="6">
        <f t="shared" ref="W22:AA22" si="162">W21+W12</f>
        <v>714</v>
      </c>
      <c r="X22" s="5">
        <f t="shared" si="162"/>
        <v>679</v>
      </c>
      <c r="Y22" s="5">
        <f t="shared" si="162"/>
        <v>1030</v>
      </c>
      <c r="Z22" s="5">
        <f t="shared" si="162"/>
        <v>688</v>
      </c>
      <c r="AA22" s="5">
        <f t="shared" si="162"/>
        <v>670</v>
      </c>
      <c r="AB22" s="5">
        <f t="shared" ref="AB22:AF22" si="163">AB21+AB12</f>
        <v>696</v>
      </c>
      <c r="AC22" s="6">
        <f t="shared" si="163"/>
        <v>653</v>
      </c>
      <c r="AD22" s="6">
        <f t="shared" si="163"/>
        <v>970</v>
      </c>
      <c r="AE22" s="6">
        <f t="shared" si="163"/>
        <v>680</v>
      </c>
      <c r="AF22" s="6">
        <f t="shared" si="163"/>
        <v>710</v>
      </c>
      <c r="AG22" s="6">
        <f t="shared" ref="AG22:AK22" si="164">AG21+AG12</f>
        <v>605</v>
      </c>
      <c r="AH22" s="5">
        <f t="shared" si="164"/>
        <v>758</v>
      </c>
      <c r="AI22" s="5">
        <f t="shared" si="164"/>
        <v>940</v>
      </c>
      <c r="AJ22" s="5">
        <f t="shared" si="164"/>
        <v>722</v>
      </c>
      <c r="AK22" s="5">
        <f t="shared" si="164"/>
        <v>622</v>
      </c>
      <c r="AL22" s="5">
        <f t="shared" ref="AL22:AP22" si="165">AL21+AL12</f>
        <v>588</v>
      </c>
      <c r="AM22" s="6">
        <f t="shared" si="165"/>
        <v>792</v>
      </c>
      <c r="AN22" s="6">
        <f t="shared" si="165"/>
        <v>1040</v>
      </c>
      <c r="AO22" s="6">
        <f t="shared" si="165"/>
        <v>601</v>
      </c>
      <c r="AP22" s="6">
        <f t="shared" si="165"/>
        <v>732</v>
      </c>
      <c r="AQ22" s="6">
        <f t="shared" ref="AQ22:AU22" si="166">AQ21+AQ12</f>
        <v>789</v>
      </c>
      <c r="AR22" s="5">
        <f t="shared" si="166"/>
        <v>735</v>
      </c>
      <c r="AS22" s="5">
        <f t="shared" si="166"/>
        <v>909</v>
      </c>
      <c r="AT22" s="5">
        <f t="shared" si="166"/>
        <v>537</v>
      </c>
      <c r="AU22" s="5">
        <f t="shared" si="166"/>
        <v>762</v>
      </c>
      <c r="AV22" s="5">
        <f t="shared" ref="AV22:AZ22" si="167">AV21+AV12</f>
        <v>682</v>
      </c>
      <c r="AW22" s="6">
        <f t="shared" si="167"/>
        <v>815</v>
      </c>
      <c r="AX22" s="6">
        <f t="shared" si="167"/>
        <v>684</v>
      </c>
      <c r="AY22" s="6">
        <f t="shared" si="167"/>
        <v>670</v>
      </c>
      <c r="AZ22" s="6">
        <f t="shared" si="167"/>
        <v>708</v>
      </c>
      <c r="BA22" s="6">
        <f t="shared" ref="BA22:BE22" si="168">BA21+BA12</f>
        <v>743</v>
      </c>
      <c r="BB22" s="5">
        <f t="shared" si="168"/>
        <v>780</v>
      </c>
      <c r="BC22" s="5">
        <f t="shared" si="168"/>
        <v>646</v>
      </c>
      <c r="BD22" s="5">
        <f t="shared" si="168"/>
        <v>593</v>
      </c>
      <c r="BE22" s="5">
        <f t="shared" si="168"/>
        <v>398</v>
      </c>
      <c r="BF22" s="5">
        <f t="shared" ref="BF22:BJ22" si="169">BF21+BF12</f>
        <v>504</v>
      </c>
      <c r="BG22" s="6">
        <f t="shared" si="169"/>
        <v>674</v>
      </c>
      <c r="BH22" s="6">
        <f t="shared" si="169"/>
        <v>838</v>
      </c>
      <c r="BI22" s="6">
        <f t="shared" si="169"/>
        <v>614</v>
      </c>
      <c r="BJ22" s="6">
        <f t="shared" si="169"/>
        <v>698</v>
      </c>
      <c r="BK22" s="6">
        <f t="shared" ref="BK22:BO22" si="170">BK21+BK12</f>
        <v>699</v>
      </c>
      <c r="BL22" s="5">
        <f t="shared" si="170"/>
        <v>673</v>
      </c>
      <c r="BM22" s="5">
        <f t="shared" si="170"/>
        <v>754</v>
      </c>
      <c r="BN22" s="5">
        <f t="shared" si="170"/>
        <v>615</v>
      </c>
      <c r="BO22" s="5">
        <f t="shared" si="170"/>
        <v>720</v>
      </c>
      <c r="BP22" s="5">
        <f t="shared" ref="BP22:BT22" si="171">BP21+BP12</f>
        <v>683</v>
      </c>
      <c r="BQ22" s="6">
        <f t="shared" si="171"/>
        <v>710</v>
      </c>
      <c r="BR22" s="6">
        <f t="shared" si="171"/>
        <v>649</v>
      </c>
      <c r="BS22" s="6">
        <f t="shared" si="171"/>
        <v>760</v>
      </c>
      <c r="BT22" s="6">
        <f t="shared" si="171"/>
        <v>712</v>
      </c>
      <c r="BU22" s="6">
        <f t="shared" ref="BU22:BY22" si="172">BU21+BU12</f>
        <v>717</v>
      </c>
      <c r="BV22" s="5">
        <f t="shared" si="172"/>
        <v>705</v>
      </c>
      <c r="BW22" s="5">
        <f t="shared" si="172"/>
        <v>697</v>
      </c>
      <c r="BX22" s="5">
        <f t="shared" si="172"/>
        <v>657</v>
      </c>
      <c r="BY22" s="5">
        <f t="shared" si="172"/>
        <v>590</v>
      </c>
      <c r="BZ22" s="5">
        <f t="shared" ref="BZ22:CD22" si="173">BZ21+BZ12</f>
        <v>657</v>
      </c>
      <c r="CA22" s="6">
        <f t="shared" si="173"/>
        <v>638</v>
      </c>
      <c r="CB22" s="6">
        <f t="shared" si="173"/>
        <v>764</v>
      </c>
      <c r="CC22" s="6">
        <f t="shared" si="173"/>
        <v>577</v>
      </c>
      <c r="CD22" s="6">
        <f t="shared" si="173"/>
        <v>680</v>
      </c>
      <c r="CE22" s="6">
        <f t="shared" ref="CE22:CI22" si="174">CE21+CE12</f>
        <v>827</v>
      </c>
      <c r="CF22" s="5">
        <f t="shared" si="174"/>
        <v>491</v>
      </c>
      <c r="CG22" s="5">
        <f t="shared" si="174"/>
        <v>661</v>
      </c>
      <c r="CH22" s="5">
        <f t="shared" si="174"/>
        <v>794</v>
      </c>
      <c r="CI22" s="5">
        <f t="shared" si="174"/>
        <v>648</v>
      </c>
      <c r="CJ22" s="5">
        <f t="shared" ref="CJ22:CN22" si="175">CJ21+CJ12</f>
        <v>602</v>
      </c>
      <c r="CK22" s="6">
        <f t="shared" si="175"/>
        <v>537</v>
      </c>
      <c r="CL22" s="6">
        <f t="shared" si="175"/>
        <v>807</v>
      </c>
      <c r="CM22" s="6">
        <f t="shared" si="175"/>
        <v>527</v>
      </c>
      <c r="CN22" s="6">
        <f t="shared" si="175"/>
        <v>678</v>
      </c>
      <c r="CO22" s="6">
        <f t="shared" ref="CO22:CS22" si="176">CO21+CO12</f>
        <v>667</v>
      </c>
      <c r="CP22" s="5">
        <f t="shared" si="176"/>
        <v>548</v>
      </c>
      <c r="CQ22" s="5">
        <f t="shared" si="176"/>
        <v>656</v>
      </c>
      <c r="CR22" s="5">
        <f t="shared" si="176"/>
        <v>614</v>
      </c>
      <c r="CS22" s="5">
        <f t="shared" si="176"/>
        <v>478</v>
      </c>
      <c r="CT22" s="5">
        <f t="shared" ref="CT22:CX22" si="177">CT21+CT12</f>
        <v>518</v>
      </c>
      <c r="CU22" s="6">
        <f t="shared" si="177"/>
        <v>508</v>
      </c>
      <c r="CV22" s="6">
        <f t="shared" si="177"/>
        <v>792</v>
      </c>
      <c r="CW22" s="6">
        <f t="shared" si="177"/>
        <v>602</v>
      </c>
      <c r="CX22" s="6">
        <f t="shared" si="177"/>
        <v>596</v>
      </c>
      <c r="CY22" s="6">
        <f t="shared" ref="CY22:DC22" si="178">CY21+CY12</f>
        <v>723</v>
      </c>
      <c r="CZ22" s="5">
        <f t="shared" si="178"/>
        <v>381</v>
      </c>
      <c r="DA22" s="5">
        <f t="shared" si="178"/>
        <v>798</v>
      </c>
      <c r="DB22" s="5">
        <f t="shared" si="178"/>
        <v>601</v>
      </c>
      <c r="DC22" s="5">
        <f t="shared" si="178"/>
        <v>684</v>
      </c>
      <c r="DD22" s="5">
        <f t="shared" ref="DD22:DH22" si="179">DD21+DD12</f>
        <v>619</v>
      </c>
      <c r="DE22" s="6">
        <f t="shared" si="179"/>
        <v>446</v>
      </c>
      <c r="DF22" s="6">
        <f t="shared" si="179"/>
        <v>715</v>
      </c>
      <c r="DG22" s="6">
        <f t="shared" si="179"/>
        <v>606</v>
      </c>
      <c r="DH22" s="6">
        <f t="shared" si="179"/>
        <v>558</v>
      </c>
      <c r="DI22" s="6">
        <f t="shared" ref="DI22:DM22" si="180">DI21+DI12</f>
        <v>582</v>
      </c>
      <c r="DJ22" s="5">
        <f t="shared" si="180"/>
        <v>422</v>
      </c>
      <c r="DK22" s="5">
        <f t="shared" si="180"/>
        <v>763</v>
      </c>
      <c r="DL22" s="5">
        <f t="shared" si="180"/>
        <v>555</v>
      </c>
      <c r="DM22" s="5">
        <f t="shared" si="180"/>
        <v>656</v>
      </c>
      <c r="DN22" s="5">
        <f t="shared" ref="DN22:DR22" si="181">DN21+DN12</f>
        <v>667</v>
      </c>
      <c r="DO22" s="6">
        <f t="shared" si="181"/>
        <v>411</v>
      </c>
      <c r="DP22" s="6">
        <f t="shared" si="181"/>
        <v>662</v>
      </c>
      <c r="DQ22" s="6">
        <f t="shared" si="181"/>
        <v>436</v>
      </c>
      <c r="DR22" s="6">
        <f t="shared" si="181"/>
        <v>417</v>
      </c>
      <c r="DS22" s="6">
        <f t="shared" ref="DS22:DW22" si="182">DS21+DS12</f>
        <v>252</v>
      </c>
      <c r="DT22" s="5">
        <f t="shared" si="182"/>
        <v>576</v>
      </c>
      <c r="DU22" s="5">
        <f t="shared" si="182"/>
        <v>681</v>
      </c>
      <c r="DV22" s="5">
        <f t="shared" si="182"/>
        <v>168</v>
      </c>
      <c r="DW22" s="5">
        <f t="shared" si="182"/>
        <v>132</v>
      </c>
      <c r="DX22" s="5">
        <f t="shared" ref="DX22" si="183">DX21+DX12</f>
        <v>293</v>
      </c>
    </row>
    <row r="24" spans="1:128" ht="14.5" hidden="1" customHeight="1" x14ac:dyDescent="0.35">
      <c r="B24" s="3">
        <v>14</v>
      </c>
      <c r="C24" s="3">
        <v>180</v>
      </c>
    </row>
    <row r="25" spans="1:128" ht="14.5" hidden="1" customHeight="1" x14ac:dyDescent="0.35">
      <c r="B25" s="3">
        <v>24</v>
      </c>
      <c r="C25" s="3">
        <v>30</v>
      </c>
    </row>
    <row r="26" spans="1:128" ht="14.5" hidden="1" customHeight="1" x14ac:dyDescent="0.35">
      <c r="B26" s="3">
        <v>84</v>
      </c>
      <c r="C26" s="3">
        <v>100</v>
      </c>
    </row>
    <row r="27" spans="1:128" ht="14.5" hidden="1" customHeight="1" x14ac:dyDescent="0.35">
      <c r="B27" s="3">
        <v>34</v>
      </c>
      <c r="C27" s="3">
        <v>49</v>
      </c>
    </row>
    <row r="28" spans="1:128" ht="14.5" hidden="1" customHeight="1" x14ac:dyDescent="0.35">
      <c r="B28" s="3">
        <v>0</v>
      </c>
      <c r="C28" s="3">
        <v>32</v>
      </c>
    </row>
    <row r="29" spans="1:128" ht="14.5" hidden="1" customHeight="1" x14ac:dyDescent="0.35">
      <c r="B29" s="3">
        <v>14</v>
      </c>
      <c r="C29" s="3">
        <v>25</v>
      </c>
    </row>
    <row r="30" spans="1:128" ht="14.5" hidden="1" customHeight="1" x14ac:dyDescent="0.35">
      <c r="B30" s="3">
        <v>48</v>
      </c>
      <c r="C30" s="3">
        <v>8</v>
      </c>
    </row>
    <row r="31" spans="1:128" ht="14.5" hidden="1" customHeight="1" x14ac:dyDescent="0.35">
      <c r="B31" s="3">
        <v>42</v>
      </c>
      <c r="C31" s="3"/>
    </row>
  </sheetData>
  <mergeCells count="28">
    <mergeCell ref="DT2:DX2"/>
    <mergeCell ref="DJ2:DN2"/>
    <mergeCell ref="DO2:DS2"/>
    <mergeCell ref="S2:W2"/>
    <mergeCell ref="B21:C21"/>
    <mergeCell ref="AM2:AQ2"/>
    <mergeCell ref="AR2:AV2"/>
    <mergeCell ref="AC2:AG2"/>
    <mergeCell ref="X2:AB2"/>
    <mergeCell ref="BQ2:BU2"/>
    <mergeCell ref="DE2:DI2"/>
    <mergeCell ref="CZ2:DD2"/>
    <mergeCell ref="CP2:CT2"/>
    <mergeCell ref="CU2:CY2"/>
    <mergeCell ref="CK2:CO2"/>
    <mergeCell ref="CA2:CE2"/>
    <mergeCell ref="CF2:CJ2"/>
    <mergeCell ref="B22:C22"/>
    <mergeCell ref="N2:R2"/>
    <mergeCell ref="B12:C12"/>
    <mergeCell ref="D2:H2"/>
    <mergeCell ref="I2:M2"/>
    <mergeCell ref="BV2:BZ2"/>
    <mergeCell ref="AW2:BA2"/>
    <mergeCell ref="BB2:BF2"/>
    <mergeCell ref="BG2:BK2"/>
    <mergeCell ref="AH2:AL2"/>
    <mergeCell ref="BL2:BP2"/>
  </mergeCells>
  <pageMargins left="0.7" right="0.7" top="0.75" bottom="0.75" header="0.3" footer="0.3"/>
  <headerFooter>
    <oddFooter>&amp;L_x000D_&amp;1#&amp;"Calibri Light"&amp;8&amp;K000000 Classified as Public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AC3B7-5DFE-406F-8FD8-131FEBFC02CE}">
  <dimension ref="A2:EM39"/>
  <sheetViews>
    <sheetView zoomScale="50" zoomScaleNormal="50" workbookViewId="0">
      <pane xSplit="3" ySplit="3" topLeftCell="CV4" activePane="bottomRight" state="frozen"/>
      <selection pane="topRight" activeCell="C1" sqref="C1"/>
      <selection pane="bottomLeft" activeCell="A4" sqref="A4"/>
      <selection pane="bottomRight" activeCell="EK5" sqref="EK5"/>
    </sheetView>
  </sheetViews>
  <sheetFormatPr defaultRowHeight="14.5" x14ac:dyDescent="0.35"/>
  <cols>
    <col min="1" max="1" width="4.1796875" bestFit="1" customWidth="1"/>
    <col min="2" max="2" width="16.81640625" bestFit="1" customWidth="1"/>
    <col min="3" max="3" width="14.26953125" bestFit="1" customWidth="1"/>
    <col min="4" max="5" width="13.1796875" hidden="1" customWidth="1"/>
    <col min="6" max="6" width="11.1796875" hidden="1" customWidth="1"/>
    <col min="7" max="7" width="11.36328125" hidden="1" customWidth="1"/>
    <col min="8" max="8" width="9.90625" hidden="1" customWidth="1"/>
    <col min="9" max="10" width="13.1796875" hidden="1" customWidth="1"/>
    <col min="11" max="11" width="11.1796875" hidden="1" customWidth="1"/>
    <col min="12" max="12" width="11.36328125" hidden="1" customWidth="1"/>
    <col min="13" max="13" width="9.90625" hidden="1" customWidth="1"/>
    <col min="14" max="15" width="13.1796875" hidden="1" customWidth="1"/>
    <col min="16" max="16" width="11.1796875" hidden="1" customWidth="1"/>
    <col min="17" max="17" width="11.36328125" hidden="1" customWidth="1"/>
    <col min="18" max="18" width="9.90625" hidden="1" customWidth="1"/>
    <col min="19" max="20" width="13.1796875" hidden="1" customWidth="1"/>
    <col min="21" max="21" width="11.1796875" hidden="1" customWidth="1"/>
    <col min="22" max="22" width="11.36328125" hidden="1" customWidth="1"/>
    <col min="23" max="23" width="9.90625" hidden="1" customWidth="1"/>
    <col min="24" max="25" width="13.1796875" hidden="1" customWidth="1"/>
    <col min="26" max="26" width="11.1796875" hidden="1" customWidth="1"/>
    <col min="27" max="27" width="11.36328125" hidden="1" customWidth="1"/>
    <col min="28" max="28" width="9.90625" hidden="1" customWidth="1"/>
    <col min="29" max="30" width="13.1796875" hidden="1" customWidth="1"/>
    <col min="31" max="31" width="11.1796875" hidden="1" customWidth="1"/>
    <col min="32" max="32" width="11.36328125" hidden="1" customWidth="1"/>
    <col min="33" max="33" width="9.90625" hidden="1" customWidth="1"/>
    <col min="34" max="35" width="13.1796875" hidden="1" customWidth="1"/>
    <col min="36" max="36" width="11.1796875" hidden="1" customWidth="1"/>
    <col min="37" max="37" width="11.36328125" hidden="1" customWidth="1"/>
    <col min="38" max="38" width="9.90625" hidden="1" customWidth="1"/>
    <col min="39" max="40" width="13.1796875" hidden="1" customWidth="1"/>
    <col min="41" max="41" width="11.1796875" hidden="1" customWidth="1"/>
    <col min="42" max="42" width="11.36328125" hidden="1" customWidth="1"/>
    <col min="43" max="43" width="9.90625" hidden="1" customWidth="1"/>
    <col min="44" max="45" width="13.1796875" hidden="1" customWidth="1"/>
    <col min="46" max="46" width="11.1796875" hidden="1" customWidth="1"/>
    <col min="47" max="47" width="11.36328125" hidden="1" customWidth="1"/>
    <col min="48" max="48" width="9.90625" hidden="1" customWidth="1"/>
    <col min="49" max="50" width="13.1796875" hidden="1" customWidth="1"/>
    <col min="51" max="51" width="11.1796875" hidden="1" customWidth="1"/>
    <col min="52" max="52" width="11.36328125" hidden="1" customWidth="1"/>
    <col min="53" max="53" width="9.90625" hidden="1" customWidth="1"/>
    <col min="54" max="55" width="13.1796875" hidden="1" customWidth="1"/>
    <col min="56" max="56" width="11.1796875" hidden="1" customWidth="1"/>
    <col min="57" max="57" width="11.36328125" hidden="1" customWidth="1"/>
    <col min="58" max="58" width="9.90625" hidden="1" customWidth="1"/>
    <col min="59" max="60" width="13.1796875" hidden="1" customWidth="1"/>
    <col min="61" max="61" width="11.1796875" hidden="1" customWidth="1"/>
    <col min="62" max="62" width="11.36328125" hidden="1" customWidth="1"/>
    <col min="63" max="63" width="9.90625" hidden="1" customWidth="1"/>
    <col min="64" max="65" width="13.1796875" hidden="1" customWidth="1"/>
    <col min="66" max="66" width="11.1796875" hidden="1" customWidth="1"/>
    <col min="67" max="67" width="11.36328125" hidden="1" customWidth="1"/>
    <col min="68" max="68" width="9.90625" hidden="1" customWidth="1"/>
    <col min="69" max="70" width="13.1796875" hidden="1" customWidth="1"/>
    <col min="71" max="71" width="11.1796875" hidden="1" customWidth="1"/>
    <col min="72" max="72" width="11.36328125" hidden="1" customWidth="1"/>
    <col min="73" max="73" width="9.90625" hidden="1" customWidth="1"/>
    <col min="74" max="75" width="13.1796875" hidden="1" customWidth="1"/>
    <col min="76" max="76" width="11.1796875" hidden="1" customWidth="1"/>
    <col min="77" max="77" width="11.36328125" hidden="1" customWidth="1"/>
    <col min="78" max="78" width="9.90625" hidden="1" customWidth="1"/>
    <col min="79" max="80" width="13.1796875" hidden="1" customWidth="1"/>
    <col min="81" max="81" width="11.1796875" hidden="1" customWidth="1"/>
    <col min="82" max="82" width="11.36328125" hidden="1" customWidth="1"/>
    <col min="83" max="83" width="9.90625" hidden="1" customWidth="1"/>
    <col min="84" max="85" width="13.1796875" hidden="1" customWidth="1"/>
    <col min="86" max="86" width="11.1796875" hidden="1" customWidth="1"/>
    <col min="87" max="87" width="11.36328125" hidden="1" customWidth="1"/>
    <col min="88" max="88" width="9.90625" hidden="1" customWidth="1"/>
    <col min="89" max="90" width="13.1796875" hidden="1" customWidth="1"/>
    <col min="91" max="91" width="11.1796875" hidden="1" customWidth="1"/>
    <col min="92" max="92" width="11.36328125" hidden="1" customWidth="1"/>
    <col min="93" max="93" width="9.90625" hidden="1" customWidth="1"/>
    <col min="94" max="95" width="13.1796875" hidden="1" customWidth="1"/>
    <col min="96" max="96" width="11.1796875" hidden="1" customWidth="1"/>
    <col min="97" max="97" width="11.36328125" hidden="1" customWidth="1"/>
    <col min="98" max="98" width="9.90625" hidden="1" customWidth="1"/>
    <col min="99" max="99" width="13.1796875" hidden="1" customWidth="1"/>
    <col min="100" max="118" width="0" hidden="1" customWidth="1"/>
  </cols>
  <sheetData>
    <row r="2" spans="1:143" x14ac:dyDescent="0.35">
      <c r="B2" s="7" t="s">
        <v>38</v>
      </c>
      <c r="C2" s="7"/>
      <c r="D2" s="31">
        <v>45992</v>
      </c>
      <c r="E2" s="32"/>
      <c r="F2" s="32"/>
      <c r="G2" s="32"/>
      <c r="H2" s="32"/>
      <c r="I2" s="41">
        <v>45993</v>
      </c>
      <c r="J2" s="42"/>
      <c r="K2" s="42"/>
      <c r="L2" s="42"/>
      <c r="M2" s="42"/>
      <c r="N2" s="31">
        <v>45994</v>
      </c>
      <c r="O2" s="32"/>
      <c r="P2" s="32"/>
      <c r="Q2" s="32"/>
      <c r="R2" s="32"/>
      <c r="S2" s="41">
        <v>45995</v>
      </c>
      <c r="T2" s="42"/>
      <c r="U2" s="42"/>
      <c r="V2" s="42"/>
      <c r="W2" s="42"/>
      <c r="X2" s="31">
        <v>45996</v>
      </c>
      <c r="Y2" s="32"/>
      <c r="Z2" s="32"/>
      <c r="AA2" s="32"/>
      <c r="AB2" s="32"/>
      <c r="AC2" s="41">
        <v>45997</v>
      </c>
      <c r="AD2" s="42"/>
      <c r="AE2" s="42"/>
      <c r="AF2" s="42"/>
      <c r="AG2" s="42"/>
      <c r="AH2" s="46" t="s">
        <v>42</v>
      </c>
      <c r="AI2" s="47"/>
      <c r="AJ2" s="47"/>
      <c r="AK2" s="47"/>
      <c r="AL2" s="47"/>
      <c r="AM2" s="41">
        <v>45999</v>
      </c>
      <c r="AN2" s="42"/>
      <c r="AO2" s="42"/>
      <c r="AP2" s="42"/>
      <c r="AQ2" s="42"/>
      <c r="AR2" s="31">
        <v>46000</v>
      </c>
      <c r="AS2" s="32"/>
      <c r="AT2" s="32"/>
      <c r="AU2" s="32"/>
      <c r="AV2" s="32"/>
      <c r="AW2" s="41">
        <v>46001</v>
      </c>
      <c r="AX2" s="42"/>
      <c r="AY2" s="42"/>
      <c r="AZ2" s="42"/>
      <c r="BA2" s="42"/>
      <c r="BB2" s="31">
        <v>46002</v>
      </c>
      <c r="BC2" s="32"/>
      <c r="BD2" s="32"/>
      <c r="BE2" s="32"/>
      <c r="BF2" s="32"/>
      <c r="BG2" s="41">
        <v>46003</v>
      </c>
      <c r="BH2" s="42"/>
      <c r="BI2" s="42"/>
      <c r="BJ2" s="42"/>
      <c r="BK2" s="42"/>
      <c r="BL2" s="31">
        <v>46004</v>
      </c>
      <c r="BM2" s="32"/>
      <c r="BN2" s="32"/>
      <c r="BO2" s="32"/>
      <c r="BP2" s="32"/>
      <c r="BQ2" s="41">
        <v>46006</v>
      </c>
      <c r="BR2" s="42"/>
      <c r="BS2" s="42"/>
      <c r="BT2" s="42"/>
      <c r="BU2" s="42"/>
      <c r="BV2" s="31">
        <v>46007</v>
      </c>
      <c r="BW2" s="32"/>
      <c r="BX2" s="32"/>
      <c r="BY2" s="32"/>
      <c r="BZ2" s="32"/>
      <c r="CA2" s="41">
        <v>46008</v>
      </c>
      <c r="CB2" s="42"/>
      <c r="CC2" s="42"/>
      <c r="CD2" s="42"/>
      <c r="CE2" s="42"/>
      <c r="CF2" s="38">
        <v>46009</v>
      </c>
      <c r="CG2" s="39"/>
      <c r="CH2" s="39"/>
      <c r="CI2" s="39"/>
      <c r="CJ2" s="40"/>
      <c r="CK2" s="41">
        <v>46010</v>
      </c>
      <c r="CL2" s="42"/>
      <c r="CM2" s="42"/>
      <c r="CN2" s="42"/>
      <c r="CO2" s="42"/>
      <c r="CP2" s="31">
        <v>46011</v>
      </c>
      <c r="CQ2" s="32"/>
      <c r="CR2" s="32"/>
      <c r="CS2" s="32"/>
      <c r="CT2" s="32"/>
      <c r="CU2" s="41">
        <v>46013</v>
      </c>
      <c r="CV2" s="42"/>
      <c r="CW2" s="42"/>
      <c r="CX2" s="42"/>
      <c r="CY2" s="42"/>
      <c r="CZ2" s="31">
        <v>46014</v>
      </c>
      <c r="DA2" s="32"/>
      <c r="DB2" s="32"/>
      <c r="DC2" s="32"/>
      <c r="DD2" s="32"/>
      <c r="DE2" s="41">
        <v>46015</v>
      </c>
      <c r="DF2" s="42"/>
      <c r="DG2" s="42"/>
      <c r="DH2" s="42"/>
      <c r="DI2" s="42"/>
      <c r="DJ2" s="31">
        <v>46016</v>
      </c>
      <c r="DK2" s="32"/>
      <c r="DL2" s="32"/>
      <c r="DM2" s="32"/>
      <c r="DN2" s="32"/>
      <c r="DO2" s="41">
        <v>46017</v>
      </c>
      <c r="DP2" s="42"/>
      <c r="DQ2" s="42"/>
      <c r="DR2" s="42"/>
      <c r="DS2" s="42"/>
      <c r="DT2" s="31">
        <v>46018</v>
      </c>
      <c r="DU2" s="32"/>
      <c r="DV2" s="32"/>
      <c r="DW2" s="32"/>
      <c r="DX2" s="32"/>
      <c r="DY2" s="41">
        <v>46019</v>
      </c>
      <c r="DZ2" s="42"/>
      <c r="EA2" s="42"/>
      <c r="EB2" s="42"/>
      <c r="EC2" s="42"/>
      <c r="ED2" s="31">
        <v>46020</v>
      </c>
      <c r="EE2" s="32"/>
      <c r="EF2" s="32"/>
      <c r="EG2" s="32"/>
      <c r="EH2" s="32"/>
      <c r="EI2" s="41">
        <v>46021</v>
      </c>
      <c r="EJ2" s="42"/>
      <c r="EK2" s="42"/>
      <c r="EL2" s="42"/>
      <c r="EM2" s="42"/>
    </row>
    <row r="3" spans="1:143" s="1" customFormat="1" ht="43.5" x14ac:dyDescent="0.35">
      <c r="B3" s="4" t="s">
        <v>21</v>
      </c>
      <c r="C3" s="4" t="s">
        <v>22</v>
      </c>
      <c r="D3" s="5" t="s">
        <v>36</v>
      </c>
      <c r="E3" s="5" t="s">
        <v>37</v>
      </c>
      <c r="F3" s="5" t="s">
        <v>34</v>
      </c>
      <c r="G3" s="5" t="s">
        <v>35</v>
      </c>
      <c r="H3" s="5" t="s">
        <v>33</v>
      </c>
      <c r="I3" s="6" t="s">
        <v>36</v>
      </c>
      <c r="J3" s="6" t="s">
        <v>37</v>
      </c>
      <c r="K3" s="6" t="s">
        <v>34</v>
      </c>
      <c r="L3" s="6" t="s">
        <v>35</v>
      </c>
      <c r="M3" s="6" t="s">
        <v>33</v>
      </c>
      <c r="N3" s="5" t="s">
        <v>36</v>
      </c>
      <c r="O3" s="5" t="s">
        <v>37</v>
      </c>
      <c r="P3" s="5" t="s">
        <v>34</v>
      </c>
      <c r="Q3" s="5" t="s">
        <v>35</v>
      </c>
      <c r="R3" s="5" t="s">
        <v>33</v>
      </c>
      <c r="S3" s="6" t="s">
        <v>36</v>
      </c>
      <c r="T3" s="6" t="s">
        <v>37</v>
      </c>
      <c r="U3" s="6" t="s">
        <v>34</v>
      </c>
      <c r="V3" s="6" t="s">
        <v>35</v>
      </c>
      <c r="W3" s="6" t="s">
        <v>33</v>
      </c>
      <c r="X3" s="5" t="s">
        <v>36</v>
      </c>
      <c r="Y3" s="5" t="s">
        <v>37</v>
      </c>
      <c r="Z3" s="5" t="s">
        <v>34</v>
      </c>
      <c r="AA3" s="5" t="s">
        <v>35</v>
      </c>
      <c r="AB3" s="5" t="s">
        <v>33</v>
      </c>
      <c r="AC3" s="6" t="s">
        <v>36</v>
      </c>
      <c r="AD3" s="6" t="s">
        <v>37</v>
      </c>
      <c r="AE3" s="6" t="s">
        <v>34</v>
      </c>
      <c r="AF3" s="6" t="s">
        <v>35</v>
      </c>
      <c r="AG3" s="6" t="s">
        <v>33</v>
      </c>
      <c r="AH3" s="9" t="s">
        <v>36</v>
      </c>
      <c r="AI3" s="9" t="s">
        <v>37</v>
      </c>
      <c r="AJ3" s="9" t="s">
        <v>34</v>
      </c>
      <c r="AK3" s="9" t="s">
        <v>35</v>
      </c>
      <c r="AL3" s="9" t="s">
        <v>33</v>
      </c>
      <c r="AM3" s="6" t="s">
        <v>36</v>
      </c>
      <c r="AN3" s="6" t="s">
        <v>37</v>
      </c>
      <c r="AO3" s="6" t="s">
        <v>34</v>
      </c>
      <c r="AP3" s="6" t="s">
        <v>35</v>
      </c>
      <c r="AQ3" s="6" t="s">
        <v>33</v>
      </c>
      <c r="AR3" s="5" t="s">
        <v>36</v>
      </c>
      <c r="AS3" s="5" t="s">
        <v>37</v>
      </c>
      <c r="AT3" s="5" t="s">
        <v>34</v>
      </c>
      <c r="AU3" s="5" t="s">
        <v>35</v>
      </c>
      <c r="AV3" s="5" t="s">
        <v>33</v>
      </c>
      <c r="AW3" s="6" t="s">
        <v>36</v>
      </c>
      <c r="AX3" s="6" t="s">
        <v>37</v>
      </c>
      <c r="AY3" s="6" t="s">
        <v>34</v>
      </c>
      <c r="AZ3" s="6" t="s">
        <v>35</v>
      </c>
      <c r="BA3" s="6" t="s">
        <v>33</v>
      </c>
      <c r="BB3" s="5" t="s">
        <v>36</v>
      </c>
      <c r="BC3" s="5" t="s">
        <v>37</v>
      </c>
      <c r="BD3" s="5" t="s">
        <v>34</v>
      </c>
      <c r="BE3" s="5" t="s">
        <v>35</v>
      </c>
      <c r="BF3" s="5" t="s">
        <v>33</v>
      </c>
      <c r="BG3" s="6" t="s">
        <v>36</v>
      </c>
      <c r="BH3" s="6" t="s">
        <v>37</v>
      </c>
      <c r="BI3" s="6" t="s">
        <v>34</v>
      </c>
      <c r="BJ3" s="6" t="s">
        <v>35</v>
      </c>
      <c r="BK3" s="6" t="s">
        <v>33</v>
      </c>
      <c r="BL3" s="5" t="s">
        <v>36</v>
      </c>
      <c r="BM3" s="5" t="s">
        <v>37</v>
      </c>
      <c r="BN3" s="5" t="s">
        <v>34</v>
      </c>
      <c r="BO3" s="5" t="s">
        <v>35</v>
      </c>
      <c r="BP3" s="5" t="s">
        <v>33</v>
      </c>
      <c r="BQ3" s="6" t="s">
        <v>36</v>
      </c>
      <c r="BR3" s="6" t="s">
        <v>37</v>
      </c>
      <c r="BS3" s="6" t="s">
        <v>34</v>
      </c>
      <c r="BT3" s="6" t="s">
        <v>35</v>
      </c>
      <c r="BU3" s="6" t="s">
        <v>33</v>
      </c>
      <c r="BV3" s="5" t="s">
        <v>36</v>
      </c>
      <c r="BW3" s="5" t="s">
        <v>37</v>
      </c>
      <c r="BX3" s="5" t="s">
        <v>34</v>
      </c>
      <c r="BY3" s="5" t="s">
        <v>35</v>
      </c>
      <c r="BZ3" s="5" t="s">
        <v>33</v>
      </c>
      <c r="CA3" s="6" t="s">
        <v>36</v>
      </c>
      <c r="CB3" s="6" t="s">
        <v>37</v>
      </c>
      <c r="CC3" s="6" t="s">
        <v>34</v>
      </c>
      <c r="CD3" s="6" t="s">
        <v>35</v>
      </c>
      <c r="CE3" s="6" t="s">
        <v>33</v>
      </c>
      <c r="CF3" s="5" t="s">
        <v>36</v>
      </c>
      <c r="CG3" s="5" t="s">
        <v>37</v>
      </c>
      <c r="CH3" s="5" t="s">
        <v>34</v>
      </c>
      <c r="CI3" s="5" t="s">
        <v>35</v>
      </c>
      <c r="CJ3" s="5" t="s">
        <v>33</v>
      </c>
      <c r="CK3" s="6" t="s">
        <v>36</v>
      </c>
      <c r="CL3" s="6" t="s">
        <v>37</v>
      </c>
      <c r="CM3" s="6" t="s">
        <v>34</v>
      </c>
      <c r="CN3" s="6" t="s">
        <v>35</v>
      </c>
      <c r="CO3" s="6" t="s">
        <v>33</v>
      </c>
      <c r="CP3" s="5" t="s">
        <v>36</v>
      </c>
      <c r="CQ3" s="5" t="s">
        <v>37</v>
      </c>
      <c r="CR3" s="5" t="s">
        <v>34</v>
      </c>
      <c r="CS3" s="5" t="s">
        <v>35</v>
      </c>
      <c r="CT3" s="5" t="s">
        <v>33</v>
      </c>
      <c r="CU3" s="6" t="s">
        <v>36</v>
      </c>
      <c r="CV3" s="6" t="s">
        <v>37</v>
      </c>
      <c r="CW3" s="6" t="s">
        <v>34</v>
      </c>
      <c r="CX3" s="6" t="s">
        <v>35</v>
      </c>
      <c r="CY3" s="6" t="s">
        <v>33</v>
      </c>
      <c r="CZ3" s="5" t="s">
        <v>36</v>
      </c>
      <c r="DA3" s="5" t="s">
        <v>37</v>
      </c>
      <c r="DB3" s="5" t="s">
        <v>34</v>
      </c>
      <c r="DC3" s="5" t="s">
        <v>35</v>
      </c>
      <c r="DD3" s="5" t="s">
        <v>33</v>
      </c>
      <c r="DE3" s="6" t="s">
        <v>36</v>
      </c>
      <c r="DF3" s="6" t="s">
        <v>37</v>
      </c>
      <c r="DG3" s="6" t="s">
        <v>34</v>
      </c>
      <c r="DH3" s="6" t="s">
        <v>35</v>
      </c>
      <c r="DI3" s="6" t="s">
        <v>33</v>
      </c>
      <c r="DJ3" s="5" t="s">
        <v>36</v>
      </c>
      <c r="DK3" s="5" t="s">
        <v>37</v>
      </c>
      <c r="DL3" s="5" t="s">
        <v>34</v>
      </c>
      <c r="DM3" s="5" t="s">
        <v>35</v>
      </c>
      <c r="DN3" s="5" t="s">
        <v>33</v>
      </c>
      <c r="DO3" s="6" t="s">
        <v>36</v>
      </c>
      <c r="DP3" s="6" t="s">
        <v>37</v>
      </c>
      <c r="DQ3" s="6" t="s">
        <v>34</v>
      </c>
      <c r="DR3" s="6" t="s">
        <v>35</v>
      </c>
      <c r="DS3" s="6" t="s">
        <v>33</v>
      </c>
      <c r="DT3" s="5" t="s">
        <v>36</v>
      </c>
      <c r="DU3" s="5" t="s">
        <v>37</v>
      </c>
      <c r="DV3" s="5" t="s">
        <v>34</v>
      </c>
      <c r="DW3" s="5" t="s">
        <v>35</v>
      </c>
      <c r="DX3" s="5" t="s">
        <v>33</v>
      </c>
      <c r="DY3" s="6" t="s">
        <v>36</v>
      </c>
      <c r="DZ3" s="6" t="s">
        <v>37</v>
      </c>
      <c r="EA3" s="6" t="s">
        <v>34</v>
      </c>
      <c r="EB3" s="6" t="s">
        <v>35</v>
      </c>
      <c r="EC3" s="6" t="s">
        <v>33</v>
      </c>
      <c r="ED3" s="5" t="s">
        <v>36</v>
      </c>
      <c r="EE3" s="5" t="s">
        <v>37</v>
      </c>
      <c r="EF3" s="5" t="s">
        <v>34</v>
      </c>
      <c r="EG3" s="5" t="s">
        <v>35</v>
      </c>
      <c r="EH3" s="5" t="s">
        <v>33</v>
      </c>
      <c r="EI3" s="6" t="s">
        <v>36</v>
      </c>
      <c r="EJ3" s="6" t="s">
        <v>37</v>
      </c>
      <c r="EK3" s="6" t="s">
        <v>34</v>
      </c>
      <c r="EL3" s="6" t="s">
        <v>35</v>
      </c>
      <c r="EM3" s="6" t="s">
        <v>33</v>
      </c>
    </row>
    <row r="4" spans="1:143" x14ac:dyDescent="0.35">
      <c r="A4" s="3">
        <v>0</v>
      </c>
      <c r="B4" s="2" t="s">
        <v>0</v>
      </c>
      <c r="C4" s="2" t="s">
        <v>13</v>
      </c>
      <c r="D4" s="3">
        <f t="shared" ref="D4:D11" si="0">A4</f>
        <v>0</v>
      </c>
      <c r="E4" s="3">
        <v>38</v>
      </c>
      <c r="F4" s="3">
        <v>70</v>
      </c>
      <c r="G4" s="3">
        <v>70</v>
      </c>
      <c r="H4" s="3">
        <v>65</v>
      </c>
      <c r="I4" s="3">
        <f>D4+G4-H4</f>
        <v>5</v>
      </c>
      <c r="J4" s="3">
        <f>E4+F4-G4</f>
        <v>38</v>
      </c>
      <c r="K4" s="3">
        <v>28</v>
      </c>
      <c r="L4" s="3">
        <v>70</v>
      </c>
      <c r="M4" s="3">
        <v>54</v>
      </c>
      <c r="N4" s="3">
        <f>I4+L4-M4</f>
        <v>21</v>
      </c>
      <c r="O4" s="3">
        <f>J4+K4-L4</f>
        <v>-4</v>
      </c>
      <c r="P4" s="3">
        <v>70</v>
      </c>
      <c r="Q4" s="3">
        <v>52</v>
      </c>
      <c r="R4" s="3">
        <v>46</v>
      </c>
      <c r="S4" s="3">
        <f>N4+Q4-R4</f>
        <v>27</v>
      </c>
      <c r="T4" s="3">
        <f>O4+P4-Q4</f>
        <v>14</v>
      </c>
      <c r="U4" s="3">
        <v>84</v>
      </c>
      <c r="V4" s="3">
        <v>56</v>
      </c>
      <c r="W4" s="3">
        <v>34</v>
      </c>
      <c r="X4" s="3">
        <f>S4+V4-W4</f>
        <v>49</v>
      </c>
      <c r="Y4" s="3">
        <f>T4+U4-V4</f>
        <v>42</v>
      </c>
      <c r="Z4" s="3">
        <v>14</v>
      </c>
      <c r="AA4" s="3">
        <v>14</v>
      </c>
      <c r="AB4" s="3">
        <v>28</v>
      </c>
      <c r="AC4" s="3">
        <f>X4+AA4-AB4</f>
        <v>35</v>
      </c>
      <c r="AD4" s="3">
        <f>Y4+Z4-AA4</f>
        <v>42</v>
      </c>
      <c r="AE4" s="3">
        <v>42</v>
      </c>
      <c r="AF4" s="3">
        <v>0</v>
      </c>
      <c r="AG4" s="3">
        <v>0</v>
      </c>
      <c r="AH4" s="10">
        <f>AC4+AF4-AG4</f>
        <v>35</v>
      </c>
      <c r="AI4" s="10">
        <f>AD4+AE4-AF4</f>
        <v>84</v>
      </c>
      <c r="AJ4" s="10">
        <v>0</v>
      </c>
      <c r="AK4" s="10">
        <v>0</v>
      </c>
      <c r="AL4" s="10">
        <v>0</v>
      </c>
      <c r="AM4" s="3">
        <f>AH4+AK4-AL4</f>
        <v>35</v>
      </c>
      <c r="AN4" s="3">
        <f>AI4+AJ4-AK4</f>
        <v>84</v>
      </c>
      <c r="AO4" s="3">
        <v>0</v>
      </c>
      <c r="AP4" s="3">
        <v>42</v>
      </c>
      <c r="AQ4" s="3">
        <v>43</v>
      </c>
      <c r="AR4" s="3">
        <f>AM4+AP4-AQ4</f>
        <v>34</v>
      </c>
      <c r="AS4" s="3">
        <f>AN4+AO4-AP4</f>
        <v>42</v>
      </c>
      <c r="AT4" s="3">
        <v>42</v>
      </c>
      <c r="AU4" s="3">
        <v>56</v>
      </c>
      <c r="AV4" s="3">
        <v>79</v>
      </c>
      <c r="AW4" s="3">
        <f>AR4+AU4-AV4</f>
        <v>11</v>
      </c>
      <c r="AX4" s="3">
        <f>AS4+AT4-AU4</f>
        <v>28</v>
      </c>
      <c r="AY4" s="3">
        <v>42</v>
      </c>
      <c r="AZ4" s="3">
        <v>56</v>
      </c>
      <c r="BA4" s="3">
        <v>56</v>
      </c>
      <c r="BB4" s="3">
        <f>AW4+AZ4-BA4</f>
        <v>11</v>
      </c>
      <c r="BC4" s="3">
        <v>28</v>
      </c>
      <c r="BD4" s="3">
        <v>28</v>
      </c>
      <c r="BE4" s="3">
        <v>42</v>
      </c>
      <c r="BF4" s="3">
        <v>58</v>
      </c>
      <c r="BG4" s="3">
        <v>20</v>
      </c>
      <c r="BH4" s="3">
        <f>BC4+BD4-BE4</f>
        <v>14</v>
      </c>
      <c r="BI4" s="3">
        <v>42</v>
      </c>
      <c r="BJ4" s="3">
        <v>0</v>
      </c>
      <c r="BK4" s="3">
        <v>0</v>
      </c>
      <c r="BL4" s="3">
        <f>BG4+BJ4-BK4</f>
        <v>20</v>
      </c>
      <c r="BM4" s="3">
        <f>BH4+BI4-BJ4</f>
        <v>56</v>
      </c>
      <c r="BN4" s="3">
        <v>28</v>
      </c>
      <c r="BO4" s="3">
        <v>0</v>
      </c>
      <c r="BP4" s="3">
        <v>0</v>
      </c>
      <c r="BQ4" s="3">
        <f>BL4+BO4-BP4</f>
        <v>20</v>
      </c>
      <c r="BR4" s="3">
        <v>70</v>
      </c>
      <c r="BS4" s="3">
        <v>56</v>
      </c>
      <c r="BT4" s="3">
        <v>98</v>
      </c>
      <c r="BU4" s="3">
        <v>90</v>
      </c>
      <c r="BV4" s="3">
        <f>BQ4+BT4-BU4</f>
        <v>28</v>
      </c>
      <c r="BW4" s="3">
        <v>14</v>
      </c>
      <c r="BX4" s="3">
        <v>42</v>
      </c>
      <c r="BY4" s="3">
        <v>42</v>
      </c>
      <c r="BZ4" s="3">
        <v>33</v>
      </c>
      <c r="CA4" s="3">
        <f>BV4+BY4-BZ4</f>
        <v>37</v>
      </c>
      <c r="CB4" s="3">
        <f>BW4+BX4-BY4</f>
        <v>14</v>
      </c>
      <c r="CC4" s="3">
        <v>14</v>
      </c>
      <c r="CD4" s="3">
        <v>28</v>
      </c>
      <c r="CE4" s="3">
        <v>15</v>
      </c>
      <c r="CF4" s="3">
        <f>CA4+CD4-CE4</f>
        <v>50</v>
      </c>
      <c r="CG4" s="3">
        <v>14</v>
      </c>
      <c r="CH4" s="3">
        <f>56+42</f>
        <v>98</v>
      </c>
      <c r="CI4" s="3">
        <v>56</v>
      </c>
      <c r="CJ4" s="3">
        <v>91</v>
      </c>
      <c r="CK4" s="3">
        <f>CF4+CI4-CJ4</f>
        <v>15</v>
      </c>
      <c r="CL4" s="3">
        <v>28</v>
      </c>
      <c r="CM4" s="3">
        <v>70</v>
      </c>
      <c r="CN4" s="3">
        <v>42</v>
      </c>
      <c r="CO4" s="3">
        <v>35</v>
      </c>
      <c r="CP4" s="3">
        <f>CK4+CN4-CO4</f>
        <v>22</v>
      </c>
      <c r="CQ4" s="3">
        <f>CL4+CM4-CN4</f>
        <v>56</v>
      </c>
      <c r="CR4" s="3">
        <v>14</v>
      </c>
      <c r="CS4" s="3">
        <v>28</v>
      </c>
      <c r="CT4" s="3">
        <v>15</v>
      </c>
      <c r="CU4" s="3">
        <f>CP4+CS4-CT4</f>
        <v>35</v>
      </c>
      <c r="CV4" s="3">
        <f>CQ4+CR4-CS4</f>
        <v>42</v>
      </c>
      <c r="CW4" s="3">
        <v>0</v>
      </c>
      <c r="CX4" s="3">
        <v>0</v>
      </c>
      <c r="CY4" s="3">
        <v>0</v>
      </c>
      <c r="CZ4" s="12">
        <v>54</v>
      </c>
      <c r="DA4" s="13">
        <v>42</v>
      </c>
      <c r="DB4" s="3">
        <v>0</v>
      </c>
      <c r="DC4" s="3">
        <v>0</v>
      </c>
      <c r="DD4" s="3">
        <v>0</v>
      </c>
      <c r="DE4" s="3">
        <f>CZ4+DC4-DD4</f>
        <v>54</v>
      </c>
      <c r="DF4" s="3">
        <f>DA4+DB4-DC4</f>
        <v>42</v>
      </c>
      <c r="DG4" s="3"/>
      <c r="DH4" s="3">
        <v>0</v>
      </c>
      <c r="DI4" s="3">
        <v>0</v>
      </c>
      <c r="DJ4" s="3">
        <f>DE4+DH4-DI4</f>
        <v>54</v>
      </c>
      <c r="DK4" s="3">
        <f>DF4+DG4-DH4</f>
        <v>42</v>
      </c>
      <c r="DL4" s="3"/>
      <c r="DM4" s="3">
        <v>0</v>
      </c>
      <c r="DN4" s="3">
        <v>0</v>
      </c>
      <c r="DO4" s="3">
        <v>42</v>
      </c>
      <c r="DP4" s="3">
        <v>98</v>
      </c>
      <c r="DQ4" s="3">
        <v>0</v>
      </c>
      <c r="DR4" s="3">
        <v>0</v>
      </c>
      <c r="DS4" s="3">
        <v>0</v>
      </c>
      <c r="DT4" s="3">
        <f>DO4+DR4-DS4</f>
        <v>42</v>
      </c>
      <c r="DU4" s="3">
        <f>DP4+DQ4-DR4</f>
        <v>98</v>
      </c>
      <c r="DV4" s="3"/>
      <c r="DW4" s="3">
        <v>0</v>
      </c>
      <c r="DX4" s="3">
        <v>0</v>
      </c>
      <c r="DY4" s="3">
        <f>DT4+DW4-DX4</f>
        <v>42</v>
      </c>
      <c r="DZ4" s="3">
        <f>DU4+DV4-DW4</f>
        <v>98</v>
      </c>
      <c r="EA4" s="3">
        <v>28</v>
      </c>
      <c r="EB4" s="3">
        <v>28</v>
      </c>
      <c r="EC4" s="3">
        <v>22</v>
      </c>
      <c r="ED4" s="3">
        <f>DY4+EB4-EC4</f>
        <v>48</v>
      </c>
      <c r="EE4" s="3">
        <f>DZ4+EA4-EB4</f>
        <v>98</v>
      </c>
      <c r="EF4" s="3">
        <v>28</v>
      </c>
      <c r="EG4" s="3">
        <v>14</v>
      </c>
      <c r="EH4" s="3">
        <v>16</v>
      </c>
      <c r="EI4" s="3">
        <f>ED4+EG4-EH4</f>
        <v>46</v>
      </c>
      <c r="EJ4" s="3">
        <f>EE4+EF4-EG4</f>
        <v>112</v>
      </c>
      <c r="EK4" s="3"/>
      <c r="EL4" s="3">
        <v>0</v>
      </c>
      <c r="EM4" s="3">
        <v>25</v>
      </c>
    </row>
    <row r="5" spans="1:143" x14ac:dyDescent="0.35">
      <c r="A5" s="3">
        <v>20</v>
      </c>
      <c r="B5" s="2" t="s">
        <v>1</v>
      </c>
      <c r="C5" s="2" t="s">
        <v>14</v>
      </c>
      <c r="D5" s="3">
        <f t="shared" si="0"/>
        <v>20</v>
      </c>
      <c r="E5" s="3">
        <v>14</v>
      </c>
      <c r="F5" s="3">
        <v>0</v>
      </c>
      <c r="G5" s="3">
        <v>14</v>
      </c>
      <c r="H5" s="3">
        <v>1</v>
      </c>
      <c r="I5" s="3">
        <f t="shared" ref="I5:I11" si="1">D5+G5-H5</f>
        <v>33</v>
      </c>
      <c r="J5" s="3">
        <f t="shared" ref="J5:J11" si="2">E5+F5-G5</f>
        <v>0</v>
      </c>
      <c r="K5" s="3">
        <v>0</v>
      </c>
      <c r="L5" s="3">
        <v>0</v>
      </c>
      <c r="M5" s="3">
        <v>5</v>
      </c>
      <c r="N5" s="3">
        <f t="shared" ref="N5:N11" si="3">I5+L5-M5</f>
        <v>28</v>
      </c>
      <c r="O5" s="3">
        <f t="shared" ref="O5:O11" si="4">J5+K5-L5</f>
        <v>0</v>
      </c>
      <c r="P5" s="3">
        <v>0</v>
      </c>
      <c r="Q5" s="3">
        <v>0</v>
      </c>
      <c r="R5" s="3">
        <v>6</v>
      </c>
      <c r="S5" s="3">
        <f t="shared" ref="S5:S11" si="5">N5+Q5-R5</f>
        <v>22</v>
      </c>
      <c r="T5" s="3">
        <f t="shared" ref="T5:T8" si="6">O5+P5-Q5</f>
        <v>0</v>
      </c>
      <c r="U5" s="3">
        <v>0</v>
      </c>
      <c r="V5" s="3">
        <v>0</v>
      </c>
      <c r="W5" s="3">
        <v>0</v>
      </c>
      <c r="X5" s="3">
        <f t="shared" ref="X5:X11" si="7">S5+V5-W5</f>
        <v>22</v>
      </c>
      <c r="Y5" s="3">
        <f t="shared" ref="Y5:Y8" si="8">T5+U5-V5</f>
        <v>0</v>
      </c>
      <c r="Z5" s="3">
        <v>14</v>
      </c>
      <c r="AA5" s="3">
        <v>0</v>
      </c>
      <c r="AB5" s="3">
        <v>1</v>
      </c>
      <c r="AC5" s="3">
        <f t="shared" ref="AC5:AC11" si="9">X5+AA5-AB5</f>
        <v>21</v>
      </c>
      <c r="AD5" s="3">
        <f t="shared" ref="AD5:AD8" si="10">Y5+Z5-AA5</f>
        <v>14</v>
      </c>
      <c r="AE5" s="3">
        <v>0</v>
      </c>
      <c r="AF5" s="3">
        <v>0</v>
      </c>
      <c r="AG5" s="3">
        <v>0</v>
      </c>
      <c r="AH5" s="10">
        <f t="shared" ref="AH5:AH11" si="11">AC5+AF5-AG5</f>
        <v>21</v>
      </c>
      <c r="AI5" s="10">
        <f t="shared" ref="AI5:AI11" si="12">AD5+AE5-AF5</f>
        <v>14</v>
      </c>
      <c r="AJ5" s="10">
        <v>0</v>
      </c>
      <c r="AK5" s="10">
        <v>0</v>
      </c>
      <c r="AL5" s="10">
        <v>0</v>
      </c>
      <c r="AM5" s="3">
        <f t="shared" ref="AM5:AM11" si="13">AH5+AK5-AL5</f>
        <v>21</v>
      </c>
      <c r="AN5" s="3">
        <f t="shared" ref="AN5:AN8" si="14">AI5+AJ5-AK5</f>
        <v>14</v>
      </c>
      <c r="AO5" s="3">
        <v>14</v>
      </c>
      <c r="AP5" s="3">
        <v>14</v>
      </c>
      <c r="AQ5" s="3">
        <v>18</v>
      </c>
      <c r="AR5" s="3">
        <f t="shared" ref="AR5:AR11" si="15">AM5+AP5-AQ5</f>
        <v>17</v>
      </c>
      <c r="AS5" s="3">
        <f t="shared" ref="AS5:AS8" si="16">AN5+AO5-AP5</f>
        <v>14</v>
      </c>
      <c r="AT5" s="3">
        <v>0</v>
      </c>
      <c r="AU5" s="3">
        <v>0</v>
      </c>
      <c r="AV5" s="3">
        <v>8</v>
      </c>
      <c r="AW5" s="3">
        <f t="shared" ref="AW5:AW11" si="17">AR5+AU5-AV5</f>
        <v>9</v>
      </c>
      <c r="AX5" s="3">
        <f t="shared" ref="AX5:AX8" si="18">AS5+AT5-AU5</f>
        <v>14</v>
      </c>
      <c r="AY5" s="3">
        <v>28</v>
      </c>
      <c r="AZ5" s="3">
        <v>14</v>
      </c>
      <c r="BA5" s="3">
        <v>19</v>
      </c>
      <c r="BB5" s="3">
        <f t="shared" ref="BB5:BB11" si="19">AW5+AZ5-BA5</f>
        <v>4</v>
      </c>
      <c r="BC5" s="3">
        <v>28</v>
      </c>
      <c r="BD5" s="3">
        <v>14</v>
      </c>
      <c r="BE5" s="3">
        <v>28</v>
      </c>
      <c r="BF5" s="3">
        <v>17</v>
      </c>
      <c r="BG5" s="3">
        <f t="shared" ref="BG5:BG11" si="20">BB5+BE5-BF5</f>
        <v>15</v>
      </c>
      <c r="BH5" s="3">
        <f t="shared" ref="BH5:BH8" si="21">BC5+BD5-BE5</f>
        <v>14</v>
      </c>
      <c r="BI5" s="3">
        <v>0</v>
      </c>
      <c r="BJ5" s="3">
        <v>0</v>
      </c>
      <c r="BK5" s="3">
        <v>0</v>
      </c>
      <c r="BL5" s="3">
        <f t="shared" ref="BL5:BL11" si="22">BG5+BJ5-BK5</f>
        <v>15</v>
      </c>
      <c r="BM5" s="3">
        <f t="shared" ref="BM5:BM8" si="23">BH5+BI5-BJ5</f>
        <v>14</v>
      </c>
      <c r="BN5" s="3"/>
      <c r="BO5" s="3">
        <v>0</v>
      </c>
      <c r="BP5" s="3">
        <v>0</v>
      </c>
      <c r="BQ5" s="3">
        <f t="shared" ref="BQ5:BQ11" si="24">BL5+BO5-BP5</f>
        <v>15</v>
      </c>
      <c r="BR5" s="3">
        <f t="shared" ref="BR5:BR8" si="25">BM5+BN5-BO5</f>
        <v>14</v>
      </c>
      <c r="BS5" s="3">
        <v>28</v>
      </c>
      <c r="BT5" s="3">
        <v>14</v>
      </c>
      <c r="BU5" s="3">
        <v>7</v>
      </c>
      <c r="BV5" s="3">
        <f t="shared" ref="BV5:BV11" si="26">BQ5+BT5-BU5</f>
        <v>22</v>
      </c>
      <c r="BW5" s="3">
        <f t="shared" ref="BW5:BW8" si="27">BR5+BS5-BT5</f>
        <v>28</v>
      </c>
      <c r="BX5" s="3">
        <v>0</v>
      </c>
      <c r="BY5" s="3">
        <v>0</v>
      </c>
      <c r="BZ5" s="3">
        <v>5</v>
      </c>
      <c r="CA5" s="3">
        <f t="shared" ref="CA5:CA11" si="28">BV5+BY5-BZ5</f>
        <v>17</v>
      </c>
      <c r="CB5" s="3">
        <f t="shared" ref="CB5:CB8" si="29">BW5+BX5-BY5</f>
        <v>28</v>
      </c>
      <c r="CC5" s="3"/>
      <c r="CD5" s="3">
        <v>0</v>
      </c>
      <c r="CE5" s="3">
        <v>3</v>
      </c>
      <c r="CF5" s="3">
        <f t="shared" ref="CF5:CF11" si="30">CA5+CD5-CE5</f>
        <v>14</v>
      </c>
      <c r="CG5" s="3">
        <v>28</v>
      </c>
      <c r="CH5" s="3">
        <v>0</v>
      </c>
      <c r="CI5" s="3">
        <v>0</v>
      </c>
      <c r="CJ5" s="3">
        <v>5</v>
      </c>
      <c r="CK5" s="3">
        <f t="shared" ref="CK5:CK11" si="31">CF5+CI5-CJ5</f>
        <v>9</v>
      </c>
      <c r="CL5" s="3">
        <v>28</v>
      </c>
      <c r="CM5" s="3">
        <v>0</v>
      </c>
      <c r="CN5" s="3">
        <v>14</v>
      </c>
      <c r="CO5" s="3">
        <v>0</v>
      </c>
      <c r="CP5" s="3">
        <f t="shared" ref="CP5:CP11" si="32">CK5+CN5-CO5</f>
        <v>23</v>
      </c>
      <c r="CQ5" s="3">
        <f t="shared" ref="CQ5:CQ8" si="33">CL5+CM5-CN5</f>
        <v>14</v>
      </c>
      <c r="CR5" s="3">
        <v>0</v>
      </c>
      <c r="CS5" s="3">
        <v>0</v>
      </c>
      <c r="CT5" s="3">
        <v>0</v>
      </c>
      <c r="CU5" s="3">
        <f t="shared" ref="CU5:CU11" si="34">CP5+CS5-CT5</f>
        <v>23</v>
      </c>
      <c r="CV5" s="3">
        <f t="shared" ref="CV5:CV8" si="35">CQ5+CR5-CS5</f>
        <v>14</v>
      </c>
      <c r="CW5" s="3">
        <v>0</v>
      </c>
      <c r="CX5" s="3">
        <v>0</v>
      </c>
      <c r="CY5" s="3">
        <v>0</v>
      </c>
      <c r="CZ5" s="12">
        <v>26</v>
      </c>
      <c r="DA5" s="13">
        <v>14</v>
      </c>
      <c r="DB5" s="3">
        <v>0</v>
      </c>
      <c r="DC5" s="3">
        <v>0</v>
      </c>
      <c r="DD5" s="3">
        <v>0</v>
      </c>
      <c r="DE5" s="3">
        <f t="shared" ref="DE5:DE11" si="36">CZ5+DC5-DD5</f>
        <v>26</v>
      </c>
      <c r="DF5" s="3">
        <f t="shared" ref="DF5:DF8" si="37">DA5+DB5-DC5</f>
        <v>14</v>
      </c>
      <c r="DG5" s="3"/>
      <c r="DH5" s="3">
        <v>0</v>
      </c>
      <c r="DI5" s="3">
        <v>0</v>
      </c>
      <c r="DJ5" s="3">
        <f t="shared" ref="DJ5:DJ11" si="38">DE5+DH5-DI5</f>
        <v>26</v>
      </c>
      <c r="DK5" s="3">
        <f t="shared" ref="DK5:DK8" si="39">DF5+DG5-DH5</f>
        <v>14</v>
      </c>
      <c r="DL5" s="3"/>
      <c r="DM5" s="3">
        <v>0</v>
      </c>
      <c r="DN5" s="3">
        <v>0</v>
      </c>
      <c r="DO5" s="3">
        <v>24</v>
      </c>
      <c r="DP5" s="3">
        <f t="shared" ref="DP5:DP8" si="40">DK5+DL5-DM5</f>
        <v>14</v>
      </c>
      <c r="DQ5" s="3">
        <v>0</v>
      </c>
      <c r="DR5" s="3">
        <v>0</v>
      </c>
      <c r="DS5" s="3">
        <v>0</v>
      </c>
      <c r="DT5" s="3">
        <f t="shared" ref="DT5:DT11" si="41">DO5+DR5-DS5</f>
        <v>24</v>
      </c>
      <c r="DU5" s="3">
        <f t="shared" ref="DU5:DU8" si="42">DP5+DQ5-DR5</f>
        <v>14</v>
      </c>
      <c r="DV5" s="3"/>
      <c r="DW5" s="3">
        <v>0</v>
      </c>
      <c r="DX5" s="3">
        <v>0</v>
      </c>
      <c r="DY5" s="3">
        <f t="shared" ref="DY5:DY11" si="43">DT5+DW5-DX5</f>
        <v>24</v>
      </c>
      <c r="DZ5" s="3">
        <f t="shared" ref="DZ5:DZ8" si="44">DU5+DV5-DW5</f>
        <v>14</v>
      </c>
      <c r="EA5" s="3"/>
      <c r="EB5" s="3">
        <v>0</v>
      </c>
      <c r="EC5" s="3">
        <v>0</v>
      </c>
      <c r="ED5" s="3">
        <f t="shared" ref="ED5:ED11" si="45">DY5+EB5-EC5</f>
        <v>24</v>
      </c>
      <c r="EE5" s="3">
        <f t="shared" ref="EE5:EE8" si="46">DZ5+EA5-EB5</f>
        <v>14</v>
      </c>
      <c r="EF5" s="3"/>
      <c r="EG5" s="3">
        <v>0</v>
      </c>
      <c r="EH5" s="3">
        <v>0</v>
      </c>
      <c r="EI5" s="3">
        <f t="shared" ref="EI5:EI11" si="47">ED5+EG5-EH5</f>
        <v>24</v>
      </c>
      <c r="EJ5" s="3">
        <f t="shared" ref="EJ5:EJ8" si="48">EE5+EF5-EG5</f>
        <v>14</v>
      </c>
      <c r="EK5" s="3"/>
      <c r="EL5" s="3">
        <v>0</v>
      </c>
      <c r="EM5" s="3">
        <v>0</v>
      </c>
    </row>
    <row r="6" spans="1:143" x14ac:dyDescent="0.35">
      <c r="A6" s="3">
        <v>0</v>
      </c>
      <c r="B6" s="2" t="s">
        <v>2</v>
      </c>
      <c r="C6" s="2" t="s">
        <v>15</v>
      </c>
      <c r="D6" s="3">
        <f t="shared" si="0"/>
        <v>0</v>
      </c>
      <c r="E6" s="3">
        <v>28</v>
      </c>
      <c r="F6" s="3">
        <f>168+42</f>
        <v>210</v>
      </c>
      <c r="G6" s="3">
        <v>220</v>
      </c>
      <c r="H6" s="3">
        <v>220</v>
      </c>
      <c r="I6" s="3">
        <f t="shared" si="1"/>
        <v>0</v>
      </c>
      <c r="J6" s="3">
        <f t="shared" si="2"/>
        <v>18</v>
      </c>
      <c r="K6" s="3">
        <v>196</v>
      </c>
      <c r="L6" s="3">
        <v>238</v>
      </c>
      <c r="M6" s="3">
        <v>207</v>
      </c>
      <c r="N6" s="3">
        <f t="shared" si="3"/>
        <v>31</v>
      </c>
      <c r="O6" s="3">
        <f t="shared" si="4"/>
        <v>-24</v>
      </c>
      <c r="P6" s="3">
        <v>210</v>
      </c>
      <c r="Q6" s="3">
        <v>224</v>
      </c>
      <c r="R6" s="3">
        <v>213</v>
      </c>
      <c r="S6" s="3">
        <f t="shared" si="5"/>
        <v>42</v>
      </c>
      <c r="T6" s="3">
        <f t="shared" si="6"/>
        <v>-38</v>
      </c>
      <c r="U6" s="3">
        <v>294</v>
      </c>
      <c r="V6" s="3">
        <v>178</v>
      </c>
      <c r="W6" s="3">
        <v>144</v>
      </c>
      <c r="X6" s="3">
        <f t="shared" si="7"/>
        <v>76</v>
      </c>
      <c r="Y6" s="3">
        <f t="shared" si="8"/>
        <v>78</v>
      </c>
      <c r="Z6" s="3">
        <v>112</v>
      </c>
      <c r="AA6" s="3">
        <v>154</v>
      </c>
      <c r="AB6" s="3">
        <v>188</v>
      </c>
      <c r="AC6" s="3">
        <f t="shared" si="9"/>
        <v>42</v>
      </c>
      <c r="AD6" s="3">
        <f t="shared" si="10"/>
        <v>36</v>
      </c>
      <c r="AE6" s="3">
        <v>196</v>
      </c>
      <c r="AF6" s="3">
        <v>0</v>
      </c>
      <c r="AG6" s="3">
        <v>0</v>
      </c>
      <c r="AH6" s="10">
        <f t="shared" si="11"/>
        <v>42</v>
      </c>
      <c r="AI6" s="10">
        <f t="shared" si="12"/>
        <v>232</v>
      </c>
      <c r="AJ6" s="10">
        <v>0</v>
      </c>
      <c r="AK6" s="10">
        <v>0</v>
      </c>
      <c r="AL6" s="10">
        <v>0</v>
      </c>
      <c r="AM6" s="3">
        <f t="shared" si="13"/>
        <v>42</v>
      </c>
      <c r="AN6" s="3">
        <f t="shared" si="14"/>
        <v>232</v>
      </c>
      <c r="AO6" s="3">
        <v>98</v>
      </c>
      <c r="AP6" s="3">
        <v>210</v>
      </c>
      <c r="AQ6" s="3">
        <v>220</v>
      </c>
      <c r="AR6" s="3">
        <f t="shared" si="15"/>
        <v>32</v>
      </c>
      <c r="AS6" s="3">
        <f t="shared" si="16"/>
        <v>120</v>
      </c>
      <c r="AT6" s="3">
        <v>182</v>
      </c>
      <c r="AU6" s="3">
        <v>182</v>
      </c>
      <c r="AV6" s="3">
        <v>189</v>
      </c>
      <c r="AW6" s="3">
        <f t="shared" si="17"/>
        <v>25</v>
      </c>
      <c r="AX6" s="3">
        <f t="shared" si="18"/>
        <v>120</v>
      </c>
      <c r="AY6" s="3">
        <v>154</v>
      </c>
      <c r="AZ6" s="3">
        <v>210</v>
      </c>
      <c r="BA6" s="3">
        <v>189</v>
      </c>
      <c r="BB6" s="3">
        <f t="shared" si="19"/>
        <v>46</v>
      </c>
      <c r="BC6" s="3">
        <v>112</v>
      </c>
      <c r="BD6" s="3">
        <f>14+168</f>
        <v>182</v>
      </c>
      <c r="BE6" s="3">
        <v>252</v>
      </c>
      <c r="BF6" s="3">
        <v>269</v>
      </c>
      <c r="BG6" s="3">
        <f t="shared" si="20"/>
        <v>29</v>
      </c>
      <c r="BH6" s="3">
        <f t="shared" si="21"/>
        <v>42</v>
      </c>
      <c r="BI6" s="3">
        <v>154</v>
      </c>
      <c r="BJ6" s="3">
        <v>0</v>
      </c>
      <c r="BK6" s="3">
        <v>0</v>
      </c>
      <c r="BL6" s="3">
        <f t="shared" si="22"/>
        <v>29</v>
      </c>
      <c r="BM6" s="3">
        <f t="shared" si="23"/>
        <v>196</v>
      </c>
      <c r="BN6" s="3">
        <v>98</v>
      </c>
      <c r="BO6" s="3">
        <v>0</v>
      </c>
      <c r="BP6" s="3">
        <v>0</v>
      </c>
      <c r="BQ6" s="3">
        <f t="shared" si="24"/>
        <v>29</v>
      </c>
      <c r="BR6" s="3">
        <v>224</v>
      </c>
      <c r="BS6" s="3">
        <v>70</v>
      </c>
      <c r="BT6" s="3">
        <v>262</v>
      </c>
      <c r="BU6" s="3">
        <v>238</v>
      </c>
      <c r="BV6" s="3">
        <f t="shared" si="26"/>
        <v>53</v>
      </c>
      <c r="BW6" s="3">
        <v>56</v>
      </c>
      <c r="BX6" s="3">
        <f>196+98</f>
        <v>294</v>
      </c>
      <c r="BY6" s="3">
        <v>266</v>
      </c>
      <c r="BZ6" s="3">
        <v>303</v>
      </c>
      <c r="CA6" s="3">
        <f t="shared" si="28"/>
        <v>16</v>
      </c>
      <c r="CB6" s="3">
        <f t="shared" si="29"/>
        <v>84</v>
      </c>
      <c r="CC6" s="3">
        <f>266+140</f>
        <v>406</v>
      </c>
      <c r="CD6" s="3">
        <v>322</v>
      </c>
      <c r="CE6" s="3">
        <v>323</v>
      </c>
      <c r="CF6" s="3">
        <v>42</v>
      </c>
      <c r="CG6" s="3">
        <v>112</v>
      </c>
      <c r="CH6" s="3">
        <f>154+140</f>
        <v>294</v>
      </c>
      <c r="CI6" s="3">
        <v>224</v>
      </c>
      <c r="CJ6" s="3">
        <v>243</v>
      </c>
      <c r="CK6" s="3">
        <f t="shared" si="31"/>
        <v>23</v>
      </c>
      <c r="CL6" s="3">
        <v>140</v>
      </c>
      <c r="CM6" s="3">
        <v>252</v>
      </c>
      <c r="CN6" s="3">
        <v>238</v>
      </c>
      <c r="CO6" s="3">
        <v>235</v>
      </c>
      <c r="CP6" s="3">
        <f t="shared" si="32"/>
        <v>26</v>
      </c>
      <c r="CQ6" s="3">
        <f t="shared" si="33"/>
        <v>154</v>
      </c>
      <c r="CR6" s="3">
        <v>182</v>
      </c>
      <c r="CS6" s="3">
        <v>210</v>
      </c>
      <c r="CT6" s="3">
        <v>155</v>
      </c>
      <c r="CU6" s="3">
        <f t="shared" si="34"/>
        <v>81</v>
      </c>
      <c r="CV6" s="3">
        <f t="shared" si="35"/>
        <v>126</v>
      </c>
      <c r="CW6" s="3">
        <v>0</v>
      </c>
      <c r="CX6" s="3">
        <v>0</v>
      </c>
      <c r="CY6" s="3">
        <v>0</v>
      </c>
      <c r="CZ6" s="12">
        <v>124</v>
      </c>
      <c r="DA6" s="13">
        <v>126</v>
      </c>
      <c r="DB6" s="3">
        <v>0</v>
      </c>
      <c r="DC6" s="3">
        <v>0</v>
      </c>
      <c r="DD6" s="3">
        <v>0</v>
      </c>
      <c r="DE6" s="3">
        <f t="shared" si="36"/>
        <v>124</v>
      </c>
      <c r="DF6" s="3">
        <f t="shared" si="37"/>
        <v>126</v>
      </c>
      <c r="DG6" s="3"/>
      <c r="DH6" s="3">
        <v>0</v>
      </c>
      <c r="DI6" s="3">
        <v>0</v>
      </c>
      <c r="DJ6" s="3">
        <f t="shared" si="38"/>
        <v>124</v>
      </c>
      <c r="DK6" s="3">
        <f t="shared" si="39"/>
        <v>126</v>
      </c>
      <c r="DL6" s="3"/>
      <c r="DM6" s="3">
        <v>0</v>
      </c>
      <c r="DN6" s="3">
        <v>0</v>
      </c>
      <c r="DO6" s="3">
        <f t="shared" ref="DO6:DO11" si="49">DJ6+DM6-DN6</f>
        <v>124</v>
      </c>
      <c r="DP6" s="3">
        <f t="shared" si="40"/>
        <v>126</v>
      </c>
      <c r="DQ6" s="3">
        <v>0</v>
      </c>
      <c r="DR6" s="3">
        <v>0</v>
      </c>
      <c r="DS6" s="3">
        <v>0</v>
      </c>
      <c r="DT6" s="3">
        <f t="shared" si="41"/>
        <v>124</v>
      </c>
      <c r="DU6" s="3">
        <f t="shared" si="42"/>
        <v>126</v>
      </c>
      <c r="DV6" s="3"/>
      <c r="DW6" s="3">
        <v>0</v>
      </c>
      <c r="DX6" s="3">
        <v>0</v>
      </c>
      <c r="DY6" s="3">
        <f t="shared" si="43"/>
        <v>124</v>
      </c>
      <c r="DZ6" s="3">
        <f t="shared" si="44"/>
        <v>126</v>
      </c>
      <c r="EA6" s="3"/>
      <c r="EB6" s="3">
        <v>56</v>
      </c>
      <c r="EC6" s="3">
        <v>54</v>
      </c>
      <c r="ED6" s="3">
        <f t="shared" si="45"/>
        <v>126</v>
      </c>
      <c r="EE6" s="3">
        <f t="shared" si="46"/>
        <v>70</v>
      </c>
      <c r="EF6" s="3">
        <v>140</v>
      </c>
      <c r="EG6" s="3">
        <v>70</v>
      </c>
      <c r="EH6" s="3">
        <v>63</v>
      </c>
      <c r="EI6" s="3">
        <f t="shared" si="47"/>
        <v>133</v>
      </c>
      <c r="EJ6" s="3">
        <f t="shared" si="48"/>
        <v>140</v>
      </c>
      <c r="EK6" s="3"/>
      <c r="EL6" s="3">
        <v>0</v>
      </c>
      <c r="EM6" s="3">
        <v>141</v>
      </c>
    </row>
    <row r="7" spans="1:143" x14ac:dyDescent="0.35">
      <c r="A7" s="3">
        <v>22</v>
      </c>
      <c r="B7" s="2" t="s">
        <v>3</v>
      </c>
      <c r="C7" s="2" t="s">
        <v>16</v>
      </c>
      <c r="D7" s="3">
        <f t="shared" si="0"/>
        <v>22</v>
      </c>
      <c r="E7" s="3">
        <v>28</v>
      </c>
      <c r="F7" s="3">
        <v>0</v>
      </c>
      <c r="G7" s="3">
        <v>14</v>
      </c>
      <c r="H7" s="3">
        <v>19</v>
      </c>
      <c r="I7" s="3">
        <f t="shared" si="1"/>
        <v>17</v>
      </c>
      <c r="J7" s="3">
        <f t="shared" si="2"/>
        <v>14</v>
      </c>
      <c r="K7" s="3">
        <v>14</v>
      </c>
      <c r="L7" s="3">
        <v>14</v>
      </c>
      <c r="M7" s="3">
        <v>19</v>
      </c>
      <c r="N7" s="3">
        <f t="shared" si="3"/>
        <v>12</v>
      </c>
      <c r="O7" s="3">
        <f t="shared" si="4"/>
        <v>14</v>
      </c>
      <c r="P7" s="3">
        <v>28</v>
      </c>
      <c r="Q7" s="3">
        <v>28</v>
      </c>
      <c r="R7" s="3">
        <v>28</v>
      </c>
      <c r="S7" s="3">
        <f t="shared" si="5"/>
        <v>12</v>
      </c>
      <c r="T7" s="3">
        <f t="shared" si="6"/>
        <v>14</v>
      </c>
      <c r="U7" s="3">
        <v>28</v>
      </c>
      <c r="V7" s="3">
        <v>28</v>
      </c>
      <c r="W7" s="3">
        <v>7</v>
      </c>
      <c r="X7" s="3">
        <f t="shared" si="7"/>
        <v>33</v>
      </c>
      <c r="Y7" s="3">
        <f t="shared" si="8"/>
        <v>14</v>
      </c>
      <c r="Z7" s="3">
        <v>42</v>
      </c>
      <c r="AA7" s="3">
        <v>0</v>
      </c>
      <c r="AB7" s="3">
        <v>10</v>
      </c>
      <c r="AC7" s="3">
        <f t="shared" si="9"/>
        <v>23</v>
      </c>
      <c r="AD7" s="3">
        <f t="shared" si="10"/>
        <v>56</v>
      </c>
      <c r="AE7" s="3">
        <v>0</v>
      </c>
      <c r="AF7" s="3">
        <v>0</v>
      </c>
      <c r="AG7" s="3">
        <v>0</v>
      </c>
      <c r="AH7" s="10">
        <f t="shared" si="11"/>
        <v>23</v>
      </c>
      <c r="AI7" s="10">
        <f t="shared" si="12"/>
        <v>56</v>
      </c>
      <c r="AJ7" s="10">
        <v>0</v>
      </c>
      <c r="AK7" s="10">
        <v>0</v>
      </c>
      <c r="AL7" s="10">
        <v>0</v>
      </c>
      <c r="AM7" s="3">
        <f t="shared" si="13"/>
        <v>23</v>
      </c>
      <c r="AN7" s="3">
        <f t="shared" si="14"/>
        <v>56</v>
      </c>
      <c r="AO7" s="3">
        <v>14</v>
      </c>
      <c r="AP7" s="3">
        <v>42</v>
      </c>
      <c r="AQ7" s="3">
        <v>43</v>
      </c>
      <c r="AR7" s="3">
        <f t="shared" si="15"/>
        <v>22</v>
      </c>
      <c r="AS7" s="3">
        <f t="shared" si="16"/>
        <v>28</v>
      </c>
      <c r="AT7" s="3">
        <v>28</v>
      </c>
      <c r="AU7" s="3">
        <v>42</v>
      </c>
      <c r="AV7" s="3">
        <v>42</v>
      </c>
      <c r="AW7" s="3">
        <f t="shared" si="17"/>
        <v>22</v>
      </c>
      <c r="AX7" s="3">
        <f t="shared" si="18"/>
        <v>14</v>
      </c>
      <c r="AY7" s="3">
        <v>70</v>
      </c>
      <c r="AZ7" s="3">
        <v>84</v>
      </c>
      <c r="BA7" s="3">
        <v>50</v>
      </c>
      <c r="BB7" s="3">
        <f t="shared" si="19"/>
        <v>56</v>
      </c>
      <c r="BC7" s="3">
        <v>28</v>
      </c>
      <c r="BD7" s="3">
        <v>42</v>
      </c>
      <c r="BE7" s="3">
        <v>56</v>
      </c>
      <c r="BF7" s="3">
        <v>38</v>
      </c>
      <c r="BG7" s="3">
        <f t="shared" si="20"/>
        <v>74</v>
      </c>
      <c r="BH7" s="3">
        <f t="shared" si="21"/>
        <v>14</v>
      </c>
      <c r="BI7" s="3">
        <v>42</v>
      </c>
      <c r="BJ7" s="3">
        <v>0</v>
      </c>
      <c r="BK7" s="3">
        <v>0</v>
      </c>
      <c r="BL7" s="3">
        <f t="shared" si="22"/>
        <v>74</v>
      </c>
      <c r="BM7" s="3">
        <f t="shared" si="23"/>
        <v>56</v>
      </c>
      <c r="BN7" s="3"/>
      <c r="BO7" s="3">
        <v>0</v>
      </c>
      <c r="BP7" s="3">
        <v>0</v>
      </c>
      <c r="BQ7" s="3">
        <f t="shared" si="24"/>
        <v>74</v>
      </c>
      <c r="BR7" s="3">
        <v>42</v>
      </c>
      <c r="BS7" s="3">
        <v>42</v>
      </c>
      <c r="BT7" s="3">
        <v>28</v>
      </c>
      <c r="BU7" s="3">
        <v>30</v>
      </c>
      <c r="BV7" s="3">
        <f t="shared" si="26"/>
        <v>72</v>
      </c>
      <c r="BW7" s="3">
        <v>28</v>
      </c>
      <c r="BX7" s="3">
        <v>0</v>
      </c>
      <c r="BY7" s="3">
        <v>14</v>
      </c>
      <c r="BZ7" s="3">
        <v>32</v>
      </c>
      <c r="CA7" s="3">
        <f t="shared" si="28"/>
        <v>54</v>
      </c>
      <c r="CB7" s="3">
        <f t="shared" si="29"/>
        <v>14</v>
      </c>
      <c r="CC7" s="3"/>
      <c r="CD7" s="3">
        <v>42</v>
      </c>
      <c r="CE7" s="3">
        <v>50</v>
      </c>
      <c r="CF7" s="3">
        <f t="shared" si="30"/>
        <v>46</v>
      </c>
      <c r="CG7" s="3">
        <v>0</v>
      </c>
      <c r="CH7" s="3">
        <f>84+28</f>
        <v>112</v>
      </c>
      <c r="CI7" s="3">
        <v>70</v>
      </c>
      <c r="CJ7" s="3">
        <v>51</v>
      </c>
      <c r="CK7" s="3">
        <f t="shared" si="31"/>
        <v>65</v>
      </c>
      <c r="CL7" s="3">
        <v>42</v>
      </c>
      <c r="CM7" s="3">
        <v>42</v>
      </c>
      <c r="CN7" s="3">
        <v>14</v>
      </c>
      <c r="CO7" s="3">
        <v>14</v>
      </c>
      <c r="CP7" s="3">
        <f t="shared" si="32"/>
        <v>65</v>
      </c>
      <c r="CQ7" s="3">
        <f t="shared" si="33"/>
        <v>70</v>
      </c>
      <c r="CR7" s="3">
        <v>14</v>
      </c>
      <c r="CS7" s="3">
        <v>0</v>
      </c>
      <c r="CT7" s="3">
        <v>3</v>
      </c>
      <c r="CU7" s="3">
        <f t="shared" si="34"/>
        <v>62</v>
      </c>
      <c r="CV7" s="3">
        <f t="shared" si="35"/>
        <v>84</v>
      </c>
      <c r="CW7" s="3">
        <v>0</v>
      </c>
      <c r="CX7" s="3">
        <v>0</v>
      </c>
      <c r="CY7" s="3">
        <v>0</v>
      </c>
      <c r="CZ7" s="12">
        <v>42</v>
      </c>
      <c r="DA7" s="13">
        <v>84</v>
      </c>
      <c r="DB7" s="3">
        <v>0</v>
      </c>
      <c r="DC7" s="3">
        <v>0</v>
      </c>
      <c r="DD7" s="3">
        <v>0</v>
      </c>
      <c r="DE7" s="3">
        <f t="shared" si="36"/>
        <v>42</v>
      </c>
      <c r="DF7" s="3">
        <f t="shared" si="37"/>
        <v>84</v>
      </c>
      <c r="DG7" s="3"/>
      <c r="DH7" s="3">
        <v>0</v>
      </c>
      <c r="DI7" s="3">
        <v>0</v>
      </c>
      <c r="DJ7" s="3">
        <f t="shared" si="38"/>
        <v>42</v>
      </c>
      <c r="DK7" s="3">
        <f t="shared" si="39"/>
        <v>84</v>
      </c>
      <c r="DL7" s="3"/>
      <c r="DM7" s="3">
        <v>0</v>
      </c>
      <c r="DN7" s="3">
        <v>0</v>
      </c>
      <c r="DO7" s="3">
        <f t="shared" si="49"/>
        <v>42</v>
      </c>
      <c r="DP7" s="3">
        <f t="shared" si="40"/>
        <v>84</v>
      </c>
      <c r="DQ7" s="3">
        <v>0</v>
      </c>
      <c r="DR7" s="3">
        <v>0</v>
      </c>
      <c r="DS7" s="3">
        <v>0</v>
      </c>
      <c r="DT7" s="3">
        <f t="shared" si="41"/>
        <v>42</v>
      </c>
      <c r="DU7" s="3">
        <f t="shared" si="42"/>
        <v>84</v>
      </c>
      <c r="DV7" s="3"/>
      <c r="DW7" s="3">
        <v>0</v>
      </c>
      <c r="DX7" s="3">
        <v>0</v>
      </c>
      <c r="DY7" s="3">
        <f t="shared" si="43"/>
        <v>42</v>
      </c>
      <c r="DZ7" s="3">
        <f t="shared" si="44"/>
        <v>84</v>
      </c>
      <c r="EA7" s="3"/>
      <c r="EB7" s="3">
        <v>0</v>
      </c>
      <c r="EC7" s="3">
        <v>2</v>
      </c>
      <c r="ED7" s="3">
        <f t="shared" si="45"/>
        <v>40</v>
      </c>
      <c r="EE7" s="3">
        <f t="shared" si="46"/>
        <v>84</v>
      </c>
      <c r="EF7" s="3"/>
      <c r="EG7" s="3">
        <v>0</v>
      </c>
      <c r="EH7" s="3">
        <v>2</v>
      </c>
      <c r="EI7" s="3">
        <f t="shared" si="47"/>
        <v>38</v>
      </c>
      <c r="EJ7" s="3">
        <f t="shared" si="48"/>
        <v>84</v>
      </c>
      <c r="EK7" s="3"/>
      <c r="EL7" s="3">
        <v>0</v>
      </c>
      <c r="EM7" s="3">
        <v>15</v>
      </c>
    </row>
    <row r="8" spans="1:143" x14ac:dyDescent="0.35">
      <c r="A8" s="3">
        <v>0</v>
      </c>
      <c r="B8" s="2" t="s">
        <v>4</v>
      </c>
      <c r="C8" s="2" t="s">
        <v>17</v>
      </c>
      <c r="D8" s="3">
        <f t="shared" si="0"/>
        <v>0</v>
      </c>
      <c r="E8" s="3">
        <v>0</v>
      </c>
      <c r="F8" s="3">
        <v>0</v>
      </c>
      <c r="G8" s="3">
        <v>0</v>
      </c>
      <c r="H8" s="3">
        <v>0</v>
      </c>
      <c r="I8" s="3">
        <f t="shared" si="1"/>
        <v>0</v>
      </c>
      <c r="J8" s="3">
        <f t="shared" si="2"/>
        <v>0</v>
      </c>
      <c r="K8" s="3">
        <v>0</v>
      </c>
      <c r="L8" s="3">
        <v>0</v>
      </c>
      <c r="M8" s="3">
        <v>0</v>
      </c>
      <c r="N8" s="3">
        <f t="shared" si="3"/>
        <v>0</v>
      </c>
      <c r="O8" s="3">
        <f t="shared" si="4"/>
        <v>0</v>
      </c>
      <c r="P8" s="3">
        <v>0</v>
      </c>
      <c r="Q8" s="3">
        <v>0</v>
      </c>
      <c r="R8" s="3">
        <v>0</v>
      </c>
      <c r="S8" s="3">
        <f t="shared" si="5"/>
        <v>0</v>
      </c>
      <c r="T8" s="3">
        <f t="shared" si="6"/>
        <v>0</v>
      </c>
      <c r="U8" s="3">
        <v>0</v>
      </c>
      <c r="V8" s="3">
        <v>0</v>
      </c>
      <c r="W8" s="3">
        <v>0</v>
      </c>
      <c r="X8" s="3">
        <f t="shared" si="7"/>
        <v>0</v>
      </c>
      <c r="Y8" s="3">
        <f t="shared" si="8"/>
        <v>0</v>
      </c>
      <c r="Z8" s="3">
        <v>0</v>
      </c>
      <c r="AA8" s="3">
        <v>0</v>
      </c>
      <c r="AB8" s="3">
        <v>0</v>
      </c>
      <c r="AC8" s="3">
        <f t="shared" si="9"/>
        <v>0</v>
      </c>
      <c r="AD8" s="3">
        <f t="shared" si="10"/>
        <v>0</v>
      </c>
      <c r="AE8" s="3">
        <v>0</v>
      </c>
      <c r="AF8" s="3">
        <v>0</v>
      </c>
      <c r="AG8" s="3">
        <v>0</v>
      </c>
      <c r="AH8" s="10">
        <f t="shared" si="11"/>
        <v>0</v>
      </c>
      <c r="AI8" s="10">
        <f t="shared" si="12"/>
        <v>0</v>
      </c>
      <c r="AJ8" s="10">
        <v>0</v>
      </c>
      <c r="AK8" s="10">
        <v>0</v>
      </c>
      <c r="AL8" s="10">
        <v>0</v>
      </c>
      <c r="AM8" s="3">
        <f t="shared" si="13"/>
        <v>0</v>
      </c>
      <c r="AN8" s="3">
        <f t="shared" si="14"/>
        <v>0</v>
      </c>
      <c r="AO8" s="3">
        <v>0</v>
      </c>
      <c r="AP8" s="3">
        <v>0</v>
      </c>
      <c r="AQ8" s="3">
        <v>0</v>
      </c>
      <c r="AR8" s="3">
        <f t="shared" si="15"/>
        <v>0</v>
      </c>
      <c r="AS8" s="3">
        <f t="shared" si="16"/>
        <v>0</v>
      </c>
      <c r="AT8" s="3">
        <v>0</v>
      </c>
      <c r="AU8" s="3">
        <v>0</v>
      </c>
      <c r="AV8" s="3">
        <v>0</v>
      </c>
      <c r="AW8" s="3">
        <f t="shared" si="17"/>
        <v>0</v>
      </c>
      <c r="AX8" s="3">
        <f t="shared" si="18"/>
        <v>0</v>
      </c>
      <c r="AY8" s="3">
        <v>0</v>
      </c>
      <c r="AZ8" s="3">
        <v>0</v>
      </c>
      <c r="BA8" s="3">
        <v>0</v>
      </c>
      <c r="BB8" s="3">
        <f t="shared" si="19"/>
        <v>0</v>
      </c>
      <c r="BC8" s="3">
        <f t="shared" ref="BC8" si="50">AX8+AY8-AZ8</f>
        <v>0</v>
      </c>
      <c r="BD8" s="3">
        <v>0</v>
      </c>
      <c r="BE8" s="3">
        <v>0</v>
      </c>
      <c r="BF8" s="3">
        <v>0</v>
      </c>
      <c r="BG8" s="3">
        <f t="shared" si="20"/>
        <v>0</v>
      </c>
      <c r="BH8" s="3">
        <f t="shared" si="21"/>
        <v>0</v>
      </c>
      <c r="BI8" s="3">
        <v>0</v>
      </c>
      <c r="BJ8" s="3">
        <v>0</v>
      </c>
      <c r="BK8" s="3">
        <v>0</v>
      </c>
      <c r="BL8" s="3">
        <f t="shared" si="22"/>
        <v>0</v>
      </c>
      <c r="BM8" s="3">
        <f t="shared" si="23"/>
        <v>0</v>
      </c>
      <c r="BN8" s="3"/>
      <c r="BO8" s="3">
        <v>0</v>
      </c>
      <c r="BP8" s="3">
        <v>0</v>
      </c>
      <c r="BQ8" s="3">
        <f t="shared" si="24"/>
        <v>0</v>
      </c>
      <c r="BR8" s="3">
        <f t="shared" si="25"/>
        <v>0</v>
      </c>
      <c r="BS8" s="3">
        <v>0</v>
      </c>
      <c r="BT8" s="3">
        <v>0</v>
      </c>
      <c r="BU8" s="3">
        <v>0</v>
      </c>
      <c r="BV8" s="3">
        <f t="shared" si="26"/>
        <v>0</v>
      </c>
      <c r="BW8" s="3">
        <f t="shared" si="27"/>
        <v>0</v>
      </c>
      <c r="BX8" s="3">
        <v>0</v>
      </c>
      <c r="BY8" s="3">
        <v>0</v>
      </c>
      <c r="BZ8" s="3">
        <v>0</v>
      </c>
      <c r="CA8" s="3">
        <f t="shared" si="28"/>
        <v>0</v>
      </c>
      <c r="CB8" s="3">
        <f t="shared" si="29"/>
        <v>0</v>
      </c>
      <c r="CC8" s="3"/>
      <c r="CD8" s="3">
        <v>0</v>
      </c>
      <c r="CE8" s="3">
        <v>0</v>
      </c>
      <c r="CF8" s="3">
        <f t="shared" si="30"/>
        <v>0</v>
      </c>
      <c r="CG8" s="3">
        <v>0</v>
      </c>
      <c r="CH8" s="3">
        <v>0</v>
      </c>
      <c r="CI8" s="3">
        <v>0</v>
      </c>
      <c r="CJ8" s="3">
        <v>0</v>
      </c>
      <c r="CK8" s="3">
        <f t="shared" si="31"/>
        <v>0</v>
      </c>
      <c r="CL8" s="3">
        <v>0</v>
      </c>
      <c r="CM8" s="3">
        <v>0</v>
      </c>
      <c r="CN8" s="3">
        <v>0</v>
      </c>
      <c r="CO8" s="3">
        <v>0</v>
      </c>
      <c r="CP8" s="3">
        <f t="shared" si="32"/>
        <v>0</v>
      </c>
      <c r="CQ8" s="3">
        <f t="shared" si="33"/>
        <v>0</v>
      </c>
      <c r="CR8" s="3">
        <v>0</v>
      </c>
      <c r="CS8" s="3">
        <v>0</v>
      </c>
      <c r="CT8" s="3">
        <v>0</v>
      </c>
      <c r="CU8" s="3">
        <f t="shared" si="34"/>
        <v>0</v>
      </c>
      <c r="CV8" s="3">
        <f t="shared" si="35"/>
        <v>0</v>
      </c>
      <c r="CW8" s="3">
        <v>0</v>
      </c>
      <c r="CX8" s="3">
        <v>0</v>
      </c>
      <c r="CY8" s="3">
        <v>0</v>
      </c>
      <c r="CZ8" s="12">
        <v>0</v>
      </c>
      <c r="DA8" s="13">
        <v>0</v>
      </c>
      <c r="DB8" s="3">
        <v>0</v>
      </c>
      <c r="DC8" s="3">
        <v>0</v>
      </c>
      <c r="DD8" s="3">
        <v>0</v>
      </c>
      <c r="DE8" s="3">
        <f t="shared" si="36"/>
        <v>0</v>
      </c>
      <c r="DF8" s="3">
        <f t="shared" si="37"/>
        <v>0</v>
      </c>
      <c r="DG8" s="3"/>
      <c r="DH8" s="3">
        <v>0</v>
      </c>
      <c r="DI8" s="3">
        <v>0</v>
      </c>
      <c r="DJ8" s="3">
        <f t="shared" si="38"/>
        <v>0</v>
      </c>
      <c r="DK8" s="3">
        <f t="shared" si="39"/>
        <v>0</v>
      </c>
      <c r="DL8" s="3"/>
      <c r="DM8" s="3">
        <v>0</v>
      </c>
      <c r="DN8" s="3">
        <v>0</v>
      </c>
      <c r="DO8" s="3">
        <f t="shared" si="49"/>
        <v>0</v>
      </c>
      <c r="DP8" s="3">
        <f t="shared" si="40"/>
        <v>0</v>
      </c>
      <c r="DQ8" s="3">
        <v>0</v>
      </c>
      <c r="DR8" s="3">
        <v>0</v>
      </c>
      <c r="DS8" s="3">
        <v>0</v>
      </c>
      <c r="DT8" s="3">
        <f t="shared" si="41"/>
        <v>0</v>
      </c>
      <c r="DU8" s="3">
        <f t="shared" si="42"/>
        <v>0</v>
      </c>
      <c r="DV8" s="3"/>
      <c r="DW8" s="3">
        <v>0</v>
      </c>
      <c r="DX8" s="3">
        <v>0</v>
      </c>
      <c r="DY8" s="3">
        <f t="shared" si="43"/>
        <v>0</v>
      </c>
      <c r="DZ8" s="3">
        <f t="shared" si="44"/>
        <v>0</v>
      </c>
      <c r="EA8" s="3"/>
      <c r="EB8" s="3">
        <v>0</v>
      </c>
      <c r="EC8" s="3">
        <v>0</v>
      </c>
      <c r="ED8" s="3">
        <f t="shared" si="45"/>
        <v>0</v>
      </c>
      <c r="EE8" s="3">
        <f t="shared" si="46"/>
        <v>0</v>
      </c>
      <c r="EF8" s="3"/>
      <c r="EG8" s="3">
        <v>0</v>
      </c>
      <c r="EH8" s="3">
        <v>0</v>
      </c>
      <c r="EI8" s="3">
        <f t="shared" si="47"/>
        <v>0</v>
      </c>
      <c r="EJ8" s="3">
        <f t="shared" si="48"/>
        <v>0</v>
      </c>
      <c r="EK8" s="3"/>
      <c r="EL8" s="3">
        <v>0</v>
      </c>
      <c r="EM8" s="3">
        <v>0</v>
      </c>
    </row>
    <row r="9" spans="1:143" x14ac:dyDescent="0.35">
      <c r="A9" s="3">
        <v>24</v>
      </c>
      <c r="B9" s="2" t="s">
        <v>5</v>
      </c>
      <c r="C9" s="2" t="s">
        <v>18</v>
      </c>
      <c r="D9" s="3">
        <f t="shared" si="0"/>
        <v>24</v>
      </c>
      <c r="E9" s="3">
        <v>28</v>
      </c>
      <c r="F9" s="3">
        <v>0</v>
      </c>
      <c r="G9" s="3">
        <v>0</v>
      </c>
      <c r="H9" s="3">
        <v>0</v>
      </c>
      <c r="I9" s="3">
        <f t="shared" si="1"/>
        <v>24</v>
      </c>
      <c r="J9" s="3">
        <f t="shared" si="2"/>
        <v>28</v>
      </c>
      <c r="K9" s="3">
        <v>0</v>
      </c>
      <c r="L9" s="3">
        <v>0</v>
      </c>
      <c r="M9" s="3">
        <v>6</v>
      </c>
      <c r="N9" s="3">
        <f t="shared" si="3"/>
        <v>18</v>
      </c>
      <c r="O9" s="3">
        <v>14</v>
      </c>
      <c r="P9" s="3">
        <v>0</v>
      </c>
      <c r="Q9" s="3">
        <v>14</v>
      </c>
      <c r="R9" s="3">
        <v>14</v>
      </c>
      <c r="S9" s="3">
        <f t="shared" si="5"/>
        <v>18</v>
      </c>
      <c r="T9" s="3">
        <v>14</v>
      </c>
      <c r="U9" s="3">
        <v>0</v>
      </c>
      <c r="V9" s="3">
        <v>0</v>
      </c>
      <c r="W9" s="3">
        <v>0</v>
      </c>
      <c r="X9" s="3">
        <f t="shared" si="7"/>
        <v>18</v>
      </c>
      <c r="Y9" s="3">
        <v>14</v>
      </c>
      <c r="Z9" s="3">
        <v>0</v>
      </c>
      <c r="AA9" s="3">
        <v>0</v>
      </c>
      <c r="AB9" s="3">
        <v>3</v>
      </c>
      <c r="AC9" s="3">
        <f t="shared" si="9"/>
        <v>15</v>
      </c>
      <c r="AD9" s="3">
        <v>14</v>
      </c>
      <c r="AE9" s="3">
        <v>0</v>
      </c>
      <c r="AF9" s="3">
        <v>0</v>
      </c>
      <c r="AG9" s="3">
        <v>0</v>
      </c>
      <c r="AH9" s="10">
        <f t="shared" si="11"/>
        <v>15</v>
      </c>
      <c r="AI9" s="10">
        <f t="shared" si="12"/>
        <v>14</v>
      </c>
      <c r="AJ9" s="10">
        <v>0</v>
      </c>
      <c r="AK9" s="10">
        <v>0</v>
      </c>
      <c r="AL9" s="10">
        <v>0</v>
      </c>
      <c r="AM9" s="3">
        <f t="shared" si="13"/>
        <v>15</v>
      </c>
      <c r="AN9" s="3">
        <v>14</v>
      </c>
      <c r="AO9" s="3">
        <v>0</v>
      </c>
      <c r="AP9" s="3">
        <v>0</v>
      </c>
      <c r="AQ9" s="3">
        <v>5</v>
      </c>
      <c r="AR9" s="3">
        <f t="shared" si="15"/>
        <v>10</v>
      </c>
      <c r="AS9" s="3">
        <v>14</v>
      </c>
      <c r="AT9" s="3">
        <v>14</v>
      </c>
      <c r="AU9" s="3">
        <v>14</v>
      </c>
      <c r="AV9" s="3">
        <v>2</v>
      </c>
      <c r="AW9" s="3">
        <f t="shared" si="17"/>
        <v>22</v>
      </c>
      <c r="AX9" s="3">
        <v>14</v>
      </c>
      <c r="AY9" s="3">
        <v>0</v>
      </c>
      <c r="AZ9" s="3">
        <v>0</v>
      </c>
      <c r="BA9" s="3">
        <v>1</v>
      </c>
      <c r="BB9" s="3">
        <f t="shared" si="19"/>
        <v>21</v>
      </c>
      <c r="BC9" s="3">
        <v>14</v>
      </c>
      <c r="BD9" s="3">
        <v>0</v>
      </c>
      <c r="BE9" s="3">
        <v>0</v>
      </c>
      <c r="BF9" s="3">
        <v>0</v>
      </c>
      <c r="BG9" s="3">
        <f t="shared" si="20"/>
        <v>21</v>
      </c>
      <c r="BH9" s="3">
        <v>14</v>
      </c>
      <c r="BI9" s="3">
        <v>0</v>
      </c>
      <c r="BJ9" s="3">
        <v>0</v>
      </c>
      <c r="BK9" s="3">
        <v>0</v>
      </c>
      <c r="BL9" s="3">
        <f t="shared" si="22"/>
        <v>21</v>
      </c>
      <c r="BM9" s="3">
        <v>14</v>
      </c>
      <c r="BN9" s="3"/>
      <c r="BO9" s="3">
        <v>0</v>
      </c>
      <c r="BP9" s="3">
        <v>0</v>
      </c>
      <c r="BQ9" s="3">
        <f t="shared" si="24"/>
        <v>21</v>
      </c>
      <c r="BR9" s="3">
        <v>14</v>
      </c>
      <c r="BS9" s="3">
        <v>0</v>
      </c>
      <c r="BT9" s="3">
        <v>0</v>
      </c>
      <c r="BU9" s="3">
        <v>0</v>
      </c>
      <c r="BV9" s="3">
        <f t="shared" si="26"/>
        <v>21</v>
      </c>
      <c r="BW9" s="3">
        <v>14</v>
      </c>
      <c r="BX9" s="3">
        <v>0</v>
      </c>
      <c r="BY9" s="3">
        <v>0</v>
      </c>
      <c r="BZ9" s="3">
        <v>0</v>
      </c>
      <c r="CA9" s="3">
        <f t="shared" si="28"/>
        <v>21</v>
      </c>
      <c r="CB9" s="3">
        <v>14</v>
      </c>
      <c r="CC9" s="3"/>
      <c r="CD9" s="3">
        <v>0</v>
      </c>
      <c r="CE9" s="3">
        <v>0</v>
      </c>
      <c r="CF9" s="3">
        <f t="shared" si="30"/>
        <v>21</v>
      </c>
      <c r="CG9" s="3">
        <v>14</v>
      </c>
      <c r="CH9" s="3">
        <v>0</v>
      </c>
      <c r="CI9" s="3">
        <v>0</v>
      </c>
      <c r="CJ9" s="3">
        <v>0</v>
      </c>
      <c r="CK9" s="3">
        <f t="shared" si="31"/>
        <v>21</v>
      </c>
      <c r="CL9" s="3">
        <v>14</v>
      </c>
      <c r="CM9" s="3">
        <v>0</v>
      </c>
      <c r="CN9" s="3">
        <v>0</v>
      </c>
      <c r="CO9" s="3">
        <v>1</v>
      </c>
      <c r="CP9" s="3">
        <f t="shared" si="32"/>
        <v>20</v>
      </c>
      <c r="CQ9" s="3">
        <v>14</v>
      </c>
      <c r="CR9" s="3">
        <v>0</v>
      </c>
      <c r="CS9" s="3">
        <v>0</v>
      </c>
      <c r="CT9" s="3">
        <v>0</v>
      </c>
      <c r="CU9" s="3">
        <f t="shared" si="34"/>
        <v>20</v>
      </c>
      <c r="CV9" s="3">
        <v>14</v>
      </c>
      <c r="CW9" s="3">
        <v>0</v>
      </c>
      <c r="CX9" s="3">
        <v>0</v>
      </c>
      <c r="CY9" s="3">
        <v>0</v>
      </c>
      <c r="CZ9" s="12">
        <v>14</v>
      </c>
      <c r="DA9" s="13">
        <v>14</v>
      </c>
      <c r="DB9" s="3">
        <v>0</v>
      </c>
      <c r="DC9" s="3">
        <v>0</v>
      </c>
      <c r="DD9" s="3">
        <v>0</v>
      </c>
      <c r="DE9" s="3">
        <f t="shared" si="36"/>
        <v>14</v>
      </c>
      <c r="DF9" s="3">
        <v>14</v>
      </c>
      <c r="DG9" s="3"/>
      <c r="DH9" s="3">
        <v>0</v>
      </c>
      <c r="DI9" s="3">
        <v>0</v>
      </c>
      <c r="DJ9" s="3">
        <f t="shared" si="38"/>
        <v>14</v>
      </c>
      <c r="DK9" s="3">
        <v>14</v>
      </c>
      <c r="DL9" s="3"/>
      <c r="DM9" s="3">
        <v>0</v>
      </c>
      <c r="DN9" s="3">
        <v>0</v>
      </c>
      <c r="DO9" s="3">
        <f t="shared" si="49"/>
        <v>14</v>
      </c>
      <c r="DP9" s="3">
        <v>14</v>
      </c>
      <c r="DQ9" s="3">
        <v>0</v>
      </c>
      <c r="DR9" s="3">
        <v>0</v>
      </c>
      <c r="DS9" s="3">
        <v>0</v>
      </c>
      <c r="DT9" s="3">
        <f t="shared" si="41"/>
        <v>14</v>
      </c>
      <c r="DU9" s="3">
        <v>14</v>
      </c>
      <c r="DV9" s="3"/>
      <c r="DW9" s="3">
        <v>0</v>
      </c>
      <c r="DX9" s="3">
        <v>0</v>
      </c>
      <c r="DY9" s="3">
        <f t="shared" si="43"/>
        <v>14</v>
      </c>
      <c r="DZ9" s="3">
        <v>14</v>
      </c>
      <c r="EA9" s="3">
        <v>14</v>
      </c>
      <c r="EB9" s="3">
        <v>14</v>
      </c>
      <c r="EC9" s="3">
        <v>6</v>
      </c>
      <c r="ED9" s="3">
        <f t="shared" si="45"/>
        <v>22</v>
      </c>
      <c r="EE9" s="3">
        <v>14</v>
      </c>
      <c r="EF9" s="3"/>
      <c r="EG9" s="3">
        <v>0</v>
      </c>
      <c r="EH9" s="3">
        <v>2</v>
      </c>
      <c r="EI9" s="3">
        <f t="shared" si="47"/>
        <v>20</v>
      </c>
      <c r="EJ9" s="3">
        <v>14</v>
      </c>
      <c r="EK9" s="3"/>
      <c r="EL9" s="3">
        <v>0</v>
      </c>
      <c r="EM9" s="3">
        <v>0</v>
      </c>
    </row>
    <row r="10" spans="1:143" x14ac:dyDescent="0.35">
      <c r="A10" s="3">
        <v>0</v>
      </c>
      <c r="B10" s="2" t="s">
        <v>6</v>
      </c>
      <c r="C10" s="2" t="s">
        <v>19</v>
      </c>
      <c r="D10" s="3">
        <f t="shared" si="0"/>
        <v>0</v>
      </c>
      <c r="E10" s="3">
        <v>34</v>
      </c>
      <c r="F10" s="3">
        <v>14</v>
      </c>
      <c r="G10" s="3">
        <v>24</v>
      </c>
      <c r="H10" s="3">
        <v>34</v>
      </c>
      <c r="I10" s="3">
        <f t="shared" si="1"/>
        <v>-10</v>
      </c>
      <c r="J10" s="3">
        <f t="shared" si="2"/>
        <v>24</v>
      </c>
      <c r="K10" s="3">
        <v>42</v>
      </c>
      <c r="L10" s="3">
        <v>38</v>
      </c>
      <c r="M10" s="3">
        <v>19</v>
      </c>
      <c r="N10" s="3">
        <f t="shared" si="3"/>
        <v>9</v>
      </c>
      <c r="O10" s="3">
        <f t="shared" si="4"/>
        <v>28</v>
      </c>
      <c r="P10" s="3">
        <v>28</v>
      </c>
      <c r="Q10" s="3">
        <v>42</v>
      </c>
      <c r="R10" s="3">
        <v>24</v>
      </c>
      <c r="S10" s="3">
        <f t="shared" si="5"/>
        <v>27</v>
      </c>
      <c r="T10" s="3">
        <f t="shared" ref="T10:T11" si="51">O10+P10-Q10</f>
        <v>14</v>
      </c>
      <c r="U10" s="3">
        <v>42</v>
      </c>
      <c r="V10" s="3">
        <v>42</v>
      </c>
      <c r="W10" s="3">
        <v>28</v>
      </c>
      <c r="X10" s="3">
        <f t="shared" si="7"/>
        <v>41</v>
      </c>
      <c r="Y10" s="3">
        <f t="shared" ref="Y10:Y11" si="52">T10+U10-V10</f>
        <v>14</v>
      </c>
      <c r="Z10" s="3">
        <v>42</v>
      </c>
      <c r="AA10" s="3">
        <v>0</v>
      </c>
      <c r="AB10" s="3">
        <v>12</v>
      </c>
      <c r="AC10" s="3">
        <f t="shared" si="9"/>
        <v>29</v>
      </c>
      <c r="AD10" s="3">
        <f t="shared" ref="AD10:AD11" si="53">Y10+Z10-AA10</f>
        <v>56</v>
      </c>
      <c r="AE10" s="3">
        <v>0</v>
      </c>
      <c r="AF10" s="3">
        <v>0</v>
      </c>
      <c r="AG10" s="3">
        <v>0</v>
      </c>
      <c r="AH10" s="10">
        <f t="shared" si="11"/>
        <v>29</v>
      </c>
      <c r="AI10" s="10">
        <f t="shared" si="12"/>
        <v>56</v>
      </c>
      <c r="AJ10" s="10">
        <v>0</v>
      </c>
      <c r="AK10" s="10">
        <v>0</v>
      </c>
      <c r="AL10" s="10">
        <v>0</v>
      </c>
      <c r="AM10" s="3">
        <f t="shared" si="13"/>
        <v>29</v>
      </c>
      <c r="AN10" s="3">
        <v>70</v>
      </c>
      <c r="AO10" s="3">
        <v>14</v>
      </c>
      <c r="AP10" s="3">
        <v>0</v>
      </c>
      <c r="AQ10" s="3">
        <v>26</v>
      </c>
      <c r="AR10" s="3">
        <f t="shared" si="15"/>
        <v>3</v>
      </c>
      <c r="AS10" s="3">
        <f t="shared" ref="AS10:AS11" si="54">AN10+AO10-AP10</f>
        <v>84</v>
      </c>
      <c r="AT10" s="3">
        <v>0</v>
      </c>
      <c r="AU10" s="3">
        <v>28</v>
      </c>
      <c r="AV10" s="3">
        <v>42</v>
      </c>
      <c r="AW10" s="3">
        <v>16</v>
      </c>
      <c r="AX10" s="3">
        <f t="shared" ref="AX10:AX11" si="55">AS10+AT10-AU10</f>
        <v>56</v>
      </c>
      <c r="AY10" s="3">
        <v>14</v>
      </c>
      <c r="AZ10" s="3">
        <v>42</v>
      </c>
      <c r="BA10" s="3">
        <v>27</v>
      </c>
      <c r="BB10" s="3">
        <f t="shared" si="19"/>
        <v>31</v>
      </c>
      <c r="BC10" s="3">
        <f t="shared" ref="BC10" si="56">AX10+AY10-AZ10</f>
        <v>28</v>
      </c>
      <c r="BD10" s="3">
        <v>56</v>
      </c>
      <c r="BE10" s="3">
        <v>56</v>
      </c>
      <c r="BF10" s="3">
        <v>37</v>
      </c>
      <c r="BG10" s="3">
        <f t="shared" si="20"/>
        <v>50</v>
      </c>
      <c r="BH10" s="3">
        <f t="shared" ref="BH10:BH11" si="57">BC10+BD10-BE10</f>
        <v>28</v>
      </c>
      <c r="BI10" s="3">
        <v>56</v>
      </c>
      <c r="BJ10" s="3">
        <v>0</v>
      </c>
      <c r="BK10" s="3">
        <v>0</v>
      </c>
      <c r="BL10" s="3">
        <f t="shared" si="22"/>
        <v>50</v>
      </c>
      <c r="BM10" s="3">
        <f t="shared" ref="BM10:BM11" si="58">BH10+BI10-BJ10</f>
        <v>84</v>
      </c>
      <c r="BN10" s="3"/>
      <c r="BO10" s="3">
        <v>0</v>
      </c>
      <c r="BP10" s="3">
        <v>0</v>
      </c>
      <c r="BQ10" s="3">
        <f t="shared" si="24"/>
        <v>50</v>
      </c>
      <c r="BR10" s="3">
        <v>56</v>
      </c>
      <c r="BS10" s="3">
        <v>0</v>
      </c>
      <c r="BT10" s="3">
        <v>0</v>
      </c>
      <c r="BU10" s="3">
        <v>3</v>
      </c>
      <c r="BV10" s="3">
        <f t="shared" si="26"/>
        <v>47</v>
      </c>
      <c r="BW10" s="3">
        <f t="shared" ref="BW10:BW11" si="59">BR10+BS10-BT10</f>
        <v>56</v>
      </c>
      <c r="BX10" s="3">
        <v>0</v>
      </c>
      <c r="BY10" s="3">
        <v>0</v>
      </c>
      <c r="BZ10" s="3">
        <v>1</v>
      </c>
      <c r="CA10" s="3">
        <f t="shared" si="28"/>
        <v>46</v>
      </c>
      <c r="CB10" s="3">
        <f t="shared" ref="CB10:CB11" si="60">BW10+BX10-BY10</f>
        <v>56</v>
      </c>
      <c r="CC10" s="3"/>
      <c r="CD10" s="3">
        <v>0</v>
      </c>
      <c r="CE10" s="3">
        <v>3</v>
      </c>
      <c r="CF10" s="3">
        <f t="shared" si="30"/>
        <v>43</v>
      </c>
      <c r="CG10" s="3">
        <v>56</v>
      </c>
      <c r="CH10" s="3">
        <v>28</v>
      </c>
      <c r="CI10" s="3">
        <v>0</v>
      </c>
      <c r="CJ10" s="3">
        <v>5</v>
      </c>
      <c r="CK10" s="3">
        <f t="shared" si="31"/>
        <v>38</v>
      </c>
      <c r="CL10" s="3">
        <v>84</v>
      </c>
      <c r="CM10" s="3">
        <v>0</v>
      </c>
      <c r="CN10" s="3">
        <v>42</v>
      </c>
      <c r="CO10" s="3">
        <v>52</v>
      </c>
      <c r="CP10" s="3">
        <f t="shared" si="32"/>
        <v>28</v>
      </c>
      <c r="CQ10" s="3">
        <f t="shared" ref="CQ10:CQ11" si="61">CL10+CM10-CN10</f>
        <v>42</v>
      </c>
      <c r="CR10" s="3">
        <v>28</v>
      </c>
      <c r="CS10" s="3">
        <v>14</v>
      </c>
      <c r="CT10" s="3">
        <v>10</v>
      </c>
      <c r="CU10" s="3">
        <f t="shared" si="34"/>
        <v>32</v>
      </c>
      <c r="CV10" s="3">
        <f t="shared" ref="CV10:CV11" si="62">CQ10+CR10-CS10</f>
        <v>56</v>
      </c>
      <c r="CW10" s="3">
        <v>0</v>
      </c>
      <c r="CX10" s="3">
        <v>0</v>
      </c>
      <c r="CY10" s="3">
        <v>0</v>
      </c>
      <c r="CZ10" s="12">
        <v>26</v>
      </c>
      <c r="DA10" s="13">
        <v>56</v>
      </c>
      <c r="DB10" s="3">
        <v>0</v>
      </c>
      <c r="DC10" s="3">
        <v>0</v>
      </c>
      <c r="DD10" s="3">
        <v>0</v>
      </c>
      <c r="DE10" s="3">
        <f t="shared" si="36"/>
        <v>26</v>
      </c>
      <c r="DF10" s="3">
        <f t="shared" ref="DF10:DF11" si="63">DA10+DB10-DC10</f>
        <v>56</v>
      </c>
      <c r="DG10" s="3"/>
      <c r="DH10" s="3">
        <v>0</v>
      </c>
      <c r="DI10" s="3">
        <v>0</v>
      </c>
      <c r="DJ10" s="3">
        <f t="shared" si="38"/>
        <v>26</v>
      </c>
      <c r="DK10" s="3">
        <f t="shared" ref="DK10:DK11" si="64">DF10+DG10-DH10</f>
        <v>56</v>
      </c>
      <c r="DL10" s="3"/>
      <c r="DM10" s="3">
        <v>0</v>
      </c>
      <c r="DN10" s="3">
        <v>0</v>
      </c>
      <c r="DO10" s="3">
        <f t="shared" si="49"/>
        <v>26</v>
      </c>
      <c r="DP10" s="3">
        <f t="shared" ref="DP10:DP11" si="65">DK10+DL10-DM10</f>
        <v>56</v>
      </c>
      <c r="DQ10" s="3">
        <v>0</v>
      </c>
      <c r="DR10" s="3">
        <v>0</v>
      </c>
      <c r="DS10" s="3">
        <v>0</v>
      </c>
      <c r="DT10" s="3">
        <f t="shared" si="41"/>
        <v>26</v>
      </c>
      <c r="DU10" s="3">
        <f t="shared" ref="DU10:DU11" si="66">DP10+DQ10-DR10</f>
        <v>56</v>
      </c>
      <c r="DV10" s="3"/>
      <c r="DW10" s="3">
        <v>0</v>
      </c>
      <c r="DX10" s="3">
        <v>0</v>
      </c>
      <c r="DY10" s="3">
        <f t="shared" si="43"/>
        <v>26</v>
      </c>
      <c r="DZ10" s="3">
        <f t="shared" ref="DZ10:DZ11" si="67">DU10+DV10-DW10</f>
        <v>56</v>
      </c>
      <c r="EA10" s="3">
        <v>14</v>
      </c>
      <c r="EB10" s="3">
        <v>38</v>
      </c>
      <c r="EC10" s="3">
        <v>30</v>
      </c>
      <c r="ED10" s="3">
        <f t="shared" si="45"/>
        <v>34</v>
      </c>
      <c r="EE10" s="3">
        <f t="shared" ref="EE10:EE11" si="68">DZ10+EA10-EB10</f>
        <v>32</v>
      </c>
      <c r="EF10" s="3">
        <v>14</v>
      </c>
      <c r="EG10" s="3">
        <v>14</v>
      </c>
      <c r="EH10" s="3">
        <v>12</v>
      </c>
      <c r="EI10" s="3">
        <f t="shared" si="47"/>
        <v>36</v>
      </c>
      <c r="EJ10" s="3">
        <f t="shared" ref="EJ10:EJ11" si="69">EE10+EF10-EG10</f>
        <v>32</v>
      </c>
      <c r="EK10" s="3"/>
      <c r="EL10" s="3">
        <v>0</v>
      </c>
      <c r="EM10" s="3">
        <v>0</v>
      </c>
    </row>
    <row r="11" spans="1:143" x14ac:dyDescent="0.35">
      <c r="A11" s="3">
        <v>0</v>
      </c>
      <c r="B11" s="2" t="s">
        <v>7</v>
      </c>
      <c r="C11" s="2" t="s">
        <v>20</v>
      </c>
      <c r="D11" s="3">
        <f t="shared" si="0"/>
        <v>0</v>
      </c>
      <c r="E11" s="3">
        <v>38</v>
      </c>
      <c r="F11" s="3">
        <v>0</v>
      </c>
      <c r="G11" s="3">
        <v>0</v>
      </c>
      <c r="H11" s="3">
        <v>19</v>
      </c>
      <c r="I11" s="3">
        <f t="shared" si="1"/>
        <v>-19</v>
      </c>
      <c r="J11" s="3">
        <f t="shared" si="2"/>
        <v>38</v>
      </c>
      <c r="K11" s="3">
        <v>0</v>
      </c>
      <c r="L11" s="3">
        <v>24</v>
      </c>
      <c r="M11" s="3">
        <v>15</v>
      </c>
      <c r="N11" s="3">
        <f t="shared" si="3"/>
        <v>-10</v>
      </c>
      <c r="O11" s="3">
        <f t="shared" si="4"/>
        <v>14</v>
      </c>
      <c r="P11" s="3">
        <v>0</v>
      </c>
      <c r="Q11" s="3">
        <v>0</v>
      </c>
      <c r="R11" s="3">
        <v>16</v>
      </c>
      <c r="S11" s="3">
        <f t="shared" si="5"/>
        <v>-26</v>
      </c>
      <c r="T11" s="3">
        <f t="shared" si="51"/>
        <v>14</v>
      </c>
      <c r="U11" s="3">
        <v>14</v>
      </c>
      <c r="V11" s="3">
        <v>14</v>
      </c>
      <c r="W11" s="3">
        <v>14</v>
      </c>
      <c r="X11" s="3">
        <f t="shared" si="7"/>
        <v>-26</v>
      </c>
      <c r="Y11" s="3">
        <f t="shared" si="52"/>
        <v>14</v>
      </c>
      <c r="Z11" s="3">
        <v>42</v>
      </c>
      <c r="AA11" s="3">
        <v>14</v>
      </c>
      <c r="AB11" s="3">
        <v>18</v>
      </c>
      <c r="AC11" s="3">
        <f t="shared" si="9"/>
        <v>-30</v>
      </c>
      <c r="AD11" s="3">
        <f t="shared" si="53"/>
        <v>42</v>
      </c>
      <c r="AE11" s="3">
        <v>0</v>
      </c>
      <c r="AF11" s="3">
        <v>0</v>
      </c>
      <c r="AG11" s="3">
        <v>0</v>
      </c>
      <c r="AH11" s="10">
        <f t="shared" si="11"/>
        <v>-30</v>
      </c>
      <c r="AI11" s="10">
        <f t="shared" si="12"/>
        <v>42</v>
      </c>
      <c r="AJ11" s="10">
        <v>0</v>
      </c>
      <c r="AK11" s="10">
        <v>0</v>
      </c>
      <c r="AL11" s="10">
        <v>0</v>
      </c>
      <c r="AM11" s="3">
        <f t="shared" si="13"/>
        <v>-30</v>
      </c>
      <c r="AN11" s="3">
        <v>56</v>
      </c>
      <c r="AO11" s="3">
        <v>0</v>
      </c>
      <c r="AP11" s="3">
        <v>0</v>
      </c>
      <c r="AQ11" s="3">
        <v>15</v>
      </c>
      <c r="AR11" s="3">
        <f t="shared" si="15"/>
        <v>-45</v>
      </c>
      <c r="AS11" s="3">
        <f t="shared" si="54"/>
        <v>56</v>
      </c>
      <c r="AT11" s="3">
        <v>0</v>
      </c>
      <c r="AU11" s="3">
        <v>0</v>
      </c>
      <c r="AV11" s="3">
        <v>8</v>
      </c>
      <c r="AW11" s="3">
        <f t="shared" si="17"/>
        <v>-53</v>
      </c>
      <c r="AX11" s="3">
        <f t="shared" si="55"/>
        <v>56</v>
      </c>
      <c r="AY11" s="3">
        <v>0</v>
      </c>
      <c r="AZ11" s="3">
        <v>14</v>
      </c>
      <c r="BA11" s="3">
        <v>9</v>
      </c>
      <c r="BB11" s="3">
        <f t="shared" si="19"/>
        <v>-48</v>
      </c>
      <c r="BC11" s="3">
        <v>56</v>
      </c>
      <c r="BD11" s="3">
        <v>0</v>
      </c>
      <c r="BE11" s="3">
        <v>0</v>
      </c>
      <c r="BF11" s="3">
        <v>0</v>
      </c>
      <c r="BG11" s="3">
        <f t="shared" si="20"/>
        <v>-48</v>
      </c>
      <c r="BH11" s="3">
        <f t="shared" si="57"/>
        <v>56</v>
      </c>
      <c r="BI11" s="3">
        <v>14</v>
      </c>
      <c r="BJ11" s="3">
        <v>0</v>
      </c>
      <c r="BK11" s="3">
        <v>0</v>
      </c>
      <c r="BL11" s="3">
        <f t="shared" si="22"/>
        <v>-48</v>
      </c>
      <c r="BM11" s="3">
        <f t="shared" si="58"/>
        <v>70</v>
      </c>
      <c r="BN11" s="3"/>
      <c r="BO11" s="3">
        <v>0</v>
      </c>
      <c r="BP11" s="3">
        <v>0</v>
      </c>
      <c r="BQ11" s="3">
        <f t="shared" si="24"/>
        <v>-48</v>
      </c>
      <c r="BR11" s="3">
        <v>42</v>
      </c>
      <c r="BS11" s="3">
        <v>0</v>
      </c>
      <c r="BT11" s="3">
        <v>0</v>
      </c>
      <c r="BU11" s="3">
        <v>5</v>
      </c>
      <c r="BV11" s="3">
        <f t="shared" si="26"/>
        <v>-53</v>
      </c>
      <c r="BW11" s="3">
        <f t="shared" si="59"/>
        <v>42</v>
      </c>
      <c r="BX11" s="3">
        <v>0</v>
      </c>
      <c r="BY11" s="3">
        <v>0</v>
      </c>
      <c r="BZ11" s="3">
        <v>3</v>
      </c>
      <c r="CA11" s="3">
        <f t="shared" si="28"/>
        <v>-56</v>
      </c>
      <c r="CB11" s="3">
        <f t="shared" si="60"/>
        <v>42</v>
      </c>
      <c r="CC11" s="3"/>
      <c r="CD11" s="3">
        <v>0</v>
      </c>
      <c r="CE11" s="3">
        <v>1</v>
      </c>
      <c r="CF11" s="3">
        <f t="shared" si="30"/>
        <v>-57</v>
      </c>
      <c r="CG11" s="3">
        <v>42</v>
      </c>
      <c r="CH11" s="3">
        <v>14</v>
      </c>
      <c r="CI11" s="3">
        <v>14</v>
      </c>
      <c r="CJ11" s="3">
        <v>9</v>
      </c>
      <c r="CK11" s="3">
        <f t="shared" si="31"/>
        <v>-52</v>
      </c>
      <c r="CL11" s="3">
        <v>42</v>
      </c>
      <c r="CM11" s="3">
        <v>56</v>
      </c>
      <c r="CN11" s="3">
        <v>14</v>
      </c>
      <c r="CO11" s="3">
        <v>3</v>
      </c>
      <c r="CP11" s="3">
        <f t="shared" si="32"/>
        <v>-41</v>
      </c>
      <c r="CQ11" s="3">
        <f t="shared" si="61"/>
        <v>84</v>
      </c>
      <c r="CR11" s="3">
        <v>14</v>
      </c>
      <c r="CS11" s="3">
        <v>66</v>
      </c>
      <c r="CT11" s="3">
        <v>49</v>
      </c>
      <c r="CU11" s="3">
        <f t="shared" si="34"/>
        <v>-24</v>
      </c>
      <c r="CV11" s="3">
        <f t="shared" si="62"/>
        <v>32</v>
      </c>
      <c r="CW11" s="3">
        <v>0</v>
      </c>
      <c r="CX11" s="3">
        <v>0</v>
      </c>
      <c r="CY11" s="3">
        <v>0</v>
      </c>
      <c r="CZ11" s="12">
        <v>66</v>
      </c>
      <c r="DA11" s="13">
        <v>28</v>
      </c>
      <c r="DB11" s="3">
        <v>0</v>
      </c>
      <c r="DC11" s="3">
        <v>0</v>
      </c>
      <c r="DD11" s="3">
        <v>0</v>
      </c>
      <c r="DE11" s="3">
        <f t="shared" si="36"/>
        <v>66</v>
      </c>
      <c r="DF11" s="3">
        <f t="shared" si="63"/>
        <v>28</v>
      </c>
      <c r="DG11" s="3"/>
      <c r="DH11" s="3">
        <v>0</v>
      </c>
      <c r="DI11" s="3">
        <v>0</v>
      </c>
      <c r="DJ11" s="3">
        <f t="shared" si="38"/>
        <v>66</v>
      </c>
      <c r="DK11" s="3">
        <f t="shared" si="64"/>
        <v>28</v>
      </c>
      <c r="DL11" s="3"/>
      <c r="DM11" s="3">
        <v>0</v>
      </c>
      <c r="DN11" s="3">
        <v>0</v>
      </c>
      <c r="DO11" s="3">
        <f t="shared" si="49"/>
        <v>66</v>
      </c>
      <c r="DP11" s="3">
        <f t="shared" si="65"/>
        <v>28</v>
      </c>
      <c r="DQ11" s="3">
        <v>0</v>
      </c>
      <c r="DR11" s="3">
        <v>0</v>
      </c>
      <c r="DS11" s="3">
        <v>0</v>
      </c>
      <c r="DT11" s="3">
        <f t="shared" si="41"/>
        <v>66</v>
      </c>
      <c r="DU11" s="3">
        <f t="shared" si="66"/>
        <v>28</v>
      </c>
      <c r="DV11" s="3"/>
      <c r="DW11" s="3">
        <v>0</v>
      </c>
      <c r="DX11" s="3">
        <v>0</v>
      </c>
      <c r="DY11" s="3">
        <f t="shared" si="43"/>
        <v>66</v>
      </c>
      <c r="DZ11" s="3">
        <f t="shared" si="67"/>
        <v>28</v>
      </c>
      <c r="EA11" s="3">
        <v>28</v>
      </c>
      <c r="EB11" s="3">
        <v>14</v>
      </c>
      <c r="EC11" s="3">
        <v>59</v>
      </c>
      <c r="ED11" s="3">
        <f t="shared" si="45"/>
        <v>21</v>
      </c>
      <c r="EE11" s="3">
        <f t="shared" si="68"/>
        <v>42</v>
      </c>
      <c r="EF11" s="3">
        <v>56</v>
      </c>
      <c r="EG11" s="3">
        <v>42</v>
      </c>
      <c r="EH11" s="3">
        <v>12</v>
      </c>
      <c r="EI11" s="3">
        <f t="shared" si="47"/>
        <v>51</v>
      </c>
      <c r="EJ11" s="3">
        <f t="shared" si="69"/>
        <v>56</v>
      </c>
      <c r="EK11" s="3"/>
      <c r="EL11" s="3">
        <v>0</v>
      </c>
      <c r="EM11" s="3">
        <v>0</v>
      </c>
    </row>
    <row r="12" spans="1:143" x14ac:dyDescent="0.35">
      <c r="B12" s="33" t="s">
        <v>32</v>
      </c>
      <c r="C12" s="33"/>
      <c r="D12" s="5">
        <f>SUM(D4:D11)</f>
        <v>66</v>
      </c>
      <c r="E12" s="5">
        <f>SUM(E4:E11)</f>
        <v>208</v>
      </c>
      <c r="F12" s="5">
        <f t="shared" ref="F12:H12" si="70">SUM(F4:F11)</f>
        <v>294</v>
      </c>
      <c r="G12" s="5">
        <f t="shared" si="70"/>
        <v>342</v>
      </c>
      <c r="H12" s="5">
        <f t="shared" si="70"/>
        <v>358</v>
      </c>
      <c r="I12" s="6">
        <f>SUM(I4:I11)</f>
        <v>50</v>
      </c>
      <c r="J12" s="6">
        <f>SUM(J4:J11)</f>
        <v>160</v>
      </c>
      <c r="K12" s="6">
        <f t="shared" ref="K12:M12" si="71">SUM(K4:K11)</f>
        <v>280</v>
      </c>
      <c r="L12" s="6">
        <f t="shared" si="71"/>
        <v>384</v>
      </c>
      <c r="M12" s="6">
        <f t="shared" si="71"/>
        <v>325</v>
      </c>
      <c r="N12" s="5">
        <f>SUM(N4:N11)</f>
        <v>109</v>
      </c>
      <c r="O12" s="5">
        <f>SUM(O4:O11)</f>
        <v>42</v>
      </c>
      <c r="P12" s="5">
        <f t="shared" ref="P12:R12" si="72">SUM(P4:P11)</f>
        <v>336</v>
      </c>
      <c r="Q12" s="5">
        <f t="shared" si="72"/>
        <v>360</v>
      </c>
      <c r="R12" s="5">
        <f t="shared" si="72"/>
        <v>347</v>
      </c>
      <c r="S12" s="6">
        <f>SUM(S4:S11)</f>
        <v>122</v>
      </c>
      <c r="T12" s="6">
        <f>SUM(T4:T11)</f>
        <v>32</v>
      </c>
      <c r="U12" s="6">
        <f t="shared" ref="U12:W12" si="73">SUM(U4:U11)</f>
        <v>462</v>
      </c>
      <c r="V12" s="6">
        <f t="shared" si="73"/>
        <v>318</v>
      </c>
      <c r="W12" s="6">
        <f t="shared" si="73"/>
        <v>227</v>
      </c>
      <c r="X12" s="5">
        <f>SUM(X4:X11)</f>
        <v>213</v>
      </c>
      <c r="Y12" s="5">
        <f>SUM(Y4:Y11)</f>
        <v>176</v>
      </c>
      <c r="Z12" s="5">
        <f t="shared" ref="Z12:AB12" si="74">SUM(Z4:Z11)</f>
        <v>266</v>
      </c>
      <c r="AA12" s="5">
        <f t="shared" si="74"/>
        <v>182</v>
      </c>
      <c r="AB12" s="5">
        <f t="shared" si="74"/>
        <v>260</v>
      </c>
      <c r="AC12" s="6">
        <f>SUM(AC4:AC11)</f>
        <v>135</v>
      </c>
      <c r="AD12" s="6">
        <f>SUM(AD4:AD11)</f>
        <v>260</v>
      </c>
      <c r="AE12" s="6">
        <f t="shared" ref="AE12:AG12" si="75">SUM(AE4:AE11)</f>
        <v>238</v>
      </c>
      <c r="AF12" s="6">
        <f t="shared" si="75"/>
        <v>0</v>
      </c>
      <c r="AG12" s="6">
        <f t="shared" si="75"/>
        <v>0</v>
      </c>
      <c r="AH12" s="9">
        <f>SUM(AH4:AH11)</f>
        <v>135</v>
      </c>
      <c r="AI12" s="9">
        <f>SUM(AI4:AI11)</f>
        <v>498</v>
      </c>
      <c r="AJ12" s="9">
        <f t="shared" ref="AJ12:AL12" si="76">SUM(AJ4:AJ11)</f>
        <v>0</v>
      </c>
      <c r="AK12" s="9">
        <f t="shared" si="76"/>
        <v>0</v>
      </c>
      <c r="AL12" s="9">
        <f t="shared" si="76"/>
        <v>0</v>
      </c>
      <c r="AM12" s="6">
        <f>SUM(AM4:AM11)</f>
        <v>135</v>
      </c>
      <c r="AN12" s="6">
        <f>SUM(AN4:AN11)</f>
        <v>526</v>
      </c>
      <c r="AO12" s="6">
        <f t="shared" ref="AO12:AQ12" si="77">SUM(AO4:AO11)</f>
        <v>140</v>
      </c>
      <c r="AP12" s="6">
        <f t="shared" si="77"/>
        <v>308</v>
      </c>
      <c r="AQ12" s="6">
        <f t="shared" si="77"/>
        <v>370</v>
      </c>
      <c r="AR12" s="5">
        <f>SUM(AR4:AR11)</f>
        <v>73</v>
      </c>
      <c r="AS12" s="5">
        <f>SUM(AS4:AS11)</f>
        <v>358</v>
      </c>
      <c r="AT12" s="5">
        <f t="shared" ref="AT12:AV12" si="78">SUM(AT4:AT11)</f>
        <v>266</v>
      </c>
      <c r="AU12" s="5">
        <f t="shared" si="78"/>
        <v>322</v>
      </c>
      <c r="AV12" s="5">
        <f t="shared" si="78"/>
        <v>370</v>
      </c>
      <c r="AW12" s="6">
        <f>SUM(AW4:AW11)</f>
        <v>52</v>
      </c>
      <c r="AX12" s="6">
        <f>SUM(AX4:AX11)</f>
        <v>302</v>
      </c>
      <c r="AY12" s="6">
        <f t="shared" ref="AY12:BA12" si="79">SUM(AY4:AY11)</f>
        <v>308</v>
      </c>
      <c r="AZ12" s="6">
        <f t="shared" si="79"/>
        <v>420</v>
      </c>
      <c r="BA12" s="6">
        <f t="shared" si="79"/>
        <v>351</v>
      </c>
      <c r="BB12" s="5">
        <f>SUM(BB4:BB11)</f>
        <v>121</v>
      </c>
      <c r="BC12" s="5">
        <f>SUM(BC4:BC11)</f>
        <v>294</v>
      </c>
      <c r="BD12" s="5">
        <f t="shared" ref="BD12:BE12" si="80">SUM(BD4:BD11)</f>
        <v>322</v>
      </c>
      <c r="BE12" s="5">
        <f t="shared" si="80"/>
        <v>434</v>
      </c>
      <c r="BF12" s="5"/>
      <c r="BG12" s="6">
        <f>SUM(BG4:BG11)</f>
        <v>161</v>
      </c>
      <c r="BH12" s="6">
        <f>SUM(BH4:BH11)</f>
        <v>182</v>
      </c>
      <c r="BI12" s="6">
        <f t="shared" ref="BI12:BK12" si="81">SUM(BI4:BI11)</f>
        <v>308</v>
      </c>
      <c r="BJ12" s="6">
        <f t="shared" si="81"/>
        <v>0</v>
      </c>
      <c r="BK12" s="6">
        <f t="shared" si="81"/>
        <v>0</v>
      </c>
      <c r="BL12" s="5">
        <f>SUM(BL4:BL11)</f>
        <v>161</v>
      </c>
      <c r="BM12" s="5">
        <f>SUM(BM4:BM11)</f>
        <v>490</v>
      </c>
      <c r="BN12" s="5">
        <f t="shared" ref="BN12:BP12" si="82">SUM(BN4:BN11)</f>
        <v>126</v>
      </c>
      <c r="BO12" s="5">
        <f t="shared" si="82"/>
        <v>0</v>
      </c>
      <c r="BP12" s="5">
        <f t="shared" si="82"/>
        <v>0</v>
      </c>
      <c r="BQ12" s="6">
        <f>SUM(BQ4:BQ11)</f>
        <v>161</v>
      </c>
      <c r="BR12" s="6">
        <f>SUM(BR4:BR11)</f>
        <v>462</v>
      </c>
      <c r="BS12" s="6">
        <f t="shared" ref="BS12:BU12" si="83">SUM(BS4:BS11)</f>
        <v>196</v>
      </c>
      <c r="BT12" s="6">
        <f t="shared" si="83"/>
        <v>402</v>
      </c>
      <c r="BU12" s="6">
        <f t="shared" si="83"/>
        <v>373</v>
      </c>
      <c r="BV12" s="5">
        <f>SUM(BV4:BV11)</f>
        <v>190</v>
      </c>
      <c r="BW12" s="5">
        <f>SUM(BW4:BW11)</f>
        <v>238</v>
      </c>
      <c r="BX12" s="5">
        <f t="shared" ref="BX12:BZ12" si="84">SUM(BX4:BX11)</f>
        <v>336</v>
      </c>
      <c r="BY12" s="5">
        <f t="shared" si="84"/>
        <v>322</v>
      </c>
      <c r="BZ12" s="5">
        <f t="shared" si="84"/>
        <v>377</v>
      </c>
      <c r="CA12" s="6">
        <f>SUM(CA4:CA11)</f>
        <v>135</v>
      </c>
      <c r="CB12" s="6">
        <f>SUM(CB4:CB11)</f>
        <v>252</v>
      </c>
      <c r="CC12" s="6">
        <f t="shared" ref="CC12:CE12" si="85">SUM(CC4:CC11)</f>
        <v>420</v>
      </c>
      <c r="CD12" s="6">
        <f t="shared" si="85"/>
        <v>392</v>
      </c>
      <c r="CE12" s="6">
        <f t="shared" si="85"/>
        <v>395</v>
      </c>
      <c r="CF12" s="5">
        <f>SUM(CF4:CF11)</f>
        <v>159</v>
      </c>
      <c r="CG12" s="5">
        <f>SUM(CG4:CG11)</f>
        <v>266</v>
      </c>
      <c r="CH12" s="5">
        <f t="shared" ref="CH12:CJ12" si="86">SUM(CH4:CH11)</f>
        <v>546</v>
      </c>
      <c r="CI12" s="5">
        <f t="shared" si="86"/>
        <v>364</v>
      </c>
      <c r="CJ12" s="5">
        <f t="shared" si="86"/>
        <v>404</v>
      </c>
      <c r="CK12" s="6">
        <f>SUM(CK4:CK11)</f>
        <v>119</v>
      </c>
      <c r="CL12" s="6">
        <f>SUM(CL4:CL11)</f>
        <v>378</v>
      </c>
      <c r="CM12" s="6">
        <f t="shared" ref="CM12:CO12" si="87">SUM(CM4:CM11)</f>
        <v>420</v>
      </c>
      <c r="CN12" s="6">
        <f t="shared" si="87"/>
        <v>364</v>
      </c>
      <c r="CO12" s="6">
        <f t="shared" si="87"/>
        <v>340</v>
      </c>
      <c r="CP12" s="5">
        <f>SUM(CP4:CP11)</f>
        <v>143</v>
      </c>
      <c r="CQ12" s="5">
        <f>SUM(CQ4:CQ11)</f>
        <v>434</v>
      </c>
      <c r="CR12" s="5">
        <f t="shared" ref="CR12:CT12" si="88">SUM(CR4:CR11)</f>
        <v>252</v>
      </c>
      <c r="CS12" s="5">
        <f t="shared" si="88"/>
        <v>318</v>
      </c>
      <c r="CT12" s="5">
        <f t="shared" si="88"/>
        <v>232</v>
      </c>
      <c r="CU12" s="6">
        <f>SUM(CU4:CU11)</f>
        <v>229</v>
      </c>
      <c r="CV12" s="6">
        <f>SUM(CV4:CV11)</f>
        <v>368</v>
      </c>
      <c r="CW12" s="6">
        <f t="shared" ref="CW12:CY12" si="89">SUM(CW4:CW11)</f>
        <v>0</v>
      </c>
      <c r="CX12" s="6">
        <f t="shared" si="89"/>
        <v>0</v>
      </c>
      <c r="CY12" s="6">
        <f t="shared" si="89"/>
        <v>0</v>
      </c>
      <c r="CZ12" s="5">
        <f>SUM(CZ4:CZ11)</f>
        <v>352</v>
      </c>
      <c r="DA12" s="5">
        <f>SUM(DA4:DA11)</f>
        <v>364</v>
      </c>
      <c r="DB12" s="5">
        <f t="shared" ref="DB12:DD12" si="90">SUM(DB4:DB11)</f>
        <v>0</v>
      </c>
      <c r="DC12" s="5">
        <f t="shared" si="90"/>
        <v>0</v>
      </c>
      <c r="DD12" s="5">
        <f t="shared" si="90"/>
        <v>0</v>
      </c>
      <c r="DE12" s="6">
        <f>SUM(DE4:DE11)</f>
        <v>352</v>
      </c>
      <c r="DF12" s="6">
        <f>SUM(DF4:DF11)</f>
        <v>364</v>
      </c>
      <c r="DG12" s="6">
        <f t="shared" ref="DG12:DI12" si="91">SUM(DG4:DG11)</f>
        <v>0</v>
      </c>
      <c r="DH12" s="6">
        <f t="shared" si="91"/>
        <v>0</v>
      </c>
      <c r="DI12" s="6">
        <f t="shared" si="91"/>
        <v>0</v>
      </c>
      <c r="DJ12" s="5">
        <f>SUM(DJ4:DJ11)</f>
        <v>352</v>
      </c>
      <c r="DK12" s="5">
        <f>SUM(DK4:DK11)</f>
        <v>364</v>
      </c>
      <c r="DL12" s="5">
        <f t="shared" ref="DL12:DN12" si="92">SUM(DL4:DL11)</f>
        <v>0</v>
      </c>
      <c r="DM12" s="5">
        <f t="shared" si="92"/>
        <v>0</v>
      </c>
      <c r="DN12" s="5">
        <f t="shared" si="92"/>
        <v>0</v>
      </c>
      <c r="DO12" s="6">
        <f>SUM(DO4:DO11)</f>
        <v>338</v>
      </c>
      <c r="DP12" s="6">
        <f>SUM(DP4:DP11)</f>
        <v>420</v>
      </c>
      <c r="DQ12" s="6">
        <f t="shared" ref="DQ12:DS12" si="93">SUM(DQ4:DQ11)</f>
        <v>0</v>
      </c>
      <c r="DR12" s="6">
        <f t="shared" si="93"/>
        <v>0</v>
      </c>
      <c r="DS12" s="6">
        <f t="shared" si="93"/>
        <v>0</v>
      </c>
      <c r="DT12" s="5">
        <f>SUM(DT4:DT11)</f>
        <v>338</v>
      </c>
      <c r="DU12" s="5">
        <f>SUM(DU4:DU11)</f>
        <v>420</v>
      </c>
      <c r="DV12" s="5">
        <f t="shared" ref="DV12:DX12" si="94">SUM(DV4:DV11)</f>
        <v>0</v>
      </c>
      <c r="DW12" s="5">
        <f t="shared" si="94"/>
        <v>0</v>
      </c>
      <c r="DX12" s="5">
        <f t="shared" si="94"/>
        <v>0</v>
      </c>
      <c r="DY12" s="6">
        <f>SUM(DY4:DY11)</f>
        <v>338</v>
      </c>
      <c r="DZ12" s="6">
        <f>SUM(DZ4:DZ11)</f>
        <v>420</v>
      </c>
      <c r="EA12" s="6">
        <f t="shared" ref="EA12:EC12" si="95">SUM(EA4:EA11)</f>
        <v>84</v>
      </c>
      <c r="EB12" s="6">
        <f t="shared" si="95"/>
        <v>150</v>
      </c>
      <c r="EC12" s="6">
        <f t="shared" si="95"/>
        <v>173</v>
      </c>
      <c r="ED12" s="5">
        <f>SUM(ED4:ED11)</f>
        <v>315</v>
      </c>
      <c r="EE12" s="5">
        <f>SUM(EE4:EE11)</f>
        <v>354</v>
      </c>
      <c r="EF12" s="5">
        <f t="shared" ref="EF12:EH12" si="96">SUM(EF4:EF11)</f>
        <v>238</v>
      </c>
      <c r="EG12" s="5">
        <f t="shared" si="96"/>
        <v>140</v>
      </c>
      <c r="EH12" s="5">
        <f t="shared" si="96"/>
        <v>107</v>
      </c>
      <c r="EI12" s="6">
        <f>SUM(EI4:EI11)</f>
        <v>348</v>
      </c>
      <c r="EJ12" s="6">
        <f>SUM(EJ4:EJ11)</f>
        <v>452</v>
      </c>
      <c r="EK12" s="6">
        <f t="shared" ref="EK12:EM12" si="97">SUM(EK4:EK11)</f>
        <v>0</v>
      </c>
      <c r="EL12" s="6">
        <f t="shared" si="97"/>
        <v>0</v>
      </c>
      <c r="EM12" s="6">
        <f t="shared" si="97"/>
        <v>181</v>
      </c>
    </row>
    <row r="13" spans="1:143" s="1" customFormat="1" ht="29" x14ac:dyDescent="0.35">
      <c r="B13" s="4" t="s">
        <v>21</v>
      </c>
      <c r="C13" s="4" t="s">
        <v>22</v>
      </c>
      <c r="D13" s="5" t="s">
        <v>23</v>
      </c>
      <c r="E13" s="5" t="s">
        <v>31</v>
      </c>
      <c r="F13" s="5" t="s">
        <v>34</v>
      </c>
      <c r="G13" s="5" t="s">
        <v>35</v>
      </c>
      <c r="H13" s="5" t="s">
        <v>33</v>
      </c>
      <c r="I13" s="6" t="s">
        <v>23</v>
      </c>
      <c r="J13" s="6" t="s">
        <v>31</v>
      </c>
      <c r="K13" s="6" t="s">
        <v>34</v>
      </c>
      <c r="L13" s="6" t="s">
        <v>35</v>
      </c>
      <c r="M13" s="6" t="s">
        <v>33</v>
      </c>
      <c r="N13" s="5" t="s">
        <v>23</v>
      </c>
      <c r="O13" s="5" t="s">
        <v>31</v>
      </c>
      <c r="P13" s="5" t="s">
        <v>34</v>
      </c>
      <c r="Q13" s="5" t="s">
        <v>35</v>
      </c>
      <c r="R13" s="5" t="s">
        <v>33</v>
      </c>
      <c r="S13" s="6" t="s">
        <v>23</v>
      </c>
      <c r="T13" s="6" t="s">
        <v>31</v>
      </c>
      <c r="U13" s="6" t="s">
        <v>34</v>
      </c>
      <c r="V13" s="6" t="s">
        <v>35</v>
      </c>
      <c r="W13" s="6" t="s">
        <v>33</v>
      </c>
      <c r="X13" s="5" t="s">
        <v>23</v>
      </c>
      <c r="Y13" s="5" t="s">
        <v>31</v>
      </c>
      <c r="Z13" s="5" t="s">
        <v>34</v>
      </c>
      <c r="AA13" s="5" t="s">
        <v>35</v>
      </c>
      <c r="AB13" s="5" t="s">
        <v>33</v>
      </c>
      <c r="AC13" s="6" t="s">
        <v>23</v>
      </c>
      <c r="AD13" s="6" t="s">
        <v>31</v>
      </c>
      <c r="AE13" s="6" t="s">
        <v>34</v>
      </c>
      <c r="AF13" s="6" t="s">
        <v>35</v>
      </c>
      <c r="AG13" s="6" t="s">
        <v>33</v>
      </c>
      <c r="AH13" s="9" t="s">
        <v>23</v>
      </c>
      <c r="AI13" s="9" t="s">
        <v>31</v>
      </c>
      <c r="AJ13" s="9" t="s">
        <v>34</v>
      </c>
      <c r="AK13" s="9" t="s">
        <v>35</v>
      </c>
      <c r="AL13" s="9" t="s">
        <v>33</v>
      </c>
      <c r="AM13" s="6" t="s">
        <v>23</v>
      </c>
      <c r="AN13" s="6" t="s">
        <v>31</v>
      </c>
      <c r="AO13" s="6" t="s">
        <v>34</v>
      </c>
      <c r="AP13" s="6" t="s">
        <v>35</v>
      </c>
      <c r="AQ13" s="6" t="s">
        <v>33</v>
      </c>
      <c r="AR13" s="5" t="s">
        <v>23</v>
      </c>
      <c r="AS13" s="5" t="s">
        <v>31</v>
      </c>
      <c r="AT13" s="5" t="s">
        <v>34</v>
      </c>
      <c r="AU13" s="5" t="s">
        <v>35</v>
      </c>
      <c r="AV13" s="5" t="s">
        <v>33</v>
      </c>
      <c r="AW13" s="6" t="s">
        <v>23</v>
      </c>
      <c r="AX13" s="6" t="s">
        <v>31</v>
      </c>
      <c r="AY13" s="6" t="s">
        <v>34</v>
      </c>
      <c r="AZ13" s="6" t="s">
        <v>35</v>
      </c>
      <c r="BA13" s="6" t="s">
        <v>33</v>
      </c>
      <c r="BB13" s="5" t="s">
        <v>23</v>
      </c>
      <c r="BC13" s="5" t="s">
        <v>31</v>
      </c>
      <c r="BD13" s="5" t="s">
        <v>34</v>
      </c>
      <c r="BE13" s="5" t="s">
        <v>35</v>
      </c>
      <c r="BF13" s="5" t="s">
        <v>33</v>
      </c>
      <c r="BG13" s="6" t="s">
        <v>23</v>
      </c>
      <c r="BH13" s="6" t="s">
        <v>31</v>
      </c>
      <c r="BI13" s="6" t="s">
        <v>34</v>
      </c>
      <c r="BJ13" s="6" t="s">
        <v>35</v>
      </c>
      <c r="BK13" s="6" t="s">
        <v>33</v>
      </c>
      <c r="BL13" s="5" t="s">
        <v>23</v>
      </c>
      <c r="BM13" s="5" t="s">
        <v>31</v>
      </c>
      <c r="BN13" s="5" t="s">
        <v>34</v>
      </c>
      <c r="BO13" s="5" t="s">
        <v>35</v>
      </c>
      <c r="BP13" s="5" t="s">
        <v>33</v>
      </c>
      <c r="BQ13" s="6" t="s">
        <v>23</v>
      </c>
      <c r="BR13" s="6" t="s">
        <v>31</v>
      </c>
      <c r="BS13" s="6" t="s">
        <v>34</v>
      </c>
      <c r="BT13" s="6" t="s">
        <v>35</v>
      </c>
      <c r="BU13" s="6" t="s">
        <v>33</v>
      </c>
      <c r="BV13" s="5" t="s">
        <v>23</v>
      </c>
      <c r="BW13" s="5" t="s">
        <v>31</v>
      </c>
      <c r="BX13" s="5" t="s">
        <v>34</v>
      </c>
      <c r="BY13" s="5" t="s">
        <v>35</v>
      </c>
      <c r="BZ13" s="5" t="s">
        <v>33</v>
      </c>
      <c r="CA13" s="6" t="s">
        <v>23</v>
      </c>
      <c r="CB13" s="6" t="s">
        <v>31</v>
      </c>
      <c r="CC13" s="6" t="s">
        <v>34</v>
      </c>
      <c r="CD13" s="6" t="s">
        <v>35</v>
      </c>
      <c r="CE13" s="6" t="s">
        <v>33</v>
      </c>
      <c r="CF13" s="5" t="s">
        <v>23</v>
      </c>
      <c r="CG13" s="5" t="s">
        <v>31</v>
      </c>
      <c r="CH13" s="5" t="s">
        <v>34</v>
      </c>
      <c r="CI13" s="5" t="s">
        <v>35</v>
      </c>
      <c r="CJ13" s="5" t="s">
        <v>33</v>
      </c>
      <c r="CK13" s="6" t="s">
        <v>23</v>
      </c>
      <c r="CL13" s="6" t="s">
        <v>31</v>
      </c>
      <c r="CM13" s="6" t="s">
        <v>34</v>
      </c>
      <c r="CN13" s="6" t="s">
        <v>35</v>
      </c>
      <c r="CO13" s="6" t="s">
        <v>33</v>
      </c>
      <c r="CP13" s="5" t="s">
        <v>23</v>
      </c>
      <c r="CQ13" s="5" t="s">
        <v>31</v>
      </c>
      <c r="CR13" s="5" t="s">
        <v>34</v>
      </c>
      <c r="CS13" s="5" t="s">
        <v>35</v>
      </c>
      <c r="CT13" s="5" t="s">
        <v>33</v>
      </c>
      <c r="CU13" s="6" t="s">
        <v>23</v>
      </c>
      <c r="CV13" s="6" t="s">
        <v>31</v>
      </c>
      <c r="CW13" s="6" t="s">
        <v>34</v>
      </c>
      <c r="CX13" s="6" t="s">
        <v>35</v>
      </c>
      <c r="CY13" s="6" t="s">
        <v>33</v>
      </c>
      <c r="CZ13" s="5" t="s">
        <v>23</v>
      </c>
      <c r="DA13" s="5" t="s">
        <v>31</v>
      </c>
      <c r="DB13" s="5" t="s">
        <v>34</v>
      </c>
      <c r="DC13" s="5" t="s">
        <v>35</v>
      </c>
      <c r="DD13" s="5" t="s">
        <v>33</v>
      </c>
      <c r="DE13" s="6" t="s">
        <v>23</v>
      </c>
      <c r="DF13" s="6" t="s">
        <v>31</v>
      </c>
      <c r="DG13" s="6" t="s">
        <v>34</v>
      </c>
      <c r="DH13" s="6" t="s">
        <v>35</v>
      </c>
      <c r="DI13" s="6" t="s">
        <v>33</v>
      </c>
      <c r="DJ13" s="5" t="s">
        <v>23</v>
      </c>
      <c r="DK13" s="5" t="s">
        <v>31</v>
      </c>
      <c r="DL13" s="5" t="s">
        <v>34</v>
      </c>
      <c r="DM13" s="5" t="s">
        <v>35</v>
      </c>
      <c r="DN13" s="5" t="s">
        <v>33</v>
      </c>
      <c r="DO13" s="6" t="s">
        <v>23</v>
      </c>
      <c r="DP13" s="6" t="s">
        <v>31</v>
      </c>
      <c r="DQ13" s="6" t="s">
        <v>34</v>
      </c>
      <c r="DR13" s="6" t="s">
        <v>35</v>
      </c>
      <c r="DS13" s="6" t="s">
        <v>33</v>
      </c>
      <c r="DT13" s="5" t="s">
        <v>23</v>
      </c>
      <c r="DU13" s="5" t="s">
        <v>31</v>
      </c>
      <c r="DV13" s="5" t="s">
        <v>34</v>
      </c>
      <c r="DW13" s="5" t="s">
        <v>35</v>
      </c>
      <c r="DX13" s="5" t="s">
        <v>33</v>
      </c>
      <c r="DY13" s="6" t="s">
        <v>23</v>
      </c>
      <c r="DZ13" s="6" t="s">
        <v>31</v>
      </c>
      <c r="EA13" s="6" t="s">
        <v>34</v>
      </c>
      <c r="EB13" s="6" t="s">
        <v>35</v>
      </c>
      <c r="EC13" s="6" t="s">
        <v>33</v>
      </c>
      <c r="ED13" s="5" t="s">
        <v>23</v>
      </c>
      <c r="EE13" s="5" t="s">
        <v>31</v>
      </c>
      <c r="EF13" s="5" t="s">
        <v>34</v>
      </c>
      <c r="EG13" s="5" t="s">
        <v>35</v>
      </c>
      <c r="EH13" s="5" t="s">
        <v>33</v>
      </c>
      <c r="EI13" s="6" t="s">
        <v>23</v>
      </c>
      <c r="EJ13" s="6" t="s">
        <v>31</v>
      </c>
      <c r="EK13" s="6" t="s">
        <v>34</v>
      </c>
      <c r="EL13" s="6" t="s">
        <v>35</v>
      </c>
      <c r="EM13" s="6" t="s">
        <v>33</v>
      </c>
    </row>
    <row r="14" spans="1:143" x14ac:dyDescent="0.35">
      <c r="A14" s="3">
        <v>110</v>
      </c>
      <c r="B14" s="2" t="s">
        <v>26</v>
      </c>
      <c r="C14" s="2" t="s">
        <v>25</v>
      </c>
      <c r="D14" s="3">
        <f t="shared" ref="D14:D20" si="98">A14</f>
        <v>110</v>
      </c>
      <c r="E14" s="3">
        <v>15</v>
      </c>
      <c r="F14" s="3">
        <v>26</v>
      </c>
      <c r="G14" s="3">
        <v>0</v>
      </c>
      <c r="H14" s="3">
        <v>0</v>
      </c>
      <c r="I14" s="3">
        <f>D14+G14-H14</f>
        <v>110</v>
      </c>
      <c r="J14" s="3">
        <f t="shared" ref="J14:J20" si="99">E14+F14-G14</f>
        <v>41</v>
      </c>
      <c r="K14" s="3">
        <v>125</v>
      </c>
      <c r="L14" s="3">
        <v>132</v>
      </c>
      <c r="M14" s="3">
        <v>169</v>
      </c>
      <c r="N14" s="3">
        <f>I14+L14-M14</f>
        <v>73</v>
      </c>
      <c r="O14" s="3">
        <f t="shared" ref="O14:O20" si="100">J14+K14-L14</f>
        <v>34</v>
      </c>
      <c r="P14" s="3">
        <v>145</v>
      </c>
      <c r="Q14" s="3">
        <v>216</v>
      </c>
      <c r="R14" s="3">
        <v>200</v>
      </c>
      <c r="S14" s="3">
        <f>N14+Q14-R14</f>
        <v>89</v>
      </c>
      <c r="T14" s="3">
        <f t="shared" ref="T14:T20" si="101">O14+P14-Q14</f>
        <v>-37</v>
      </c>
      <c r="U14" s="3">
        <v>180</v>
      </c>
      <c r="V14" s="3">
        <v>124</v>
      </c>
      <c r="W14" s="3">
        <v>128</v>
      </c>
      <c r="X14" s="3">
        <f>S14+V14-W14</f>
        <v>85</v>
      </c>
      <c r="Y14" s="3">
        <f t="shared" ref="Y14:Y20" si="102">T14+U14-V14</f>
        <v>19</v>
      </c>
      <c r="Z14" s="3">
        <f>114+26</f>
        <v>140</v>
      </c>
      <c r="AA14" s="3">
        <v>159</v>
      </c>
      <c r="AB14" s="3">
        <v>165</v>
      </c>
      <c r="AC14" s="3">
        <f>X14+AA14-AB14</f>
        <v>79</v>
      </c>
      <c r="AD14" s="3">
        <f t="shared" ref="AD14:AD20" si="103">Y14+Z14-AA14</f>
        <v>0</v>
      </c>
      <c r="AE14" s="3">
        <f>124+52</f>
        <v>176</v>
      </c>
      <c r="AF14" s="3">
        <v>164</v>
      </c>
      <c r="AG14" s="3">
        <v>154</v>
      </c>
      <c r="AH14" s="3">
        <f>AC14+AF14-AG14</f>
        <v>89</v>
      </c>
      <c r="AI14" s="10">
        <f t="shared" ref="AI14:AI20" si="104">AD14+AE14-AF14</f>
        <v>12</v>
      </c>
      <c r="AJ14" s="10">
        <v>16</v>
      </c>
      <c r="AK14" s="10">
        <v>0</v>
      </c>
      <c r="AL14" s="10">
        <v>0</v>
      </c>
      <c r="AM14" s="3">
        <f>AH14+AK14-AL14</f>
        <v>89</v>
      </c>
      <c r="AN14" s="3">
        <f t="shared" ref="AN14:AN20" si="105">AI14+AJ14-AK14</f>
        <v>28</v>
      </c>
      <c r="AO14" s="3">
        <f>36+124</f>
        <v>160</v>
      </c>
      <c r="AP14" s="3">
        <v>96</v>
      </c>
      <c r="AQ14" s="3">
        <v>87</v>
      </c>
      <c r="AR14" s="3">
        <f>AM14+AP14-AQ14</f>
        <v>98</v>
      </c>
      <c r="AS14" s="3">
        <f t="shared" ref="AS14:AS20" si="106">AN14+AO14-AP14</f>
        <v>92</v>
      </c>
      <c r="AT14" s="3">
        <v>47</v>
      </c>
      <c r="AU14" s="3">
        <v>76</v>
      </c>
      <c r="AV14" s="3">
        <v>112</v>
      </c>
      <c r="AW14" s="3">
        <f>AR14+AU14-AV14</f>
        <v>62</v>
      </c>
      <c r="AX14" s="3">
        <f t="shared" ref="AX14:AX20" si="107">AS14+AT14-AU14</f>
        <v>63</v>
      </c>
      <c r="AY14" s="3">
        <f>112</f>
        <v>112</v>
      </c>
      <c r="AZ14" s="3">
        <v>64</v>
      </c>
      <c r="BA14" s="3">
        <v>94</v>
      </c>
      <c r="BB14" s="3">
        <f>AW14+AZ14-BA14</f>
        <v>32</v>
      </c>
      <c r="BC14" s="3">
        <f>16+93</f>
        <v>109</v>
      </c>
      <c r="BD14" s="3">
        <v>52</v>
      </c>
      <c r="BE14" s="3">
        <v>80</v>
      </c>
      <c r="BF14" s="3">
        <v>83</v>
      </c>
      <c r="BG14" s="3">
        <f>BB14+BE14-BF14</f>
        <v>29</v>
      </c>
      <c r="BH14" s="3">
        <f t="shared" ref="BH14:BH20" si="108">BC14+BD14-BE14</f>
        <v>81</v>
      </c>
      <c r="BI14" s="3">
        <v>76</v>
      </c>
      <c r="BJ14" s="3">
        <v>128</v>
      </c>
      <c r="BK14" s="3">
        <v>144</v>
      </c>
      <c r="BL14" s="3">
        <f t="shared" ref="BL14:BL20" si="109">BG14+BJ14-BK14</f>
        <v>13</v>
      </c>
      <c r="BM14" s="3">
        <f t="shared" ref="BM14:BM20" si="110">BH14+BI14-BJ14</f>
        <v>29</v>
      </c>
      <c r="BN14" s="3">
        <f>136+78+60</f>
        <v>274</v>
      </c>
      <c r="BO14" s="3">
        <v>200</v>
      </c>
      <c r="BP14" s="3">
        <v>169</v>
      </c>
      <c r="BQ14" s="3">
        <f t="shared" ref="BQ14:BQ20" si="111">BL14+BO14-BP14</f>
        <v>44</v>
      </c>
      <c r="BR14" s="3">
        <v>88</v>
      </c>
      <c r="BS14" s="3">
        <f>86+59</f>
        <v>145</v>
      </c>
      <c r="BT14" s="3">
        <v>116</v>
      </c>
      <c r="BU14" s="3">
        <v>63</v>
      </c>
      <c r="BV14" s="3">
        <f t="shared" ref="BV14:BV20" si="112">BQ14+BT14-BU14</f>
        <v>97</v>
      </c>
      <c r="BW14" s="3">
        <v>76</v>
      </c>
      <c r="BX14" s="3">
        <v>108</v>
      </c>
      <c r="BY14" s="3">
        <v>136</v>
      </c>
      <c r="BZ14" s="3">
        <v>183</v>
      </c>
      <c r="CA14" s="3">
        <f t="shared" ref="CA14:CA20" si="113">BV14+BY14-BZ14</f>
        <v>50</v>
      </c>
      <c r="CB14" s="3">
        <f t="shared" ref="CB14:CB20" si="114">BW14+BX14-BY14</f>
        <v>48</v>
      </c>
      <c r="CC14" s="3">
        <f>116+48</f>
        <v>164</v>
      </c>
      <c r="CD14" s="3">
        <v>168</v>
      </c>
      <c r="CE14" s="3">
        <v>144</v>
      </c>
      <c r="CF14" s="3">
        <f t="shared" ref="CF14:CF20" si="115">CA14+CD14-CE14</f>
        <v>74</v>
      </c>
      <c r="CG14" s="3">
        <v>59</v>
      </c>
      <c r="CH14" s="3">
        <f>88+58</f>
        <v>146</v>
      </c>
      <c r="CI14" s="3">
        <v>132</v>
      </c>
      <c r="CJ14" s="3">
        <v>70</v>
      </c>
      <c r="CK14" s="3">
        <f t="shared" ref="CK14:CK20" si="116">CF14+CI14-CJ14</f>
        <v>136</v>
      </c>
      <c r="CL14" s="3">
        <v>61</v>
      </c>
      <c r="CM14" s="3">
        <v>147</v>
      </c>
      <c r="CN14" s="3">
        <v>124</v>
      </c>
      <c r="CO14" s="3">
        <v>115</v>
      </c>
      <c r="CP14" s="3">
        <f t="shared" ref="CP14:CP20" si="117">CK14+CN14-CO14</f>
        <v>145</v>
      </c>
      <c r="CQ14" s="3">
        <v>136</v>
      </c>
      <c r="CR14" s="3">
        <f>102+36</f>
        <v>138</v>
      </c>
      <c r="CS14" s="3">
        <v>96</v>
      </c>
      <c r="CT14" s="3">
        <v>103</v>
      </c>
      <c r="CU14" s="3">
        <f t="shared" ref="CU14:CU20" si="118">CP14+CS14-CT14</f>
        <v>138</v>
      </c>
      <c r="CV14" s="3">
        <v>136</v>
      </c>
      <c r="CW14" s="3">
        <f>110+38</f>
        <v>148</v>
      </c>
      <c r="CX14" s="3">
        <v>172</v>
      </c>
      <c r="CY14" s="3">
        <v>126</v>
      </c>
      <c r="CZ14" s="3">
        <f t="shared" ref="CZ14:CZ20" si="119">CU14+CX14-CY14</f>
        <v>184</v>
      </c>
      <c r="DA14" s="3">
        <f>CV14+CW14-CX14</f>
        <v>112</v>
      </c>
      <c r="DB14" s="3">
        <f>110+64</f>
        <v>174</v>
      </c>
      <c r="DC14" s="3">
        <v>172</v>
      </c>
      <c r="DD14" s="3">
        <v>126</v>
      </c>
      <c r="DE14" s="3">
        <f t="shared" ref="DE14:DE20" si="120">CZ14+DC14-DD14</f>
        <v>230</v>
      </c>
      <c r="DF14" s="3">
        <v>138</v>
      </c>
      <c r="DG14" s="3">
        <f>27+16</f>
        <v>43</v>
      </c>
      <c r="DH14" s="3">
        <v>64</v>
      </c>
      <c r="DI14" s="3">
        <v>34</v>
      </c>
      <c r="DJ14" s="3">
        <f t="shared" ref="DJ14:DJ20" si="121">DE14+DH14-DI14</f>
        <v>260</v>
      </c>
      <c r="DK14" s="3">
        <f t="shared" ref="DK14:DK20" si="122">DF14+DG14-DH14</f>
        <v>117</v>
      </c>
      <c r="DL14" s="3">
        <v>18</v>
      </c>
      <c r="DM14" s="3">
        <v>72</v>
      </c>
      <c r="DN14" s="3">
        <v>95</v>
      </c>
      <c r="DO14" s="3">
        <f t="shared" ref="DO14:DO20" si="123">DJ14+DM14-DN14</f>
        <v>237</v>
      </c>
      <c r="DP14" s="3">
        <f t="shared" ref="DP14:DP20" si="124">DK14+DL14-DM14</f>
        <v>63</v>
      </c>
      <c r="DQ14" s="3">
        <f>60+39</f>
        <v>99</v>
      </c>
      <c r="DR14" s="3">
        <v>88</v>
      </c>
      <c r="DS14" s="3">
        <v>68</v>
      </c>
      <c r="DT14" s="3">
        <v>110</v>
      </c>
      <c r="DU14" s="3">
        <f t="shared" ref="DU14:DU20" si="125">DP14+DQ14-DR14</f>
        <v>74</v>
      </c>
      <c r="DV14" s="3">
        <v>118</v>
      </c>
      <c r="DW14" s="3">
        <v>64</v>
      </c>
      <c r="DX14" s="3">
        <v>91</v>
      </c>
      <c r="DY14" s="3">
        <f t="shared" ref="DY14:DY20" si="126">DT14+DW14-DX14</f>
        <v>83</v>
      </c>
      <c r="DZ14" s="3">
        <f t="shared" ref="DZ14:DZ20" si="127">DU14+DV14-DW14</f>
        <v>128</v>
      </c>
      <c r="EA14" s="3">
        <v>79</v>
      </c>
      <c r="EB14" s="3">
        <v>48</v>
      </c>
      <c r="EC14" s="3">
        <v>82</v>
      </c>
      <c r="ED14" s="3">
        <f t="shared" ref="ED14:ED20" si="128">DY14+EB14-EC14</f>
        <v>49</v>
      </c>
      <c r="EE14" s="3">
        <f t="shared" ref="EE14:EE20" si="129">DZ14+EA14-EB14</f>
        <v>159</v>
      </c>
      <c r="EF14" s="3">
        <v>70</v>
      </c>
      <c r="EG14" s="3">
        <v>108</v>
      </c>
      <c r="EH14" s="3">
        <v>80</v>
      </c>
      <c r="EI14" s="3">
        <f t="shared" ref="EI14:EI20" si="130">ED14+EG14-EH14</f>
        <v>77</v>
      </c>
      <c r="EJ14" s="3">
        <f t="shared" ref="EJ14:EJ20" si="131">EE14+EF14-EG14</f>
        <v>121</v>
      </c>
      <c r="EK14" s="3"/>
      <c r="EL14" s="3">
        <v>0</v>
      </c>
      <c r="EM14" s="3">
        <v>153</v>
      </c>
    </row>
    <row r="15" spans="1:143" x14ac:dyDescent="0.35">
      <c r="A15" s="3">
        <v>38</v>
      </c>
      <c r="B15" s="2" t="s">
        <v>8</v>
      </c>
      <c r="C15" s="2" t="s">
        <v>27</v>
      </c>
      <c r="D15" s="3">
        <f t="shared" si="98"/>
        <v>38</v>
      </c>
      <c r="E15" s="3">
        <v>12</v>
      </c>
      <c r="F15" s="3">
        <v>16</v>
      </c>
      <c r="G15" s="3">
        <v>0</v>
      </c>
      <c r="H15" s="3">
        <v>0</v>
      </c>
      <c r="I15" s="3">
        <f t="shared" ref="I15:I20" si="132">D15+G15-H15</f>
        <v>38</v>
      </c>
      <c r="J15" s="3">
        <f t="shared" si="99"/>
        <v>28</v>
      </c>
      <c r="K15" s="3">
        <v>20</v>
      </c>
      <c r="L15" s="3">
        <v>16</v>
      </c>
      <c r="M15" s="3">
        <v>29</v>
      </c>
      <c r="N15" s="3">
        <f t="shared" ref="N15:N20" si="133">I15+L15-M15</f>
        <v>25</v>
      </c>
      <c r="O15" s="3">
        <f t="shared" si="100"/>
        <v>32</v>
      </c>
      <c r="P15" s="3">
        <v>0</v>
      </c>
      <c r="Q15" s="3">
        <v>0</v>
      </c>
      <c r="R15" s="3">
        <v>4</v>
      </c>
      <c r="S15" s="3">
        <f t="shared" ref="S15:S20" si="134">N15+Q15-R15</f>
        <v>21</v>
      </c>
      <c r="T15" s="3">
        <f t="shared" si="101"/>
        <v>32</v>
      </c>
      <c r="U15" s="3">
        <v>0</v>
      </c>
      <c r="V15" s="3">
        <v>12</v>
      </c>
      <c r="W15" s="3">
        <v>13</v>
      </c>
      <c r="X15" s="3">
        <f t="shared" ref="X15:X20" si="135">S15+V15-W15</f>
        <v>20</v>
      </c>
      <c r="Y15" s="3">
        <f t="shared" si="102"/>
        <v>20</v>
      </c>
      <c r="Z15" s="3">
        <v>0</v>
      </c>
      <c r="AA15" s="3">
        <v>0</v>
      </c>
      <c r="AB15" s="3">
        <v>0</v>
      </c>
      <c r="AC15" s="3">
        <f t="shared" ref="AC15:AC20" si="136">X15+AA15-AB15</f>
        <v>20</v>
      </c>
      <c r="AD15" s="3">
        <f t="shared" si="103"/>
        <v>20</v>
      </c>
      <c r="AE15" s="3">
        <v>12</v>
      </c>
      <c r="AF15" s="3">
        <v>24</v>
      </c>
      <c r="AG15" s="3">
        <v>12</v>
      </c>
      <c r="AH15" s="3">
        <f t="shared" ref="AH15:AH20" si="137">AC15+AF15-AG15</f>
        <v>32</v>
      </c>
      <c r="AI15" s="10">
        <f t="shared" si="104"/>
        <v>8</v>
      </c>
      <c r="AJ15" s="10">
        <v>8</v>
      </c>
      <c r="AK15" s="10">
        <v>0</v>
      </c>
      <c r="AL15" s="10">
        <v>0</v>
      </c>
      <c r="AM15" s="3">
        <f t="shared" ref="AM15:AM20" si="138">AH15+AK15-AL15</f>
        <v>32</v>
      </c>
      <c r="AN15" s="3">
        <f t="shared" si="105"/>
        <v>16</v>
      </c>
      <c r="AO15" s="3">
        <v>16</v>
      </c>
      <c r="AP15" s="3">
        <v>32</v>
      </c>
      <c r="AQ15" s="3">
        <v>39</v>
      </c>
      <c r="AR15" s="3">
        <f t="shared" ref="AR15:AR20" si="139">AM15+AP15-AQ15</f>
        <v>25</v>
      </c>
      <c r="AS15" s="3">
        <f t="shared" si="106"/>
        <v>0</v>
      </c>
      <c r="AT15" s="3">
        <v>48</v>
      </c>
      <c r="AU15" s="3">
        <v>16</v>
      </c>
      <c r="AV15" s="3">
        <v>19</v>
      </c>
      <c r="AW15" s="3">
        <f t="shared" ref="AW15:AW20" si="140">AR15+AU15-AV15</f>
        <v>22</v>
      </c>
      <c r="AX15" s="3">
        <f t="shared" si="107"/>
        <v>32</v>
      </c>
      <c r="AY15" s="3">
        <f>16+16</f>
        <v>32</v>
      </c>
      <c r="AZ15" s="3">
        <v>32</v>
      </c>
      <c r="BA15" s="3">
        <v>40</v>
      </c>
      <c r="BB15" s="3">
        <f t="shared" ref="BB15:BB20" si="141">AW15+AZ15-BA15</f>
        <v>14</v>
      </c>
      <c r="BC15" s="3">
        <v>16</v>
      </c>
      <c r="BD15" s="3">
        <f>16+38</f>
        <v>54</v>
      </c>
      <c r="BE15" s="3">
        <v>32</v>
      </c>
      <c r="BF15" s="3">
        <v>22</v>
      </c>
      <c r="BG15" s="3">
        <f t="shared" ref="BG15:BG20" si="142">BB15+BE15-BF15</f>
        <v>24</v>
      </c>
      <c r="BH15" s="3">
        <f t="shared" si="108"/>
        <v>38</v>
      </c>
      <c r="BI15" s="3">
        <v>0</v>
      </c>
      <c r="BJ15" s="3">
        <v>0</v>
      </c>
      <c r="BK15" s="3">
        <v>0</v>
      </c>
      <c r="BL15" s="3">
        <f t="shared" si="109"/>
        <v>24</v>
      </c>
      <c r="BM15" s="3">
        <f t="shared" si="110"/>
        <v>38</v>
      </c>
      <c r="BN15" s="3"/>
      <c r="BO15" s="3">
        <v>12</v>
      </c>
      <c r="BP15" s="3">
        <v>0</v>
      </c>
      <c r="BQ15" s="3">
        <f t="shared" si="111"/>
        <v>36</v>
      </c>
      <c r="BR15" s="3">
        <v>12</v>
      </c>
      <c r="BS15" s="3">
        <v>0</v>
      </c>
      <c r="BT15" s="3">
        <v>0</v>
      </c>
      <c r="BU15" s="3">
        <v>0</v>
      </c>
      <c r="BV15" s="3">
        <f t="shared" si="112"/>
        <v>36</v>
      </c>
      <c r="BW15" s="3">
        <f t="shared" ref="BW15:BW16" si="143">BR15+BS15-BT15</f>
        <v>12</v>
      </c>
      <c r="BX15" s="3"/>
      <c r="BY15" s="3">
        <v>0</v>
      </c>
      <c r="BZ15" s="3">
        <v>0</v>
      </c>
      <c r="CA15" s="3">
        <f t="shared" si="113"/>
        <v>36</v>
      </c>
      <c r="CB15" s="3">
        <f t="shared" si="114"/>
        <v>12</v>
      </c>
      <c r="CC15" s="3"/>
      <c r="CD15" s="3">
        <v>0</v>
      </c>
      <c r="CE15" s="3">
        <v>3</v>
      </c>
      <c r="CF15" s="3">
        <f t="shared" si="115"/>
        <v>33</v>
      </c>
      <c r="CG15" s="3">
        <v>12</v>
      </c>
      <c r="CH15" s="3">
        <v>0</v>
      </c>
      <c r="CI15" s="3">
        <v>0</v>
      </c>
      <c r="CJ15" s="3">
        <v>0</v>
      </c>
      <c r="CK15" s="3">
        <f t="shared" si="116"/>
        <v>33</v>
      </c>
      <c r="CL15" s="3">
        <v>12</v>
      </c>
      <c r="CM15" s="3">
        <v>0</v>
      </c>
      <c r="CN15" s="3">
        <v>0</v>
      </c>
      <c r="CO15" s="3">
        <v>0</v>
      </c>
      <c r="CP15" s="3">
        <f t="shared" si="117"/>
        <v>33</v>
      </c>
      <c r="CQ15" s="3">
        <f t="shared" ref="CQ15:CQ20" si="144">CL15+CM15-CN15</f>
        <v>12</v>
      </c>
      <c r="CR15" s="3">
        <v>0</v>
      </c>
      <c r="CS15" s="3">
        <v>0</v>
      </c>
      <c r="CT15" s="3">
        <v>3</v>
      </c>
      <c r="CU15" s="3">
        <f t="shared" si="118"/>
        <v>30</v>
      </c>
      <c r="CV15" s="3">
        <f t="shared" ref="CV15" si="145">CQ15+CR15-CS15</f>
        <v>12</v>
      </c>
      <c r="CW15" s="3"/>
      <c r="CX15" s="3">
        <v>12</v>
      </c>
      <c r="CY15" s="3">
        <v>24</v>
      </c>
      <c r="CZ15" s="3">
        <f t="shared" si="119"/>
        <v>18</v>
      </c>
      <c r="DA15" s="3">
        <f t="shared" ref="DA15:DA20" si="146">CV15+CW15-CX15</f>
        <v>0</v>
      </c>
      <c r="DB15" s="3">
        <v>12</v>
      </c>
      <c r="DC15" s="3">
        <v>12</v>
      </c>
      <c r="DD15" s="3">
        <v>8</v>
      </c>
      <c r="DE15" s="3">
        <f t="shared" si="120"/>
        <v>22</v>
      </c>
      <c r="DF15" s="3">
        <v>0</v>
      </c>
      <c r="DG15" s="3">
        <f>18+12</f>
        <v>30</v>
      </c>
      <c r="DH15" s="3">
        <v>24</v>
      </c>
      <c r="DI15" s="3">
        <v>45</v>
      </c>
      <c r="DJ15" s="3">
        <f t="shared" si="121"/>
        <v>1</v>
      </c>
      <c r="DK15" s="3">
        <f t="shared" si="122"/>
        <v>6</v>
      </c>
      <c r="DL15" s="3">
        <f>56+64</f>
        <v>120</v>
      </c>
      <c r="DM15" s="3">
        <v>100</v>
      </c>
      <c r="DN15" s="3">
        <v>71</v>
      </c>
      <c r="DO15" s="3">
        <f t="shared" si="123"/>
        <v>30</v>
      </c>
      <c r="DP15" s="3">
        <f t="shared" si="124"/>
        <v>26</v>
      </c>
      <c r="DQ15" s="3">
        <v>0</v>
      </c>
      <c r="DR15" s="3">
        <v>12</v>
      </c>
      <c r="DS15" s="3">
        <v>1</v>
      </c>
      <c r="DT15" s="3">
        <f t="shared" ref="DT15:DT20" si="147">DO15+DR15-DS15</f>
        <v>41</v>
      </c>
      <c r="DU15" s="3">
        <f t="shared" si="125"/>
        <v>14</v>
      </c>
      <c r="DV15" s="3"/>
      <c r="DW15" s="3">
        <v>0</v>
      </c>
      <c r="DX15" s="3">
        <v>0</v>
      </c>
      <c r="DY15" s="3">
        <f t="shared" si="126"/>
        <v>41</v>
      </c>
      <c r="DZ15" s="3">
        <f t="shared" si="127"/>
        <v>14</v>
      </c>
      <c r="EA15" s="3"/>
      <c r="EB15" s="3">
        <v>0</v>
      </c>
      <c r="EC15" s="3">
        <v>0</v>
      </c>
      <c r="ED15" s="3">
        <f t="shared" si="128"/>
        <v>41</v>
      </c>
      <c r="EE15" s="3">
        <f t="shared" si="129"/>
        <v>14</v>
      </c>
      <c r="EF15" s="3"/>
      <c r="EG15" s="3">
        <v>0</v>
      </c>
      <c r="EH15" s="3">
        <v>0</v>
      </c>
      <c r="EI15" s="3">
        <f t="shared" si="130"/>
        <v>41</v>
      </c>
      <c r="EJ15" s="3">
        <f t="shared" si="131"/>
        <v>14</v>
      </c>
      <c r="EK15" s="3"/>
      <c r="EL15" s="3">
        <v>0</v>
      </c>
      <c r="EM15" s="3">
        <v>0</v>
      </c>
    </row>
    <row r="16" spans="1:143" x14ac:dyDescent="0.35">
      <c r="A16" s="3">
        <v>42</v>
      </c>
      <c r="B16" s="2" t="s">
        <v>9</v>
      </c>
      <c r="C16" s="2" t="s">
        <v>40</v>
      </c>
      <c r="D16" s="3">
        <f t="shared" si="98"/>
        <v>42</v>
      </c>
      <c r="E16" s="3">
        <v>50</v>
      </c>
      <c r="F16" s="3">
        <v>24</v>
      </c>
      <c r="G16" s="3">
        <v>0</v>
      </c>
      <c r="H16" s="3">
        <v>0</v>
      </c>
      <c r="I16" s="3">
        <f t="shared" si="132"/>
        <v>42</v>
      </c>
      <c r="J16" s="3">
        <f t="shared" si="99"/>
        <v>74</v>
      </c>
      <c r="K16" s="3">
        <v>22</v>
      </c>
      <c r="L16" s="3">
        <v>60</v>
      </c>
      <c r="M16" s="3">
        <v>54</v>
      </c>
      <c r="N16" s="3">
        <f t="shared" si="133"/>
        <v>48</v>
      </c>
      <c r="O16" s="3">
        <f t="shared" si="100"/>
        <v>36</v>
      </c>
      <c r="P16" s="3">
        <v>44</v>
      </c>
      <c r="Q16" s="3">
        <v>44</v>
      </c>
      <c r="R16" s="3">
        <v>51</v>
      </c>
      <c r="S16" s="3">
        <f t="shared" si="134"/>
        <v>41</v>
      </c>
      <c r="T16" s="3">
        <f t="shared" si="101"/>
        <v>36</v>
      </c>
      <c r="U16" s="3">
        <v>0</v>
      </c>
      <c r="V16" s="3">
        <v>12</v>
      </c>
      <c r="W16" s="3">
        <v>29</v>
      </c>
      <c r="X16" s="3">
        <f t="shared" si="135"/>
        <v>24</v>
      </c>
      <c r="Y16" s="3">
        <f t="shared" si="102"/>
        <v>24</v>
      </c>
      <c r="Z16" s="3">
        <v>36</v>
      </c>
      <c r="AA16" s="3">
        <v>32</v>
      </c>
      <c r="AB16" s="3">
        <v>16</v>
      </c>
      <c r="AC16" s="3">
        <f t="shared" si="136"/>
        <v>40</v>
      </c>
      <c r="AD16" s="3">
        <f t="shared" si="103"/>
        <v>28</v>
      </c>
      <c r="AE16" s="3">
        <v>52</v>
      </c>
      <c r="AF16" s="3">
        <v>44</v>
      </c>
      <c r="AG16" s="3">
        <v>79</v>
      </c>
      <c r="AH16" s="3">
        <f t="shared" si="137"/>
        <v>5</v>
      </c>
      <c r="AI16" s="10">
        <f t="shared" si="104"/>
        <v>36</v>
      </c>
      <c r="AJ16" s="10">
        <v>8</v>
      </c>
      <c r="AK16" s="10">
        <v>0</v>
      </c>
      <c r="AL16" s="10">
        <v>0</v>
      </c>
      <c r="AM16" s="3">
        <f t="shared" si="138"/>
        <v>5</v>
      </c>
      <c r="AN16" s="3">
        <v>16</v>
      </c>
      <c r="AO16" s="3">
        <v>20</v>
      </c>
      <c r="AP16" s="3">
        <v>28</v>
      </c>
      <c r="AQ16" s="3">
        <v>48</v>
      </c>
      <c r="AR16" s="3">
        <f t="shared" si="139"/>
        <v>-15</v>
      </c>
      <c r="AS16" s="3">
        <f t="shared" si="106"/>
        <v>8</v>
      </c>
      <c r="AT16" s="3">
        <f>19+32</f>
        <v>51</v>
      </c>
      <c r="AU16" s="3">
        <v>44</v>
      </c>
      <c r="AV16" s="3">
        <v>61</v>
      </c>
      <c r="AW16" s="3">
        <f t="shared" si="140"/>
        <v>-32</v>
      </c>
      <c r="AX16" s="3">
        <f t="shared" si="107"/>
        <v>15</v>
      </c>
      <c r="AY16" s="3">
        <f>44+44</f>
        <v>88</v>
      </c>
      <c r="AZ16" s="3">
        <v>88</v>
      </c>
      <c r="BA16" s="3">
        <v>67</v>
      </c>
      <c r="BB16" s="3">
        <f t="shared" si="141"/>
        <v>-11</v>
      </c>
      <c r="BC16" s="3">
        <v>16</v>
      </c>
      <c r="BD16" s="3">
        <v>28</v>
      </c>
      <c r="BE16" s="3">
        <v>32</v>
      </c>
      <c r="BF16" s="3">
        <v>25</v>
      </c>
      <c r="BG16" s="3">
        <f t="shared" si="142"/>
        <v>-4</v>
      </c>
      <c r="BH16" s="3">
        <f t="shared" si="108"/>
        <v>12</v>
      </c>
      <c r="BI16" s="3">
        <v>40</v>
      </c>
      <c r="BJ16" s="3">
        <v>24</v>
      </c>
      <c r="BK16" s="3">
        <v>5</v>
      </c>
      <c r="BL16" s="3">
        <f t="shared" si="109"/>
        <v>15</v>
      </c>
      <c r="BM16" s="3">
        <f t="shared" si="110"/>
        <v>28</v>
      </c>
      <c r="BN16" s="3">
        <v>12</v>
      </c>
      <c r="BO16" s="3">
        <v>40</v>
      </c>
      <c r="BP16" s="3">
        <v>1</v>
      </c>
      <c r="BQ16" s="3">
        <f t="shared" si="111"/>
        <v>54</v>
      </c>
      <c r="BR16" s="3">
        <f t="shared" ref="BR16:BR20" si="148">BM16+BN16-BO16</f>
        <v>0</v>
      </c>
      <c r="BS16" s="3">
        <v>40</v>
      </c>
      <c r="BT16" s="3">
        <v>0</v>
      </c>
      <c r="BU16" s="3">
        <v>2</v>
      </c>
      <c r="BV16" s="3">
        <f t="shared" si="112"/>
        <v>52</v>
      </c>
      <c r="BW16" s="3">
        <f t="shared" si="143"/>
        <v>40</v>
      </c>
      <c r="BX16" s="3"/>
      <c r="BY16" s="3">
        <v>0</v>
      </c>
      <c r="BZ16" s="3">
        <v>2</v>
      </c>
      <c r="CA16" s="3">
        <f t="shared" si="113"/>
        <v>50</v>
      </c>
      <c r="CB16" s="3">
        <f t="shared" si="114"/>
        <v>40</v>
      </c>
      <c r="CC16" s="3">
        <v>78</v>
      </c>
      <c r="CD16" s="3">
        <v>16</v>
      </c>
      <c r="CE16" s="3">
        <v>22</v>
      </c>
      <c r="CF16" s="3">
        <f t="shared" si="115"/>
        <v>44</v>
      </c>
      <c r="CG16" s="3">
        <v>96</v>
      </c>
      <c r="CH16" s="3">
        <v>12</v>
      </c>
      <c r="CI16" s="3">
        <v>0</v>
      </c>
      <c r="CJ16" s="3">
        <v>0</v>
      </c>
      <c r="CK16" s="3">
        <f t="shared" si="116"/>
        <v>44</v>
      </c>
      <c r="CL16" s="3">
        <v>108</v>
      </c>
      <c r="CM16" s="3">
        <v>16</v>
      </c>
      <c r="CN16" s="3">
        <v>0</v>
      </c>
      <c r="CO16" s="3">
        <v>3</v>
      </c>
      <c r="CP16" s="3">
        <f t="shared" si="117"/>
        <v>41</v>
      </c>
      <c r="CQ16" s="3">
        <f t="shared" si="144"/>
        <v>124</v>
      </c>
      <c r="CR16" s="3">
        <v>0</v>
      </c>
      <c r="CS16" s="3">
        <v>60</v>
      </c>
      <c r="CT16" s="3">
        <v>59</v>
      </c>
      <c r="CU16" s="3">
        <f t="shared" si="118"/>
        <v>42</v>
      </c>
      <c r="CV16" s="3">
        <v>84</v>
      </c>
      <c r="CW16" s="3">
        <v>42</v>
      </c>
      <c r="CX16" s="3">
        <v>48</v>
      </c>
      <c r="CY16" s="3">
        <v>42</v>
      </c>
      <c r="CZ16" s="3">
        <f t="shared" si="119"/>
        <v>48</v>
      </c>
      <c r="DA16" s="3">
        <f t="shared" si="146"/>
        <v>78</v>
      </c>
      <c r="DB16" s="3">
        <v>56</v>
      </c>
      <c r="DC16" s="3">
        <v>48</v>
      </c>
      <c r="DD16" s="3">
        <v>28</v>
      </c>
      <c r="DE16" s="3">
        <f t="shared" si="120"/>
        <v>68</v>
      </c>
      <c r="DF16" s="3">
        <v>79</v>
      </c>
      <c r="DG16" s="3"/>
      <c r="DH16" s="3">
        <v>28</v>
      </c>
      <c r="DI16" s="3">
        <v>35</v>
      </c>
      <c r="DJ16" s="3">
        <f t="shared" si="121"/>
        <v>61</v>
      </c>
      <c r="DK16" s="3">
        <f t="shared" si="122"/>
        <v>51</v>
      </c>
      <c r="DL16" s="3">
        <v>10</v>
      </c>
      <c r="DM16" s="3">
        <v>28</v>
      </c>
      <c r="DN16" s="3">
        <v>61</v>
      </c>
      <c r="DO16" s="3">
        <f t="shared" si="123"/>
        <v>28</v>
      </c>
      <c r="DP16" s="3">
        <f t="shared" si="124"/>
        <v>33</v>
      </c>
      <c r="DQ16" s="3">
        <f>26+51</f>
        <v>77</v>
      </c>
      <c r="DR16" s="3">
        <v>100</v>
      </c>
      <c r="DS16" s="3">
        <v>56</v>
      </c>
      <c r="DT16" s="3">
        <f t="shared" si="147"/>
        <v>72</v>
      </c>
      <c r="DU16" s="3">
        <f t="shared" si="125"/>
        <v>10</v>
      </c>
      <c r="DV16" s="3">
        <v>61</v>
      </c>
      <c r="DW16" s="3">
        <v>0</v>
      </c>
      <c r="DX16" s="3">
        <v>6</v>
      </c>
      <c r="DY16" s="3">
        <f t="shared" si="126"/>
        <v>66</v>
      </c>
      <c r="DZ16" s="3">
        <f t="shared" si="127"/>
        <v>71</v>
      </c>
      <c r="EA16" s="3">
        <v>16</v>
      </c>
      <c r="EB16" s="3">
        <v>16</v>
      </c>
      <c r="EC16" s="3">
        <v>6</v>
      </c>
      <c r="ED16" s="3">
        <f t="shared" si="128"/>
        <v>76</v>
      </c>
      <c r="EE16" s="3">
        <f t="shared" si="129"/>
        <v>71</v>
      </c>
      <c r="EF16" s="3">
        <v>16</v>
      </c>
      <c r="EG16" s="3">
        <v>0</v>
      </c>
      <c r="EH16" s="3">
        <v>7</v>
      </c>
      <c r="EI16" s="3">
        <f t="shared" si="130"/>
        <v>69</v>
      </c>
      <c r="EJ16" s="3">
        <f t="shared" si="131"/>
        <v>87</v>
      </c>
      <c r="EK16" s="3"/>
      <c r="EL16" s="3">
        <v>0</v>
      </c>
      <c r="EM16" s="3">
        <v>16</v>
      </c>
    </row>
    <row r="17" spans="1:143" x14ac:dyDescent="0.35">
      <c r="A17" s="3">
        <v>32</v>
      </c>
      <c r="B17" s="2" t="s">
        <v>24</v>
      </c>
      <c r="C17" s="2" t="s">
        <v>28</v>
      </c>
      <c r="D17" s="3">
        <f t="shared" si="98"/>
        <v>32</v>
      </c>
      <c r="E17" s="3">
        <v>7</v>
      </c>
      <c r="F17" s="3">
        <v>12</v>
      </c>
      <c r="G17" s="3">
        <v>0</v>
      </c>
      <c r="H17" s="3">
        <v>0</v>
      </c>
      <c r="I17" s="3">
        <f t="shared" si="132"/>
        <v>32</v>
      </c>
      <c r="J17" s="3">
        <f t="shared" si="99"/>
        <v>19</v>
      </c>
      <c r="K17" s="3">
        <v>0</v>
      </c>
      <c r="L17" s="3">
        <v>16</v>
      </c>
      <c r="M17" s="3">
        <v>1</v>
      </c>
      <c r="N17" s="3">
        <f t="shared" si="133"/>
        <v>47</v>
      </c>
      <c r="O17" s="3">
        <f t="shared" si="100"/>
        <v>3</v>
      </c>
      <c r="P17" s="3">
        <v>20</v>
      </c>
      <c r="Q17" s="3">
        <v>0</v>
      </c>
      <c r="R17" s="3">
        <v>0</v>
      </c>
      <c r="S17" s="3">
        <f t="shared" si="134"/>
        <v>47</v>
      </c>
      <c r="T17" s="3">
        <f t="shared" si="101"/>
        <v>23</v>
      </c>
      <c r="U17" s="3">
        <v>0</v>
      </c>
      <c r="V17" s="3">
        <v>0</v>
      </c>
      <c r="W17" s="3">
        <v>9</v>
      </c>
      <c r="X17" s="3">
        <f t="shared" si="135"/>
        <v>38</v>
      </c>
      <c r="Y17" s="3">
        <f t="shared" si="102"/>
        <v>23</v>
      </c>
      <c r="Z17" s="3">
        <v>0</v>
      </c>
      <c r="AA17" s="3">
        <v>0</v>
      </c>
      <c r="AB17" s="3">
        <v>8</v>
      </c>
      <c r="AC17" s="3">
        <f t="shared" si="136"/>
        <v>30</v>
      </c>
      <c r="AD17" s="3">
        <f t="shared" si="103"/>
        <v>23</v>
      </c>
      <c r="AE17" s="3">
        <v>0</v>
      </c>
      <c r="AF17" s="3">
        <v>16</v>
      </c>
      <c r="AG17" s="3">
        <v>32</v>
      </c>
      <c r="AH17" s="3">
        <f t="shared" si="137"/>
        <v>14</v>
      </c>
      <c r="AI17" s="10">
        <f t="shared" si="104"/>
        <v>7</v>
      </c>
      <c r="AJ17" s="10">
        <v>0</v>
      </c>
      <c r="AK17" s="10">
        <v>0</v>
      </c>
      <c r="AL17" s="10">
        <v>0</v>
      </c>
      <c r="AM17" s="3">
        <f t="shared" si="138"/>
        <v>14</v>
      </c>
      <c r="AN17" s="3">
        <v>9</v>
      </c>
      <c r="AO17" s="3">
        <v>0</v>
      </c>
      <c r="AP17" s="3">
        <v>16</v>
      </c>
      <c r="AQ17" s="3">
        <v>24</v>
      </c>
      <c r="AR17" s="3">
        <f t="shared" si="139"/>
        <v>6</v>
      </c>
      <c r="AS17" s="3">
        <f t="shared" si="106"/>
        <v>-7</v>
      </c>
      <c r="AT17" s="3">
        <f>32</f>
        <v>32</v>
      </c>
      <c r="AU17" s="3">
        <v>16</v>
      </c>
      <c r="AV17" s="3">
        <v>22</v>
      </c>
      <c r="AW17" s="3">
        <f t="shared" si="140"/>
        <v>0</v>
      </c>
      <c r="AX17" s="3">
        <f t="shared" si="107"/>
        <v>9</v>
      </c>
      <c r="AY17" s="3">
        <f>24+16</f>
        <v>40</v>
      </c>
      <c r="AZ17" s="3">
        <v>24</v>
      </c>
      <c r="BA17" s="3">
        <v>27</v>
      </c>
      <c r="BB17" s="3">
        <f t="shared" si="141"/>
        <v>-3</v>
      </c>
      <c r="BC17" s="3">
        <v>16</v>
      </c>
      <c r="BD17" s="3">
        <v>20</v>
      </c>
      <c r="BE17" s="3">
        <v>32</v>
      </c>
      <c r="BF17" s="3">
        <v>5</v>
      </c>
      <c r="BG17" s="3">
        <f t="shared" si="142"/>
        <v>24</v>
      </c>
      <c r="BH17" s="3">
        <f t="shared" si="108"/>
        <v>4</v>
      </c>
      <c r="BI17" s="3">
        <v>16</v>
      </c>
      <c r="BJ17" s="3">
        <v>28</v>
      </c>
      <c r="BK17" s="3">
        <v>8</v>
      </c>
      <c r="BL17" s="3">
        <f t="shared" si="109"/>
        <v>44</v>
      </c>
      <c r="BM17" s="3">
        <v>0</v>
      </c>
      <c r="BN17" s="3"/>
      <c r="BO17" s="3">
        <v>0</v>
      </c>
      <c r="BP17" s="3">
        <v>1</v>
      </c>
      <c r="BQ17" s="3">
        <f t="shared" si="111"/>
        <v>43</v>
      </c>
      <c r="BR17" s="3">
        <v>0</v>
      </c>
      <c r="BS17" s="3">
        <v>22</v>
      </c>
      <c r="BT17" s="3">
        <v>0</v>
      </c>
      <c r="BU17" s="3">
        <v>3</v>
      </c>
      <c r="BV17" s="3">
        <f t="shared" si="112"/>
        <v>40</v>
      </c>
      <c r="BW17" s="3">
        <v>0</v>
      </c>
      <c r="BX17" s="3"/>
      <c r="BY17" s="3">
        <v>0</v>
      </c>
      <c r="BZ17" s="3">
        <v>2</v>
      </c>
      <c r="CA17" s="3">
        <f t="shared" si="113"/>
        <v>38</v>
      </c>
      <c r="CB17" s="3">
        <f t="shared" si="114"/>
        <v>0</v>
      </c>
      <c r="CC17" s="3"/>
      <c r="CD17" s="3">
        <v>0</v>
      </c>
      <c r="CE17" s="3">
        <v>12</v>
      </c>
      <c r="CF17" s="3">
        <f t="shared" si="115"/>
        <v>26</v>
      </c>
      <c r="CG17" s="3">
        <v>22</v>
      </c>
      <c r="CH17" s="3">
        <v>22</v>
      </c>
      <c r="CI17" s="3">
        <v>0</v>
      </c>
      <c r="CJ17" s="3">
        <v>1</v>
      </c>
      <c r="CK17" s="3">
        <f t="shared" si="116"/>
        <v>25</v>
      </c>
      <c r="CL17" s="3">
        <v>42</v>
      </c>
      <c r="CM17" s="3">
        <v>20</v>
      </c>
      <c r="CN17" s="3">
        <v>32</v>
      </c>
      <c r="CO17" s="3">
        <v>0</v>
      </c>
      <c r="CP17" s="3">
        <f t="shared" si="117"/>
        <v>57</v>
      </c>
      <c r="CQ17" s="3">
        <f t="shared" si="144"/>
        <v>30</v>
      </c>
      <c r="CR17" s="3">
        <v>0</v>
      </c>
      <c r="CS17" s="3">
        <v>0</v>
      </c>
      <c r="CT17" s="3">
        <v>0</v>
      </c>
      <c r="CU17" s="3">
        <f t="shared" si="118"/>
        <v>57</v>
      </c>
      <c r="CV17" s="3">
        <v>48</v>
      </c>
      <c r="CW17" s="3"/>
      <c r="CX17" s="3">
        <v>0</v>
      </c>
      <c r="CY17" s="3">
        <v>2</v>
      </c>
      <c r="CZ17" s="3">
        <f t="shared" si="119"/>
        <v>55</v>
      </c>
      <c r="DA17" s="3">
        <f t="shared" si="146"/>
        <v>48</v>
      </c>
      <c r="DB17" s="3">
        <v>0</v>
      </c>
      <c r="DC17" s="3">
        <v>0</v>
      </c>
      <c r="DD17" s="3">
        <v>0</v>
      </c>
      <c r="DE17" s="3">
        <f t="shared" si="120"/>
        <v>55</v>
      </c>
      <c r="DF17" s="3">
        <v>48</v>
      </c>
      <c r="DG17" s="3"/>
      <c r="DH17" s="3">
        <v>16</v>
      </c>
      <c r="DI17" s="3">
        <v>5</v>
      </c>
      <c r="DJ17" s="3">
        <f t="shared" si="121"/>
        <v>66</v>
      </c>
      <c r="DK17" s="3">
        <f t="shared" si="122"/>
        <v>32</v>
      </c>
      <c r="DL17" s="3">
        <v>0</v>
      </c>
      <c r="DM17" s="3">
        <v>12</v>
      </c>
      <c r="DN17" s="3">
        <v>37</v>
      </c>
      <c r="DO17" s="3">
        <f t="shared" si="123"/>
        <v>41</v>
      </c>
      <c r="DP17" s="3">
        <f t="shared" si="124"/>
        <v>20</v>
      </c>
      <c r="DQ17" s="3">
        <f>12+36</f>
        <v>48</v>
      </c>
      <c r="DR17" s="3">
        <v>44</v>
      </c>
      <c r="DS17" s="3">
        <v>26</v>
      </c>
      <c r="DT17" s="3">
        <f t="shared" si="147"/>
        <v>59</v>
      </c>
      <c r="DU17" s="3">
        <f t="shared" si="125"/>
        <v>24</v>
      </c>
      <c r="DV17" s="3">
        <v>16</v>
      </c>
      <c r="DW17" s="3">
        <v>12</v>
      </c>
      <c r="DX17" s="3">
        <v>8</v>
      </c>
      <c r="DY17" s="3">
        <f t="shared" si="126"/>
        <v>63</v>
      </c>
      <c r="DZ17" s="3">
        <f t="shared" si="127"/>
        <v>28</v>
      </c>
      <c r="EA17" s="3"/>
      <c r="EB17" s="3">
        <v>16</v>
      </c>
      <c r="EC17" s="3">
        <v>14</v>
      </c>
      <c r="ED17" s="3">
        <f t="shared" si="128"/>
        <v>65</v>
      </c>
      <c r="EE17" s="3">
        <f t="shared" si="129"/>
        <v>12</v>
      </c>
      <c r="EF17" s="3"/>
      <c r="EG17" s="3">
        <v>0</v>
      </c>
      <c r="EH17" s="3">
        <v>6</v>
      </c>
      <c r="EI17" s="3">
        <f t="shared" si="130"/>
        <v>59</v>
      </c>
      <c r="EJ17" s="3">
        <f t="shared" si="131"/>
        <v>12</v>
      </c>
      <c r="EK17" s="3"/>
      <c r="EL17" s="3">
        <v>0</v>
      </c>
      <c r="EM17" s="3">
        <v>22</v>
      </c>
    </row>
    <row r="18" spans="1:143" x14ac:dyDescent="0.35">
      <c r="A18" s="3">
        <v>44</v>
      </c>
      <c r="B18" s="2" t="s">
        <v>10</v>
      </c>
      <c r="C18" s="2" t="s">
        <v>41</v>
      </c>
      <c r="D18" s="3">
        <f t="shared" si="98"/>
        <v>44</v>
      </c>
      <c r="E18" s="3">
        <v>0</v>
      </c>
      <c r="F18" s="3">
        <v>16</v>
      </c>
      <c r="G18" s="3">
        <v>0</v>
      </c>
      <c r="H18" s="3">
        <v>0</v>
      </c>
      <c r="I18" s="3">
        <f t="shared" si="132"/>
        <v>44</v>
      </c>
      <c r="J18" s="3">
        <f t="shared" si="99"/>
        <v>16</v>
      </c>
      <c r="K18" s="3">
        <v>0</v>
      </c>
      <c r="L18" s="3">
        <v>0</v>
      </c>
      <c r="M18" s="3">
        <v>4</v>
      </c>
      <c r="N18" s="3">
        <f t="shared" si="133"/>
        <v>40</v>
      </c>
      <c r="O18" s="3">
        <f t="shared" si="100"/>
        <v>16</v>
      </c>
      <c r="P18" s="3">
        <v>27</v>
      </c>
      <c r="Q18" s="3">
        <v>16</v>
      </c>
      <c r="R18" s="3">
        <v>0</v>
      </c>
      <c r="S18" s="3">
        <f t="shared" si="134"/>
        <v>56</v>
      </c>
      <c r="T18" s="3">
        <f t="shared" si="101"/>
        <v>27</v>
      </c>
      <c r="U18" s="3">
        <v>16</v>
      </c>
      <c r="V18" s="3">
        <v>16</v>
      </c>
      <c r="W18" s="3">
        <v>18</v>
      </c>
      <c r="X18" s="3">
        <f t="shared" si="135"/>
        <v>54</v>
      </c>
      <c r="Y18" s="3">
        <f t="shared" si="102"/>
        <v>27</v>
      </c>
      <c r="Z18" s="3">
        <v>48</v>
      </c>
      <c r="AA18" s="3">
        <v>48</v>
      </c>
      <c r="AB18" s="3">
        <v>72</v>
      </c>
      <c r="AC18" s="3">
        <f t="shared" si="136"/>
        <v>30</v>
      </c>
      <c r="AD18" s="3">
        <f t="shared" si="103"/>
        <v>27</v>
      </c>
      <c r="AE18" s="3">
        <f>32+20</f>
        <v>52</v>
      </c>
      <c r="AF18" s="3">
        <v>48</v>
      </c>
      <c r="AG18" s="3">
        <v>55</v>
      </c>
      <c r="AH18" s="3">
        <f t="shared" si="137"/>
        <v>23</v>
      </c>
      <c r="AI18" s="10">
        <f t="shared" si="104"/>
        <v>31</v>
      </c>
      <c r="AJ18" s="10">
        <v>16</v>
      </c>
      <c r="AK18" s="10">
        <v>0</v>
      </c>
      <c r="AL18" s="10">
        <v>0</v>
      </c>
      <c r="AM18" s="3">
        <f t="shared" si="138"/>
        <v>23</v>
      </c>
      <c r="AN18" s="3">
        <v>16</v>
      </c>
      <c r="AO18" s="3">
        <v>12</v>
      </c>
      <c r="AP18" s="3">
        <v>16</v>
      </c>
      <c r="AQ18" s="3">
        <v>43</v>
      </c>
      <c r="AR18" s="3">
        <f t="shared" si="139"/>
        <v>-4</v>
      </c>
      <c r="AS18" s="3">
        <f t="shared" si="106"/>
        <v>12</v>
      </c>
      <c r="AT18" s="3">
        <v>60</v>
      </c>
      <c r="AU18" s="3">
        <v>60</v>
      </c>
      <c r="AV18" s="3">
        <v>55</v>
      </c>
      <c r="AW18" s="3">
        <f t="shared" si="140"/>
        <v>1</v>
      </c>
      <c r="AX18" s="3">
        <f t="shared" si="107"/>
        <v>12</v>
      </c>
      <c r="AY18" s="3">
        <f>44+0</f>
        <v>44</v>
      </c>
      <c r="AZ18" s="3">
        <v>44</v>
      </c>
      <c r="BA18" s="3">
        <v>31</v>
      </c>
      <c r="BB18" s="3">
        <f t="shared" si="141"/>
        <v>14</v>
      </c>
      <c r="BC18" s="3">
        <v>32</v>
      </c>
      <c r="BD18" s="3">
        <f>40+20</f>
        <v>60</v>
      </c>
      <c r="BE18" s="3">
        <v>44</v>
      </c>
      <c r="BF18" s="3">
        <v>52</v>
      </c>
      <c r="BG18" s="3">
        <f t="shared" si="142"/>
        <v>6</v>
      </c>
      <c r="BH18" s="3">
        <f t="shared" si="108"/>
        <v>48</v>
      </c>
      <c r="BI18" s="3">
        <v>48</v>
      </c>
      <c r="BJ18" s="3">
        <v>24</v>
      </c>
      <c r="BK18" s="3">
        <v>15</v>
      </c>
      <c r="BL18" s="3">
        <f t="shared" si="109"/>
        <v>15</v>
      </c>
      <c r="BM18" s="3">
        <f t="shared" si="110"/>
        <v>72</v>
      </c>
      <c r="BN18" s="3"/>
      <c r="BO18" s="3">
        <v>48</v>
      </c>
      <c r="BP18" s="3">
        <v>12</v>
      </c>
      <c r="BQ18" s="3">
        <f t="shared" si="111"/>
        <v>51</v>
      </c>
      <c r="BR18" s="3">
        <f t="shared" si="148"/>
        <v>24</v>
      </c>
      <c r="BS18" s="3">
        <v>33</v>
      </c>
      <c r="BT18" s="3">
        <v>12</v>
      </c>
      <c r="BU18" s="3">
        <v>18</v>
      </c>
      <c r="BV18" s="3">
        <f t="shared" si="112"/>
        <v>45</v>
      </c>
      <c r="BW18" s="3">
        <v>23</v>
      </c>
      <c r="BX18" s="3"/>
      <c r="BY18" s="3">
        <v>0</v>
      </c>
      <c r="BZ18" s="3">
        <v>6</v>
      </c>
      <c r="CA18" s="3">
        <f t="shared" si="113"/>
        <v>39</v>
      </c>
      <c r="CB18" s="3">
        <f t="shared" si="114"/>
        <v>23</v>
      </c>
      <c r="CC18" s="3">
        <v>16</v>
      </c>
      <c r="CD18" s="3">
        <v>12</v>
      </c>
      <c r="CE18" s="3">
        <v>31</v>
      </c>
      <c r="CF18" s="3">
        <f t="shared" si="115"/>
        <v>20</v>
      </c>
      <c r="CG18" s="3">
        <v>12</v>
      </c>
      <c r="CH18" s="3">
        <v>20</v>
      </c>
      <c r="CI18" s="3">
        <v>44</v>
      </c>
      <c r="CJ18" s="3">
        <v>40</v>
      </c>
      <c r="CK18" s="3">
        <f t="shared" si="116"/>
        <v>24</v>
      </c>
      <c r="CL18" s="3">
        <v>6</v>
      </c>
      <c r="CM18" s="3">
        <v>16</v>
      </c>
      <c r="CN18" s="3">
        <v>0</v>
      </c>
      <c r="CO18" s="3">
        <v>6</v>
      </c>
      <c r="CP18" s="3">
        <f t="shared" si="117"/>
        <v>18</v>
      </c>
      <c r="CQ18" s="3">
        <f t="shared" si="144"/>
        <v>22</v>
      </c>
      <c r="CR18" s="3">
        <v>6</v>
      </c>
      <c r="CS18" s="3">
        <v>0</v>
      </c>
      <c r="CT18" s="3">
        <v>1</v>
      </c>
      <c r="CU18" s="3">
        <f t="shared" si="118"/>
        <v>17</v>
      </c>
      <c r="CV18" s="3">
        <v>11</v>
      </c>
      <c r="CW18" s="3">
        <v>12</v>
      </c>
      <c r="CX18" s="3">
        <v>0</v>
      </c>
      <c r="CY18" s="3">
        <v>0</v>
      </c>
      <c r="CZ18" s="3">
        <f t="shared" si="119"/>
        <v>17</v>
      </c>
      <c r="DA18" s="3">
        <f t="shared" si="146"/>
        <v>23</v>
      </c>
      <c r="DB18" s="3">
        <v>6</v>
      </c>
      <c r="DC18" s="3">
        <v>0</v>
      </c>
      <c r="DD18" s="3">
        <v>23</v>
      </c>
      <c r="DE18" s="3">
        <f t="shared" si="120"/>
        <v>-6</v>
      </c>
      <c r="DF18" s="3">
        <v>16</v>
      </c>
      <c r="DG18" s="3">
        <f>20+12</f>
        <v>32</v>
      </c>
      <c r="DH18" s="3">
        <v>32</v>
      </c>
      <c r="DI18" s="3">
        <v>0</v>
      </c>
      <c r="DJ18" s="3">
        <f t="shared" si="121"/>
        <v>26</v>
      </c>
      <c r="DK18" s="3">
        <f t="shared" si="122"/>
        <v>16</v>
      </c>
      <c r="DL18" s="3">
        <v>0</v>
      </c>
      <c r="DM18" s="3">
        <v>16</v>
      </c>
      <c r="DN18" s="3">
        <v>0</v>
      </c>
      <c r="DO18" s="3">
        <f t="shared" si="123"/>
        <v>42</v>
      </c>
      <c r="DP18" s="3">
        <f t="shared" si="124"/>
        <v>0</v>
      </c>
      <c r="DQ18" s="3">
        <v>36</v>
      </c>
      <c r="DR18" s="3">
        <v>16</v>
      </c>
      <c r="DS18" s="3">
        <v>0</v>
      </c>
      <c r="DT18" s="3">
        <f t="shared" si="147"/>
        <v>58</v>
      </c>
      <c r="DU18" s="3">
        <f t="shared" si="125"/>
        <v>20</v>
      </c>
      <c r="DV18" s="3"/>
      <c r="DW18" s="3">
        <v>0</v>
      </c>
      <c r="DX18" s="3">
        <v>0</v>
      </c>
      <c r="DY18" s="3">
        <f t="shared" si="126"/>
        <v>58</v>
      </c>
      <c r="DZ18" s="3">
        <f t="shared" si="127"/>
        <v>20</v>
      </c>
      <c r="EA18" s="3"/>
      <c r="EB18" s="3">
        <v>0</v>
      </c>
      <c r="EC18" s="3">
        <v>7</v>
      </c>
      <c r="ED18" s="3">
        <f t="shared" si="128"/>
        <v>51</v>
      </c>
      <c r="EE18" s="3">
        <f t="shared" si="129"/>
        <v>20</v>
      </c>
      <c r="EF18" s="3">
        <v>12</v>
      </c>
      <c r="EG18" s="3">
        <v>12</v>
      </c>
      <c r="EH18" s="3">
        <v>32</v>
      </c>
      <c r="EI18" s="3">
        <f t="shared" si="130"/>
        <v>31</v>
      </c>
      <c r="EJ18" s="3">
        <f t="shared" si="131"/>
        <v>20</v>
      </c>
      <c r="EK18" s="3"/>
      <c r="EL18" s="3">
        <v>0</v>
      </c>
      <c r="EM18" s="3">
        <v>77</v>
      </c>
    </row>
    <row r="19" spans="1:143" x14ac:dyDescent="0.35">
      <c r="A19" s="3">
        <v>42</v>
      </c>
      <c r="B19" s="2" t="s">
        <v>11</v>
      </c>
      <c r="C19" s="2" t="s">
        <v>29</v>
      </c>
      <c r="D19" s="3">
        <f t="shared" si="98"/>
        <v>42</v>
      </c>
      <c r="E19" s="3">
        <v>11</v>
      </c>
      <c r="F19" s="3">
        <v>0</v>
      </c>
      <c r="G19" s="3">
        <v>0</v>
      </c>
      <c r="H19" s="3">
        <v>0</v>
      </c>
      <c r="I19" s="3">
        <f t="shared" si="132"/>
        <v>42</v>
      </c>
      <c r="J19" s="3">
        <f t="shared" si="99"/>
        <v>11</v>
      </c>
      <c r="K19" s="3">
        <v>0</v>
      </c>
      <c r="L19" s="3">
        <v>12</v>
      </c>
      <c r="M19" s="3">
        <v>26</v>
      </c>
      <c r="N19" s="3">
        <f t="shared" si="133"/>
        <v>28</v>
      </c>
      <c r="O19" s="3">
        <f t="shared" si="100"/>
        <v>-1</v>
      </c>
      <c r="P19" s="3">
        <v>72</v>
      </c>
      <c r="Q19" s="3">
        <v>64</v>
      </c>
      <c r="R19" s="3">
        <v>69</v>
      </c>
      <c r="S19" s="3">
        <f t="shared" si="134"/>
        <v>23</v>
      </c>
      <c r="T19" s="3">
        <f t="shared" si="101"/>
        <v>7</v>
      </c>
      <c r="U19" s="3">
        <v>89</v>
      </c>
      <c r="V19" s="3">
        <v>96</v>
      </c>
      <c r="W19" s="3">
        <v>53</v>
      </c>
      <c r="X19" s="3">
        <f t="shared" si="135"/>
        <v>66</v>
      </c>
      <c r="Y19" s="3">
        <f t="shared" si="102"/>
        <v>0</v>
      </c>
      <c r="Z19" s="3">
        <v>91</v>
      </c>
      <c r="AA19" s="3">
        <v>68</v>
      </c>
      <c r="AB19" s="3">
        <v>94</v>
      </c>
      <c r="AC19" s="3">
        <f t="shared" si="136"/>
        <v>40</v>
      </c>
      <c r="AD19" s="3">
        <f t="shared" si="103"/>
        <v>23</v>
      </c>
      <c r="AE19" s="3">
        <f>72</f>
        <v>72</v>
      </c>
      <c r="AF19" s="3">
        <v>84</v>
      </c>
      <c r="AG19" s="3">
        <v>47</v>
      </c>
      <c r="AH19" s="3">
        <f t="shared" si="137"/>
        <v>77</v>
      </c>
      <c r="AI19" s="10">
        <f t="shared" si="104"/>
        <v>11</v>
      </c>
      <c r="AJ19" s="10">
        <v>16</v>
      </c>
      <c r="AK19" s="10">
        <v>0</v>
      </c>
      <c r="AL19" s="10">
        <v>0</v>
      </c>
      <c r="AM19" s="3">
        <f t="shared" si="138"/>
        <v>77</v>
      </c>
      <c r="AN19" s="3">
        <v>32</v>
      </c>
      <c r="AO19" s="3">
        <v>40</v>
      </c>
      <c r="AP19" s="3">
        <v>40</v>
      </c>
      <c r="AQ19" s="3">
        <v>49</v>
      </c>
      <c r="AR19" s="3">
        <f t="shared" si="139"/>
        <v>68</v>
      </c>
      <c r="AS19" s="3">
        <f t="shared" si="106"/>
        <v>32</v>
      </c>
      <c r="AT19" s="3">
        <f>44+14</f>
        <v>58</v>
      </c>
      <c r="AU19" s="3">
        <v>0</v>
      </c>
      <c r="AV19" s="3">
        <v>41</v>
      </c>
      <c r="AW19" s="3">
        <f t="shared" si="140"/>
        <v>27</v>
      </c>
      <c r="AX19" s="3">
        <f t="shared" si="107"/>
        <v>90</v>
      </c>
      <c r="AY19" s="3">
        <f>16+16</f>
        <v>32</v>
      </c>
      <c r="AZ19" s="3">
        <v>44</v>
      </c>
      <c r="BA19" s="3">
        <v>29</v>
      </c>
      <c r="BB19" s="3">
        <f t="shared" si="141"/>
        <v>42</v>
      </c>
      <c r="BC19" s="3">
        <v>16</v>
      </c>
      <c r="BD19" s="3">
        <f>15+68</f>
        <v>83</v>
      </c>
      <c r="BE19" s="3">
        <v>64</v>
      </c>
      <c r="BF19" s="3">
        <v>41</v>
      </c>
      <c r="BG19" s="3">
        <f t="shared" si="142"/>
        <v>65</v>
      </c>
      <c r="BH19" s="3">
        <f t="shared" si="108"/>
        <v>35</v>
      </c>
      <c r="BI19" s="3">
        <v>48</v>
      </c>
      <c r="BJ19" s="3">
        <v>48</v>
      </c>
      <c r="BK19" s="3">
        <v>15</v>
      </c>
      <c r="BL19" s="3">
        <f t="shared" si="109"/>
        <v>98</v>
      </c>
      <c r="BM19" s="3">
        <f t="shared" si="110"/>
        <v>35</v>
      </c>
      <c r="BN19" s="3">
        <v>16</v>
      </c>
      <c r="BO19" s="3">
        <v>32</v>
      </c>
      <c r="BP19" s="3">
        <v>13</v>
      </c>
      <c r="BQ19" s="3">
        <f t="shared" si="111"/>
        <v>117</v>
      </c>
      <c r="BR19" s="3">
        <v>16</v>
      </c>
      <c r="BS19" s="3">
        <v>25</v>
      </c>
      <c r="BT19" s="3">
        <v>0</v>
      </c>
      <c r="BU19" s="3">
        <v>18</v>
      </c>
      <c r="BV19" s="3">
        <f t="shared" si="112"/>
        <v>99</v>
      </c>
      <c r="BW19" s="3">
        <v>20</v>
      </c>
      <c r="BX19" s="3">
        <v>20</v>
      </c>
      <c r="BY19" s="3">
        <v>0</v>
      </c>
      <c r="BZ19" s="3">
        <v>17</v>
      </c>
      <c r="CA19" s="3">
        <f t="shared" si="113"/>
        <v>82</v>
      </c>
      <c r="CB19" s="3">
        <f t="shared" si="114"/>
        <v>40</v>
      </c>
      <c r="CC19" s="3">
        <v>6</v>
      </c>
      <c r="CD19" s="3">
        <v>16</v>
      </c>
      <c r="CE19" s="3">
        <v>28</v>
      </c>
      <c r="CF19" s="3">
        <f t="shared" si="115"/>
        <v>70</v>
      </c>
      <c r="CG19" s="3">
        <v>32</v>
      </c>
      <c r="CH19" s="3">
        <v>16</v>
      </c>
      <c r="CI19" s="3">
        <v>0</v>
      </c>
      <c r="CJ19" s="3">
        <v>2</v>
      </c>
      <c r="CK19" s="3">
        <f t="shared" si="116"/>
        <v>68</v>
      </c>
      <c r="CL19" s="3">
        <v>32</v>
      </c>
      <c r="CM19" s="3">
        <v>40</v>
      </c>
      <c r="CN19" s="3">
        <v>16</v>
      </c>
      <c r="CO19" s="3">
        <v>14</v>
      </c>
      <c r="CP19" s="3">
        <f t="shared" si="117"/>
        <v>70</v>
      </c>
      <c r="CQ19" s="3">
        <f t="shared" si="144"/>
        <v>56</v>
      </c>
      <c r="CR19" s="3">
        <v>0</v>
      </c>
      <c r="CS19" s="3">
        <v>16</v>
      </c>
      <c r="CT19" s="3">
        <v>0</v>
      </c>
      <c r="CU19" s="3">
        <f t="shared" si="118"/>
        <v>86</v>
      </c>
      <c r="CV19" s="3">
        <v>44</v>
      </c>
      <c r="CW19" s="3">
        <v>20</v>
      </c>
      <c r="CX19" s="3">
        <v>0</v>
      </c>
      <c r="CY19" s="3">
        <v>0</v>
      </c>
      <c r="CZ19" s="3">
        <f t="shared" si="119"/>
        <v>86</v>
      </c>
      <c r="DA19" s="3">
        <f t="shared" si="146"/>
        <v>64</v>
      </c>
      <c r="DB19" s="3">
        <v>0</v>
      </c>
      <c r="DC19" s="3">
        <v>0</v>
      </c>
      <c r="DD19" s="3">
        <v>3</v>
      </c>
      <c r="DE19" s="3">
        <f t="shared" si="120"/>
        <v>83</v>
      </c>
      <c r="DF19" s="3">
        <v>69</v>
      </c>
      <c r="DG19" s="3"/>
      <c r="DH19" s="3">
        <v>0</v>
      </c>
      <c r="DI19" s="3">
        <v>8</v>
      </c>
      <c r="DJ19" s="3">
        <f t="shared" si="121"/>
        <v>75</v>
      </c>
      <c r="DK19" s="3">
        <f t="shared" si="122"/>
        <v>69</v>
      </c>
      <c r="DL19" s="3">
        <v>0</v>
      </c>
      <c r="DM19" s="3">
        <v>0</v>
      </c>
      <c r="DN19" s="3">
        <v>1</v>
      </c>
      <c r="DO19" s="3">
        <f t="shared" si="123"/>
        <v>74</v>
      </c>
      <c r="DP19" s="3">
        <f t="shared" si="124"/>
        <v>69</v>
      </c>
      <c r="DQ19" s="3">
        <v>0</v>
      </c>
      <c r="DR19" s="3">
        <v>28</v>
      </c>
      <c r="DS19" s="3">
        <v>18</v>
      </c>
      <c r="DT19" s="3">
        <f t="shared" si="147"/>
        <v>84</v>
      </c>
      <c r="DU19" s="3">
        <f t="shared" si="125"/>
        <v>41</v>
      </c>
      <c r="DV19" s="3">
        <v>3</v>
      </c>
      <c r="DW19" s="3">
        <v>44</v>
      </c>
      <c r="DX19" s="3">
        <v>29</v>
      </c>
      <c r="DY19" s="3">
        <f t="shared" si="126"/>
        <v>99</v>
      </c>
      <c r="DZ19" s="3">
        <f t="shared" si="127"/>
        <v>0</v>
      </c>
      <c r="EA19" s="3">
        <v>25</v>
      </c>
      <c r="EB19" s="3">
        <v>0</v>
      </c>
      <c r="EC19" s="3">
        <v>11</v>
      </c>
      <c r="ED19" s="3">
        <f t="shared" si="128"/>
        <v>88</v>
      </c>
      <c r="EE19" s="3">
        <f t="shared" si="129"/>
        <v>25</v>
      </c>
      <c r="EF19" s="3">
        <v>20</v>
      </c>
      <c r="EG19" s="3">
        <v>16</v>
      </c>
      <c r="EH19" s="3">
        <v>17</v>
      </c>
      <c r="EI19" s="3">
        <f t="shared" si="130"/>
        <v>87</v>
      </c>
      <c r="EJ19" s="3">
        <f t="shared" si="131"/>
        <v>29</v>
      </c>
      <c r="EK19" s="3"/>
      <c r="EL19" s="3">
        <v>0</v>
      </c>
      <c r="EM19" s="3">
        <v>59</v>
      </c>
    </row>
    <row r="20" spans="1:143" x14ac:dyDescent="0.35">
      <c r="A20" s="3">
        <v>48</v>
      </c>
      <c r="B20" s="2" t="s">
        <v>12</v>
      </c>
      <c r="C20" s="2" t="s">
        <v>30</v>
      </c>
      <c r="D20" s="3">
        <f t="shared" si="98"/>
        <v>48</v>
      </c>
      <c r="E20" s="3">
        <v>0</v>
      </c>
      <c r="F20" s="3">
        <v>16</v>
      </c>
      <c r="G20" s="3">
        <v>0</v>
      </c>
      <c r="H20" s="3">
        <v>0</v>
      </c>
      <c r="I20" s="3">
        <f t="shared" si="132"/>
        <v>48</v>
      </c>
      <c r="J20" s="3">
        <f t="shared" si="99"/>
        <v>16</v>
      </c>
      <c r="K20" s="3">
        <v>0</v>
      </c>
      <c r="L20" s="3">
        <v>0</v>
      </c>
      <c r="M20" s="3">
        <v>0</v>
      </c>
      <c r="N20" s="3">
        <f t="shared" si="133"/>
        <v>48</v>
      </c>
      <c r="O20" s="3">
        <f t="shared" si="100"/>
        <v>16</v>
      </c>
      <c r="P20" s="3">
        <v>0</v>
      </c>
      <c r="Q20" s="3">
        <v>0</v>
      </c>
      <c r="R20" s="3">
        <v>0</v>
      </c>
      <c r="S20" s="3">
        <f t="shared" si="134"/>
        <v>48</v>
      </c>
      <c r="T20" s="3">
        <f t="shared" si="101"/>
        <v>16</v>
      </c>
      <c r="U20" s="3">
        <v>0</v>
      </c>
      <c r="V20" s="3">
        <v>0</v>
      </c>
      <c r="W20" s="3">
        <v>5</v>
      </c>
      <c r="X20" s="3">
        <f t="shared" si="135"/>
        <v>43</v>
      </c>
      <c r="Y20" s="3">
        <f t="shared" si="102"/>
        <v>16</v>
      </c>
      <c r="Z20" s="3">
        <v>0</v>
      </c>
      <c r="AA20" s="3">
        <v>16</v>
      </c>
      <c r="AB20" s="3">
        <v>14</v>
      </c>
      <c r="AC20" s="3">
        <f t="shared" si="136"/>
        <v>45</v>
      </c>
      <c r="AD20" s="3">
        <f t="shared" si="103"/>
        <v>0</v>
      </c>
      <c r="AE20" s="3">
        <v>0</v>
      </c>
      <c r="AF20" s="3">
        <v>0</v>
      </c>
      <c r="AG20" s="3">
        <v>24</v>
      </c>
      <c r="AH20" s="3">
        <f t="shared" si="137"/>
        <v>21</v>
      </c>
      <c r="AI20" s="10">
        <f t="shared" si="104"/>
        <v>0</v>
      </c>
      <c r="AJ20" s="10">
        <v>0</v>
      </c>
      <c r="AK20" s="10">
        <v>0</v>
      </c>
      <c r="AL20" s="10">
        <v>0</v>
      </c>
      <c r="AM20" s="3">
        <f t="shared" si="138"/>
        <v>21</v>
      </c>
      <c r="AN20" s="3">
        <f t="shared" si="105"/>
        <v>0</v>
      </c>
      <c r="AO20" s="3">
        <v>27</v>
      </c>
      <c r="AP20" s="3">
        <v>28</v>
      </c>
      <c r="AQ20" s="3">
        <v>24</v>
      </c>
      <c r="AR20" s="3">
        <f t="shared" si="139"/>
        <v>25</v>
      </c>
      <c r="AS20" s="3">
        <f t="shared" si="106"/>
        <v>-1</v>
      </c>
      <c r="AT20" s="3">
        <f>10</f>
        <v>10</v>
      </c>
      <c r="AU20" s="3">
        <v>28</v>
      </c>
      <c r="AV20" s="3">
        <v>23</v>
      </c>
      <c r="AW20" s="3">
        <f t="shared" si="140"/>
        <v>30</v>
      </c>
      <c r="AX20" s="3">
        <f t="shared" si="107"/>
        <v>-19</v>
      </c>
      <c r="AY20" s="3">
        <f>16</f>
        <v>16</v>
      </c>
      <c r="AZ20" s="3">
        <v>0</v>
      </c>
      <c r="BA20" s="3">
        <v>20</v>
      </c>
      <c r="BB20" s="3">
        <f t="shared" si="141"/>
        <v>10</v>
      </c>
      <c r="BC20" s="3">
        <v>16</v>
      </c>
      <c r="BD20" s="3">
        <v>4</v>
      </c>
      <c r="BE20" s="3">
        <v>16</v>
      </c>
      <c r="BF20" s="3">
        <v>18</v>
      </c>
      <c r="BG20" s="3">
        <f t="shared" si="142"/>
        <v>8</v>
      </c>
      <c r="BH20" s="3">
        <f t="shared" si="108"/>
        <v>4</v>
      </c>
      <c r="BI20" s="3">
        <v>28</v>
      </c>
      <c r="BJ20" s="3">
        <v>16</v>
      </c>
      <c r="BK20" s="3">
        <v>22</v>
      </c>
      <c r="BL20" s="3">
        <f t="shared" si="109"/>
        <v>2</v>
      </c>
      <c r="BM20" s="3">
        <f t="shared" si="110"/>
        <v>16</v>
      </c>
      <c r="BN20" s="3"/>
      <c r="BO20" s="3">
        <v>24</v>
      </c>
      <c r="BP20" s="3">
        <v>7</v>
      </c>
      <c r="BQ20" s="3">
        <f t="shared" si="111"/>
        <v>19</v>
      </c>
      <c r="BR20" s="3">
        <f t="shared" si="148"/>
        <v>-8</v>
      </c>
      <c r="BS20" s="3">
        <v>0</v>
      </c>
      <c r="BT20" s="3">
        <v>0</v>
      </c>
      <c r="BU20" s="3">
        <v>3</v>
      </c>
      <c r="BV20" s="3">
        <f t="shared" si="112"/>
        <v>16</v>
      </c>
      <c r="BW20" s="3">
        <v>22</v>
      </c>
      <c r="BX20" s="3">
        <v>20</v>
      </c>
      <c r="BY20" s="3">
        <v>0</v>
      </c>
      <c r="BZ20" s="3">
        <v>0</v>
      </c>
      <c r="CA20" s="3">
        <f t="shared" si="113"/>
        <v>16</v>
      </c>
      <c r="CB20" s="3">
        <f t="shared" si="114"/>
        <v>42</v>
      </c>
      <c r="CC20" s="3">
        <v>0</v>
      </c>
      <c r="CD20" s="3">
        <v>0</v>
      </c>
      <c r="CE20" s="3">
        <v>9</v>
      </c>
      <c r="CF20" s="3">
        <f t="shared" si="115"/>
        <v>7</v>
      </c>
      <c r="CG20" s="3">
        <v>20</v>
      </c>
      <c r="CH20" s="3">
        <v>16</v>
      </c>
      <c r="CI20" s="3">
        <v>16</v>
      </c>
      <c r="CJ20" s="3">
        <v>0</v>
      </c>
      <c r="CK20" s="3">
        <f t="shared" si="116"/>
        <v>23</v>
      </c>
      <c r="CL20" s="3">
        <v>20</v>
      </c>
      <c r="CM20" s="3">
        <v>11</v>
      </c>
      <c r="CN20" s="3">
        <v>0</v>
      </c>
      <c r="CO20" s="3">
        <v>0</v>
      </c>
      <c r="CP20" s="3">
        <f t="shared" si="117"/>
        <v>23</v>
      </c>
      <c r="CQ20" s="3">
        <f t="shared" si="144"/>
        <v>31</v>
      </c>
      <c r="CR20" s="3">
        <v>0</v>
      </c>
      <c r="CS20" s="3">
        <v>0</v>
      </c>
      <c r="CT20" s="3">
        <v>8</v>
      </c>
      <c r="CU20" s="3">
        <f t="shared" si="118"/>
        <v>15</v>
      </c>
      <c r="CV20" s="3">
        <v>27</v>
      </c>
      <c r="CW20" s="3"/>
      <c r="CX20" s="3">
        <v>0</v>
      </c>
      <c r="CY20" s="3">
        <v>6</v>
      </c>
      <c r="CZ20" s="3">
        <f t="shared" si="119"/>
        <v>9</v>
      </c>
      <c r="DA20" s="3">
        <f t="shared" si="146"/>
        <v>27</v>
      </c>
      <c r="DB20" s="3">
        <v>0</v>
      </c>
      <c r="DC20" s="3">
        <v>0</v>
      </c>
      <c r="DD20" s="3">
        <v>1</v>
      </c>
      <c r="DE20" s="3">
        <f t="shared" si="120"/>
        <v>8</v>
      </c>
      <c r="DF20" s="3">
        <v>27</v>
      </c>
      <c r="DG20" s="3"/>
      <c r="DH20" s="3">
        <v>0</v>
      </c>
      <c r="DI20" s="3">
        <v>0</v>
      </c>
      <c r="DJ20" s="3">
        <f t="shared" si="121"/>
        <v>8</v>
      </c>
      <c r="DK20" s="3">
        <f t="shared" si="122"/>
        <v>27</v>
      </c>
      <c r="DL20" s="3">
        <v>0</v>
      </c>
      <c r="DM20" s="3">
        <v>0</v>
      </c>
      <c r="DN20" s="3">
        <v>0</v>
      </c>
      <c r="DO20" s="3">
        <f t="shared" si="123"/>
        <v>8</v>
      </c>
      <c r="DP20" s="3">
        <f t="shared" si="124"/>
        <v>27</v>
      </c>
      <c r="DQ20" s="3">
        <v>0</v>
      </c>
      <c r="DR20" s="3">
        <v>0</v>
      </c>
      <c r="DS20" s="3">
        <v>1</v>
      </c>
      <c r="DT20" s="3">
        <f t="shared" si="147"/>
        <v>7</v>
      </c>
      <c r="DU20" s="3">
        <f t="shared" si="125"/>
        <v>27</v>
      </c>
      <c r="DV20" s="3"/>
      <c r="DW20" s="3">
        <v>16</v>
      </c>
      <c r="DX20" s="3">
        <v>1</v>
      </c>
      <c r="DY20" s="3">
        <f t="shared" si="126"/>
        <v>22</v>
      </c>
      <c r="DZ20" s="3">
        <f t="shared" si="127"/>
        <v>11</v>
      </c>
      <c r="EA20" s="3">
        <v>13</v>
      </c>
      <c r="EB20" s="3">
        <v>0</v>
      </c>
      <c r="EC20" s="3">
        <v>7</v>
      </c>
      <c r="ED20" s="3">
        <f t="shared" si="128"/>
        <v>15</v>
      </c>
      <c r="EE20" s="3">
        <f t="shared" si="129"/>
        <v>24</v>
      </c>
      <c r="EF20" s="3"/>
      <c r="EG20" s="3">
        <v>0</v>
      </c>
      <c r="EH20" s="3">
        <v>7</v>
      </c>
      <c r="EI20" s="3">
        <f t="shared" si="130"/>
        <v>8</v>
      </c>
      <c r="EJ20" s="3">
        <f t="shared" si="131"/>
        <v>24</v>
      </c>
      <c r="EK20" s="3"/>
      <c r="EL20" s="3">
        <v>0</v>
      </c>
      <c r="EM20" s="3">
        <v>40</v>
      </c>
    </row>
    <row r="21" spans="1:143" x14ac:dyDescent="0.35">
      <c r="B21" s="33" t="s">
        <v>32</v>
      </c>
      <c r="C21" s="33"/>
      <c r="D21" s="5">
        <f>SUM(D14:D20)</f>
        <v>356</v>
      </c>
      <c r="E21" s="5">
        <f>SUM(E14:E20)</f>
        <v>95</v>
      </c>
      <c r="F21" s="5">
        <f t="shared" ref="F21:H21" si="149">SUM(F14:F20)</f>
        <v>110</v>
      </c>
      <c r="G21" s="5">
        <f t="shared" si="149"/>
        <v>0</v>
      </c>
      <c r="H21" s="5">
        <f t="shared" si="149"/>
        <v>0</v>
      </c>
      <c r="I21" s="6">
        <f>SUM(I14:I20)</f>
        <v>356</v>
      </c>
      <c r="J21" s="6">
        <f>SUM(J14:J20)</f>
        <v>205</v>
      </c>
      <c r="K21" s="6">
        <f t="shared" ref="K21:M21" si="150">SUM(K14:K20)</f>
        <v>167</v>
      </c>
      <c r="L21" s="6">
        <f t="shared" si="150"/>
        <v>236</v>
      </c>
      <c r="M21" s="6">
        <f t="shared" si="150"/>
        <v>283</v>
      </c>
      <c r="N21" s="5">
        <f>SUM(N14:N20)</f>
        <v>309</v>
      </c>
      <c r="O21" s="5">
        <f>SUM(O14:O20)</f>
        <v>136</v>
      </c>
      <c r="P21" s="5">
        <f t="shared" ref="P21:R21" si="151">SUM(P14:P20)</f>
        <v>308</v>
      </c>
      <c r="Q21" s="5">
        <f t="shared" si="151"/>
        <v>340</v>
      </c>
      <c r="R21" s="5">
        <f t="shared" si="151"/>
        <v>324</v>
      </c>
      <c r="S21" s="6">
        <f>SUM(S14:S20)</f>
        <v>325</v>
      </c>
      <c r="T21" s="6">
        <f>SUM(T14:T20)</f>
        <v>104</v>
      </c>
      <c r="U21" s="6">
        <f t="shared" ref="U21:W21" si="152">SUM(U14:U20)</f>
        <v>285</v>
      </c>
      <c r="V21" s="6">
        <f t="shared" si="152"/>
        <v>260</v>
      </c>
      <c r="W21" s="6">
        <f t="shared" si="152"/>
        <v>255</v>
      </c>
      <c r="X21" s="5">
        <f>SUM(X14:X20)</f>
        <v>330</v>
      </c>
      <c r="Y21" s="5">
        <f>SUM(Y14:Y20)</f>
        <v>129</v>
      </c>
      <c r="Z21" s="5">
        <f t="shared" ref="Z21:AB21" si="153">SUM(Z14:Z20)</f>
        <v>315</v>
      </c>
      <c r="AA21" s="5">
        <f t="shared" si="153"/>
        <v>323</v>
      </c>
      <c r="AB21" s="5">
        <f t="shared" si="153"/>
        <v>369</v>
      </c>
      <c r="AC21" s="6">
        <f>SUM(AC14:AC20)</f>
        <v>284</v>
      </c>
      <c r="AD21" s="6">
        <f>SUM(AD14:AD20)</f>
        <v>121</v>
      </c>
      <c r="AE21" s="6">
        <f t="shared" ref="AE21:AG21" si="154">SUM(AE14:AE20)</f>
        <v>364</v>
      </c>
      <c r="AF21" s="6">
        <f t="shared" si="154"/>
        <v>380</v>
      </c>
      <c r="AG21" s="6">
        <f t="shared" si="154"/>
        <v>403</v>
      </c>
      <c r="AH21" s="9">
        <f>SUM(AH14:AH20)</f>
        <v>261</v>
      </c>
      <c r="AI21" s="9">
        <f>SUM(AI14:AI20)</f>
        <v>105</v>
      </c>
      <c r="AJ21" s="9">
        <f t="shared" ref="AJ21:AL21" si="155">SUM(AJ14:AJ20)</f>
        <v>64</v>
      </c>
      <c r="AK21" s="9">
        <f t="shared" si="155"/>
        <v>0</v>
      </c>
      <c r="AL21" s="9">
        <f t="shared" si="155"/>
        <v>0</v>
      </c>
      <c r="AM21" s="6">
        <f>SUM(AM14:AM20)</f>
        <v>261</v>
      </c>
      <c r="AN21" s="6">
        <f>SUM(AN14:AN20)</f>
        <v>117</v>
      </c>
      <c r="AO21" s="6">
        <f t="shared" ref="AO21:AQ21" si="156">SUM(AO14:AO20)</f>
        <v>275</v>
      </c>
      <c r="AP21" s="6">
        <f t="shared" si="156"/>
        <v>256</v>
      </c>
      <c r="AQ21" s="6">
        <f t="shared" si="156"/>
        <v>314</v>
      </c>
      <c r="AR21" s="5">
        <f>SUM(AR14:AR20)</f>
        <v>203</v>
      </c>
      <c r="AS21" s="5">
        <f>SUM(AS14:AS20)</f>
        <v>136</v>
      </c>
      <c r="AT21" s="5">
        <f t="shared" ref="AT21:AV21" si="157">SUM(AT14:AT20)</f>
        <v>306</v>
      </c>
      <c r="AU21" s="5">
        <f t="shared" si="157"/>
        <v>240</v>
      </c>
      <c r="AV21" s="5">
        <f t="shared" si="157"/>
        <v>333</v>
      </c>
      <c r="AW21" s="6">
        <f>SUM(AW14:AW20)</f>
        <v>110</v>
      </c>
      <c r="AX21" s="6">
        <f>SUM(AX14:AX20)</f>
        <v>202</v>
      </c>
      <c r="AY21" s="6">
        <f t="shared" ref="AY21:BA21" si="158">SUM(AY14:AY20)</f>
        <v>364</v>
      </c>
      <c r="AZ21" s="6">
        <f t="shared" si="158"/>
        <v>296</v>
      </c>
      <c r="BA21" s="6">
        <f t="shared" si="158"/>
        <v>308</v>
      </c>
      <c r="BB21" s="5">
        <f>SUM(BB14:BB20)</f>
        <v>98</v>
      </c>
      <c r="BC21" s="5">
        <f>SUM(BC14:BC20)</f>
        <v>221</v>
      </c>
      <c r="BD21" s="5">
        <f t="shared" ref="BD21:BF21" si="159">SUM(BD14:BD20)</f>
        <v>301</v>
      </c>
      <c r="BE21" s="5">
        <f t="shared" si="159"/>
        <v>300</v>
      </c>
      <c r="BF21" s="5">
        <f t="shared" si="159"/>
        <v>246</v>
      </c>
      <c r="BG21" s="6">
        <f>SUM(BG14:BG20)</f>
        <v>152</v>
      </c>
      <c r="BH21" s="6">
        <f>SUM(BH14:BH20)</f>
        <v>222</v>
      </c>
      <c r="BI21" s="6">
        <f t="shared" ref="BI21:BK21" si="160">SUM(BI14:BI20)</f>
        <v>256</v>
      </c>
      <c r="BJ21" s="6">
        <f t="shared" si="160"/>
        <v>268</v>
      </c>
      <c r="BK21" s="6">
        <f t="shared" si="160"/>
        <v>209</v>
      </c>
      <c r="BL21" s="5">
        <f>SUM(BL14:BL20)</f>
        <v>211</v>
      </c>
      <c r="BM21" s="5">
        <f>SUM(BM14:BM20)</f>
        <v>218</v>
      </c>
      <c r="BN21" s="5">
        <f t="shared" ref="BN21:BP21" si="161">SUM(BN14:BN20)</f>
        <v>302</v>
      </c>
      <c r="BO21" s="5">
        <f t="shared" si="161"/>
        <v>356</v>
      </c>
      <c r="BP21" s="5">
        <f t="shared" si="161"/>
        <v>203</v>
      </c>
      <c r="BQ21" s="6">
        <f>SUM(BQ14:BQ20)</f>
        <v>364</v>
      </c>
      <c r="BR21" s="6">
        <f>SUM(BR14:BR20)</f>
        <v>132</v>
      </c>
      <c r="BS21" s="6">
        <f t="shared" ref="BS21:BU21" si="162">SUM(BS14:BS20)</f>
        <v>265</v>
      </c>
      <c r="BT21" s="6">
        <f t="shared" si="162"/>
        <v>128</v>
      </c>
      <c r="BU21" s="6">
        <f t="shared" si="162"/>
        <v>107</v>
      </c>
      <c r="BV21" s="5">
        <f>SUM(BV14:BV20)</f>
        <v>385</v>
      </c>
      <c r="BW21" s="5">
        <f>SUM(BW14:BW20)</f>
        <v>193</v>
      </c>
      <c r="BX21" s="5">
        <f t="shared" ref="BX21:BZ21" si="163">SUM(BX14:BX20)</f>
        <v>148</v>
      </c>
      <c r="BY21" s="5">
        <f t="shared" si="163"/>
        <v>136</v>
      </c>
      <c r="BZ21" s="5">
        <f t="shared" si="163"/>
        <v>210</v>
      </c>
      <c r="CA21" s="6">
        <f>SUM(CA14:CA20)</f>
        <v>311</v>
      </c>
      <c r="CB21" s="6">
        <f>SUM(CB14:CB20)</f>
        <v>205</v>
      </c>
      <c r="CC21" s="6">
        <f t="shared" ref="CC21:CE21" si="164">SUM(CC14:CC20)</f>
        <v>264</v>
      </c>
      <c r="CD21" s="6">
        <f t="shared" si="164"/>
        <v>212</v>
      </c>
      <c r="CE21" s="6">
        <f t="shared" si="164"/>
        <v>249</v>
      </c>
      <c r="CF21" s="5">
        <f>SUM(CF14:CF20)</f>
        <v>274</v>
      </c>
      <c r="CG21" s="5">
        <f>SUM(CG14:CG20)</f>
        <v>253</v>
      </c>
      <c r="CH21" s="5">
        <f t="shared" ref="CH21:CJ21" si="165">SUM(CH14:CH20)</f>
        <v>232</v>
      </c>
      <c r="CI21" s="5">
        <f t="shared" si="165"/>
        <v>192</v>
      </c>
      <c r="CJ21" s="5">
        <f t="shared" si="165"/>
        <v>113</v>
      </c>
      <c r="CK21" s="6">
        <f>SUM(CK14:CK20)</f>
        <v>353</v>
      </c>
      <c r="CL21" s="6">
        <f>SUM(CL14:CL20)</f>
        <v>281</v>
      </c>
      <c r="CM21" s="6">
        <f t="shared" ref="CM21:CO21" si="166">SUM(CM14:CM20)</f>
        <v>250</v>
      </c>
      <c r="CN21" s="6">
        <f t="shared" si="166"/>
        <v>172</v>
      </c>
      <c r="CO21" s="6">
        <f t="shared" si="166"/>
        <v>138</v>
      </c>
      <c r="CP21" s="5">
        <f>SUM(CP14:CP20)</f>
        <v>387</v>
      </c>
      <c r="CQ21" s="5">
        <f>SUM(CQ14:CQ20)</f>
        <v>411</v>
      </c>
      <c r="CR21" s="5">
        <f t="shared" ref="CR21:CT21" si="167">SUM(CR14:CR20)</f>
        <v>144</v>
      </c>
      <c r="CS21" s="5">
        <f t="shared" si="167"/>
        <v>172</v>
      </c>
      <c r="CT21" s="5">
        <f t="shared" si="167"/>
        <v>174</v>
      </c>
      <c r="CU21" s="6">
        <f>SUM(CU14:CU20)</f>
        <v>385</v>
      </c>
      <c r="CV21" s="6">
        <f>SUM(CV14:CV20)</f>
        <v>362</v>
      </c>
      <c r="CW21" s="6">
        <f t="shared" ref="CW21:CY21" si="168">SUM(CW14:CW20)</f>
        <v>222</v>
      </c>
      <c r="CX21" s="6">
        <f t="shared" si="168"/>
        <v>232</v>
      </c>
      <c r="CY21" s="6">
        <f t="shared" si="168"/>
        <v>200</v>
      </c>
      <c r="CZ21" s="5">
        <f>SUM(CZ14:CZ20)</f>
        <v>417</v>
      </c>
      <c r="DA21" s="5">
        <f>SUM(DA14:DA20)</f>
        <v>352</v>
      </c>
      <c r="DB21" s="5">
        <f t="shared" ref="DB21:DD21" si="169">SUM(DB14:DB20)</f>
        <v>248</v>
      </c>
      <c r="DC21" s="5">
        <f t="shared" si="169"/>
        <v>232</v>
      </c>
      <c r="DD21" s="5">
        <f t="shared" si="169"/>
        <v>189</v>
      </c>
      <c r="DE21" s="6">
        <f>SUM(DE14:DE20)</f>
        <v>460</v>
      </c>
      <c r="DF21" s="6">
        <f>SUM(DF14:DF20)</f>
        <v>377</v>
      </c>
      <c r="DG21" s="6">
        <f t="shared" ref="DG21:DI21" si="170">SUM(DG14:DG20)</f>
        <v>105</v>
      </c>
      <c r="DH21" s="6">
        <f t="shared" si="170"/>
        <v>164</v>
      </c>
      <c r="DI21" s="6">
        <f t="shared" si="170"/>
        <v>127</v>
      </c>
      <c r="DJ21" s="5">
        <f>SUM(DJ14:DJ20)</f>
        <v>497</v>
      </c>
      <c r="DK21" s="5">
        <f>SUM(DK14:DK20)</f>
        <v>318</v>
      </c>
      <c r="DL21" s="5">
        <f t="shared" ref="DL21:DN21" si="171">SUM(DL14:DL20)</f>
        <v>148</v>
      </c>
      <c r="DM21" s="5">
        <f t="shared" si="171"/>
        <v>228</v>
      </c>
      <c r="DN21" s="5">
        <f t="shared" si="171"/>
        <v>265</v>
      </c>
      <c r="DO21" s="6">
        <f>SUM(DO14:DO20)</f>
        <v>460</v>
      </c>
      <c r="DP21" s="6">
        <f>SUM(DP14:DP20)</f>
        <v>238</v>
      </c>
      <c r="DQ21" s="6">
        <f t="shared" ref="DQ21:DS21" si="172">SUM(DQ14:DQ20)</f>
        <v>260</v>
      </c>
      <c r="DR21" s="6">
        <f t="shared" si="172"/>
        <v>288</v>
      </c>
      <c r="DS21" s="6">
        <f t="shared" si="172"/>
        <v>170</v>
      </c>
      <c r="DT21" s="5">
        <f>SUM(DT14:DT20)</f>
        <v>431</v>
      </c>
      <c r="DU21" s="5">
        <f>SUM(DU14:DU20)</f>
        <v>210</v>
      </c>
      <c r="DV21" s="5">
        <f t="shared" ref="DV21:DX21" si="173">SUM(DV14:DV20)</f>
        <v>198</v>
      </c>
      <c r="DW21" s="5">
        <f t="shared" si="173"/>
        <v>136</v>
      </c>
      <c r="DX21" s="5">
        <f t="shared" si="173"/>
        <v>135</v>
      </c>
      <c r="DY21" s="6">
        <f>SUM(DY14:DY20)</f>
        <v>432</v>
      </c>
      <c r="DZ21" s="6">
        <f>SUM(DZ14:DZ20)</f>
        <v>272</v>
      </c>
      <c r="EA21" s="6">
        <f t="shared" ref="EA21:EC21" si="174">SUM(EA14:EA20)</f>
        <v>133</v>
      </c>
      <c r="EB21" s="6">
        <f t="shared" si="174"/>
        <v>80</v>
      </c>
      <c r="EC21" s="6">
        <f t="shared" si="174"/>
        <v>127</v>
      </c>
      <c r="ED21" s="5">
        <f>SUM(ED14:ED20)</f>
        <v>385</v>
      </c>
      <c r="EE21" s="5">
        <f>SUM(EE14:EE20)</f>
        <v>325</v>
      </c>
      <c r="EF21" s="5">
        <f t="shared" ref="EF21:EH21" si="175">SUM(EF14:EF20)</f>
        <v>118</v>
      </c>
      <c r="EG21" s="5">
        <f t="shared" si="175"/>
        <v>136</v>
      </c>
      <c r="EH21" s="5">
        <f t="shared" si="175"/>
        <v>149</v>
      </c>
      <c r="EI21" s="6">
        <f>SUM(EI14:EI20)</f>
        <v>372</v>
      </c>
      <c r="EJ21" s="6">
        <f>SUM(EJ14:EJ20)</f>
        <v>307</v>
      </c>
      <c r="EK21" s="6">
        <f t="shared" ref="EK21:EM21" si="176">SUM(EK14:EK20)</f>
        <v>0</v>
      </c>
      <c r="EL21" s="6">
        <f t="shared" si="176"/>
        <v>0</v>
      </c>
      <c r="EM21" s="6">
        <f t="shared" si="176"/>
        <v>367</v>
      </c>
    </row>
    <row r="22" spans="1:143" x14ac:dyDescent="0.35">
      <c r="B22" s="33" t="s">
        <v>39</v>
      </c>
      <c r="C22" s="33"/>
      <c r="D22" s="5">
        <f>D21+D12</f>
        <v>422</v>
      </c>
      <c r="E22" s="5">
        <f t="shared" ref="E22:R22" si="177">E21+E12</f>
        <v>303</v>
      </c>
      <c r="F22" s="5">
        <f t="shared" si="177"/>
        <v>404</v>
      </c>
      <c r="G22" s="5">
        <f t="shared" si="177"/>
        <v>342</v>
      </c>
      <c r="H22" s="5">
        <f t="shared" si="177"/>
        <v>358</v>
      </c>
      <c r="I22" s="6">
        <f t="shared" si="177"/>
        <v>406</v>
      </c>
      <c r="J22" s="6">
        <f t="shared" si="177"/>
        <v>365</v>
      </c>
      <c r="K22" s="6">
        <f t="shared" si="177"/>
        <v>447</v>
      </c>
      <c r="L22" s="6">
        <f t="shared" si="177"/>
        <v>620</v>
      </c>
      <c r="M22" s="6">
        <f t="shared" si="177"/>
        <v>608</v>
      </c>
      <c r="N22" s="5">
        <f t="shared" si="177"/>
        <v>418</v>
      </c>
      <c r="O22" s="5">
        <f t="shared" si="177"/>
        <v>178</v>
      </c>
      <c r="P22" s="5">
        <f t="shared" si="177"/>
        <v>644</v>
      </c>
      <c r="Q22" s="5">
        <f t="shared" si="177"/>
        <v>700</v>
      </c>
      <c r="R22" s="5">
        <f t="shared" si="177"/>
        <v>671</v>
      </c>
      <c r="S22" s="6">
        <f t="shared" ref="S22:W22" si="178">S21+S12</f>
        <v>447</v>
      </c>
      <c r="T22" s="6">
        <f t="shared" si="178"/>
        <v>136</v>
      </c>
      <c r="U22" s="6">
        <f t="shared" si="178"/>
        <v>747</v>
      </c>
      <c r="V22" s="6">
        <f t="shared" si="178"/>
        <v>578</v>
      </c>
      <c r="W22" s="6">
        <f t="shared" si="178"/>
        <v>482</v>
      </c>
      <c r="X22" s="5">
        <f t="shared" ref="X22:AB22" si="179">X21+X12</f>
        <v>543</v>
      </c>
      <c r="Y22" s="5">
        <f t="shared" si="179"/>
        <v>305</v>
      </c>
      <c r="Z22" s="5">
        <f t="shared" si="179"/>
        <v>581</v>
      </c>
      <c r="AA22" s="5">
        <f t="shared" si="179"/>
        <v>505</v>
      </c>
      <c r="AB22" s="5">
        <f t="shared" si="179"/>
        <v>629</v>
      </c>
      <c r="AC22" s="6">
        <f t="shared" ref="AC22:AG22" si="180">AC21+AC12</f>
        <v>419</v>
      </c>
      <c r="AD22" s="6">
        <f t="shared" si="180"/>
        <v>381</v>
      </c>
      <c r="AE22" s="6">
        <f t="shared" si="180"/>
        <v>602</v>
      </c>
      <c r="AF22" s="6">
        <f t="shared" si="180"/>
        <v>380</v>
      </c>
      <c r="AG22" s="6">
        <f t="shared" si="180"/>
        <v>403</v>
      </c>
      <c r="AH22" s="9">
        <f t="shared" ref="AH22:AL22" si="181">AH21+AH12</f>
        <v>396</v>
      </c>
      <c r="AI22" s="9">
        <f t="shared" si="181"/>
        <v>603</v>
      </c>
      <c r="AJ22" s="9">
        <f t="shared" si="181"/>
        <v>64</v>
      </c>
      <c r="AK22" s="9">
        <f t="shared" si="181"/>
        <v>0</v>
      </c>
      <c r="AL22" s="9">
        <f t="shared" si="181"/>
        <v>0</v>
      </c>
      <c r="AM22" s="6">
        <f t="shared" ref="AM22:AQ22" si="182">AM21+AM12</f>
        <v>396</v>
      </c>
      <c r="AN22" s="6">
        <f t="shared" si="182"/>
        <v>643</v>
      </c>
      <c r="AO22" s="6">
        <f t="shared" si="182"/>
        <v>415</v>
      </c>
      <c r="AP22" s="6">
        <f t="shared" si="182"/>
        <v>564</v>
      </c>
      <c r="AQ22" s="6">
        <f t="shared" si="182"/>
        <v>684</v>
      </c>
      <c r="AR22" s="5">
        <f t="shared" ref="AR22:AV22" si="183">AR21+AR12</f>
        <v>276</v>
      </c>
      <c r="AS22" s="5">
        <f t="shared" si="183"/>
        <v>494</v>
      </c>
      <c r="AT22" s="5">
        <f t="shared" si="183"/>
        <v>572</v>
      </c>
      <c r="AU22" s="5">
        <f t="shared" si="183"/>
        <v>562</v>
      </c>
      <c r="AV22" s="5">
        <f t="shared" si="183"/>
        <v>703</v>
      </c>
      <c r="AW22" s="6">
        <f t="shared" ref="AW22:BA22" si="184">AW21+AW12</f>
        <v>162</v>
      </c>
      <c r="AX22" s="6">
        <f t="shared" si="184"/>
        <v>504</v>
      </c>
      <c r="AY22" s="6">
        <f t="shared" si="184"/>
        <v>672</v>
      </c>
      <c r="AZ22" s="6">
        <f t="shared" si="184"/>
        <v>716</v>
      </c>
      <c r="BA22" s="6">
        <f t="shared" si="184"/>
        <v>659</v>
      </c>
      <c r="BB22" s="5">
        <f t="shared" ref="BB22:BF22" si="185">BB21+BB12</f>
        <v>219</v>
      </c>
      <c r="BC22" s="5">
        <f t="shared" si="185"/>
        <v>515</v>
      </c>
      <c r="BD22" s="5">
        <f t="shared" si="185"/>
        <v>623</v>
      </c>
      <c r="BE22" s="5">
        <f t="shared" si="185"/>
        <v>734</v>
      </c>
      <c r="BF22" s="5">
        <f t="shared" si="185"/>
        <v>246</v>
      </c>
      <c r="BG22" s="6">
        <f t="shared" ref="BG22:BK22" si="186">BG21+BG12</f>
        <v>313</v>
      </c>
      <c r="BH22" s="6">
        <f t="shared" si="186"/>
        <v>404</v>
      </c>
      <c r="BI22" s="6">
        <f t="shared" si="186"/>
        <v>564</v>
      </c>
      <c r="BJ22" s="6">
        <f t="shared" si="186"/>
        <v>268</v>
      </c>
      <c r="BK22" s="6">
        <f t="shared" si="186"/>
        <v>209</v>
      </c>
      <c r="BL22" s="5">
        <f t="shared" ref="BL22:BP22" si="187">BL21+BL12</f>
        <v>372</v>
      </c>
      <c r="BM22" s="5">
        <f t="shared" si="187"/>
        <v>708</v>
      </c>
      <c r="BN22" s="5">
        <f t="shared" si="187"/>
        <v>428</v>
      </c>
      <c r="BO22" s="5">
        <f t="shared" si="187"/>
        <v>356</v>
      </c>
      <c r="BP22" s="5">
        <f t="shared" si="187"/>
        <v>203</v>
      </c>
      <c r="BQ22" s="6">
        <f t="shared" ref="BQ22:BU22" si="188">BQ21+BQ12</f>
        <v>525</v>
      </c>
      <c r="BR22" s="6">
        <f t="shared" si="188"/>
        <v>594</v>
      </c>
      <c r="BS22" s="6">
        <f t="shared" si="188"/>
        <v>461</v>
      </c>
      <c r="BT22" s="6">
        <f t="shared" si="188"/>
        <v>530</v>
      </c>
      <c r="BU22" s="6">
        <f t="shared" si="188"/>
        <v>480</v>
      </c>
      <c r="BV22" s="5">
        <f t="shared" ref="BV22:BZ22" si="189">BV21+BV12</f>
        <v>575</v>
      </c>
      <c r="BW22" s="5">
        <f t="shared" si="189"/>
        <v>431</v>
      </c>
      <c r="BX22" s="5">
        <f t="shared" si="189"/>
        <v>484</v>
      </c>
      <c r="BY22" s="5">
        <f t="shared" si="189"/>
        <v>458</v>
      </c>
      <c r="BZ22" s="5">
        <f t="shared" si="189"/>
        <v>587</v>
      </c>
      <c r="CA22" s="6">
        <f t="shared" ref="CA22:CE22" si="190">CA21+CA12</f>
        <v>446</v>
      </c>
      <c r="CB22" s="6">
        <f t="shared" si="190"/>
        <v>457</v>
      </c>
      <c r="CC22" s="6">
        <f t="shared" si="190"/>
        <v>684</v>
      </c>
      <c r="CD22" s="6">
        <f t="shared" si="190"/>
        <v>604</v>
      </c>
      <c r="CE22" s="6">
        <f t="shared" si="190"/>
        <v>644</v>
      </c>
      <c r="CF22" s="5">
        <f t="shared" ref="CF22:CJ22" si="191">CF21+CF12</f>
        <v>433</v>
      </c>
      <c r="CG22" s="5">
        <f t="shared" si="191"/>
        <v>519</v>
      </c>
      <c r="CH22" s="5">
        <f t="shared" si="191"/>
        <v>778</v>
      </c>
      <c r="CI22" s="5">
        <f t="shared" si="191"/>
        <v>556</v>
      </c>
      <c r="CJ22" s="5">
        <f t="shared" si="191"/>
        <v>517</v>
      </c>
      <c r="CK22" s="6">
        <f t="shared" ref="CK22:CO22" si="192">CK21+CK12</f>
        <v>472</v>
      </c>
      <c r="CL22" s="6">
        <f t="shared" si="192"/>
        <v>659</v>
      </c>
      <c r="CM22" s="6">
        <f t="shared" si="192"/>
        <v>670</v>
      </c>
      <c r="CN22" s="6">
        <f t="shared" si="192"/>
        <v>536</v>
      </c>
      <c r="CO22" s="6">
        <f t="shared" si="192"/>
        <v>478</v>
      </c>
      <c r="CP22" s="5">
        <f t="shared" ref="CP22:CT22" si="193">CP21+CP12</f>
        <v>530</v>
      </c>
      <c r="CQ22" s="5">
        <f t="shared" si="193"/>
        <v>845</v>
      </c>
      <c r="CR22" s="5">
        <f t="shared" si="193"/>
        <v>396</v>
      </c>
      <c r="CS22" s="5">
        <f t="shared" si="193"/>
        <v>490</v>
      </c>
      <c r="CT22" s="5">
        <f t="shared" si="193"/>
        <v>406</v>
      </c>
      <c r="CU22" s="6">
        <f t="shared" ref="CU22:CY22" si="194">CU21+CU12</f>
        <v>614</v>
      </c>
      <c r="CV22" s="6">
        <f t="shared" si="194"/>
        <v>730</v>
      </c>
      <c r="CW22" s="6">
        <f t="shared" si="194"/>
        <v>222</v>
      </c>
      <c r="CX22" s="6">
        <f t="shared" si="194"/>
        <v>232</v>
      </c>
      <c r="CY22" s="6">
        <f t="shared" si="194"/>
        <v>200</v>
      </c>
      <c r="CZ22" s="5">
        <f t="shared" ref="CZ22:DD22" si="195">CZ21+CZ12</f>
        <v>769</v>
      </c>
      <c r="DA22" s="5">
        <f t="shared" si="195"/>
        <v>716</v>
      </c>
      <c r="DB22" s="5">
        <f t="shared" si="195"/>
        <v>248</v>
      </c>
      <c r="DC22" s="5">
        <f t="shared" si="195"/>
        <v>232</v>
      </c>
      <c r="DD22" s="5">
        <f t="shared" si="195"/>
        <v>189</v>
      </c>
      <c r="DE22" s="6">
        <f t="shared" ref="DE22:DI22" si="196">DE21+DE12</f>
        <v>812</v>
      </c>
      <c r="DF22" s="6">
        <f t="shared" si="196"/>
        <v>741</v>
      </c>
      <c r="DG22" s="6">
        <f t="shared" si="196"/>
        <v>105</v>
      </c>
      <c r="DH22" s="6">
        <f t="shared" si="196"/>
        <v>164</v>
      </c>
      <c r="DI22" s="6">
        <f t="shared" si="196"/>
        <v>127</v>
      </c>
      <c r="DJ22" s="5">
        <f t="shared" ref="DJ22:DN22" si="197">DJ21+DJ12</f>
        <v>849</v>
      </c>
      <c r="DK22" s="5">
        <f t="shared" si="197"/>
        <v>682</v>
      </c>
      <c r="DL22" s="5">
        <f t="shared" si="197"/>
        <v>148</v>
      </c>
      <c r="DM22" s="5">
        <f t="shared" si="197"/>
        <v>228</v>
      </c>
      <c r="DN22" s="5">
        <f t="shared" si="197"/>
        <v>265</v>
      </c>
      <c r="DO22" s="6">
        <f t="shared" ref="DO22:DS22" si="198">DO21+DO12</f>
        <v>798</v>
      </c>
      <c r="DP22" s="6">
        <f t="shared" si="198"/>
        <v>658</v>
      </c>
      <c r="DQ22" s="6">
        <f t="shared" si="198"/>
        <v>260</v>
      </c>
      <c r="DR22" s="6">
        <f t="shared" si="198"/>
        <v>288</v>
      </c>
      <c r="DS22" s="6">
        <f t="shared" si="198"/>
        <v>170</v>
      </c>
      <c r="DT22" s="5">
        <f t="shared" ref="DT22:DX22" si="199">DT21+DT12</f>
        <v>769</v>
      </c>
      <c r="DU22" s="5">
        <f t="shared" si="199"/>
        <v>630</v>
      </c>
      <c r="DV22" s="5">
        <f t="shared" si="199"/>
        <v>198</v>
      </c>
      <c r="DW22" s="5">
        <f t="shared" si="199"/>
        <v>136</v>
      </c>
      <c r="DX22" s="5">
        <f t="shared" si="199"/>
        <v>135</v>
      </c>
      <c r="DY22" s="6">
        <f t="shared" ref="DY22:EC22" si="200">DY21+DY12</f>
        <v>770</v>
      </c>
      <c r="DZ22" s="6">
        <f t="shared" si="200"/>
        <v>692</v>
      </c>
      <c r="EA22" s="6">
        <f t="shared" si="200"/>
        <v>217</v>
      </c>
      <c r="EB22" s="6">
        <f t="shared" si="200"/>
        <v>230</v>
      </c>
      <c r="EC22" s="6">
        <f t="shared" si="200"/>
        <v>300</v>
      </c>
      <c r="ED22" s="5">
        <f t="shared" ref="ED22:EH22" si="201">ED21+ED12</f>
        <v>700</v>
      </c>
      <c r="EE22" s="5">
        <f t="shared" si="201"/>
        <v>679</v>
      </c>
      <c r="EF22" s="5">
        <f t="shared" si="201"/>
        <v>356</v>
      </c>
      <c r="EG22" s="5">
        <f t="shared" si="201"/>
        <v>276</v>
      </c>
      <c r="EH22" s="5">
        <f t="shared" si="201"/>
        <v>256</v>
      </c>
      <c r="EI22" s="6">
        <f t="shared" ref="EI22:EM22" si="202">EI21+EI12</f>
        <v>720</v>
      </c>
      <c r="EJ22" s="6">
        <f t="shared" si="202"/>
        <v>759</v>
      </c>
      <c r="EK22" s="6">
        <f t="shared" si="202"/>
        <v>0</v>
      </c>
      <c r="EL22" s="6">
        <f t="shared" si="202"/>
        <v>0</v>
      </c>
      <c r="EM22" s="6">
        <f t="shared" si="202"/>
        <v>548</v>
      </c>
    </row>
    <row r="24" spans="1:143" ht="14.5" hidden="1" customHeight="1" x14ac:dyDescent="0.35">
      <c r="B24" s="3">
        <v>14</v>
      </c>
      <c r="C24" s="3">
        <v>180</v>
      </c>
    </row>
    <row r="25" spans="1:143" ht="14.5" hidden="1" customHeight="1" x14ac:dyDescent="0.35">
      <c r="B25" s="3">
        <v>24</v>
      </c>
      <c r="C25" s="3">
        <v>30</v>
      </c>
    </row>
    <row r="26" spans="1:143" ht="14.5" hidden="1" customHeight="1" x14ac:dyDescent="0.35">
      <c r="B26" s="3">
        <v>84</v>
      </c>
      <c r="C26" s="3">
        <v>100</v>
      </c>
    </row>
    <row r="27" spans="1:143" ht="14.5" hidden="1" customHeight="1" x14ac:dyDescent="0.35">
      <c r="B27" s="3">
        <v>34</v>
      </c>
      <c r="C27" s="3">
        <v>49</v>
      </c>
    </row>
    <row r="28" spans="1:143" ht="14.5" hidden="1" customHeight="1" x14ac:dyDescent="0.35">
      <c r="B28" s="3">
        <v>0</v>
      </c>
      <c r="C28" s="3">
        <v>32</v>
      </c>
    </row>
    <row r="29" spans="1:143" ht="14.5" hidden="1" customHeight="1" x14ac:dyDescent="0.35">
      <c r="B29" s="3">
        <v>14</v>
      </c>
      <c r="C29" s="3">
        <v>25</v>
      </c>
    </row>
    <row r="30" spans="1:143" ht="14.5" hidden="1" customHeight="1" x14ac:dyDescent="0.35">
      <c r="B30" s="3">
        <v>48</v>
      </c>
      <c r="C30" s="3">
        <v>8</v>
      </c>
    </row>
    <row r="31" spans="1:143" ht="14.5" hidden="1" customHeight="1" x14ac:dyDescent="0.35">
      <c r="B31" s="3">
        <v>42</v>
      </c>
      <c r="C31" s="3"/>
    </row>
    <row r="32" spans="1:143" ht="29" x14ac:dyDescent="0.35">
      <c r="B32" s="8">
        <v>40</v>
      </c>
      <c r="C32" s="3">
        <v>65</v>
      </c>
      <c r="BK32" s="11" t="s">
        <v>43</v>
      </c>
      <c r="BU32" s="11"/>
      <c r="CE32" s="11"/>
      <c r="CO32" s="11"/>
      <c r="CY32" s="11"/>
      <c r="DI32" s="11"/>
      <c r="DS32" s="11"/>
      <c r="EC32" s="11"/>
      <c r="EM32" s="11"/>
    </row>
    <row r="33" spans="2:3" x14ac:dyDescent="0.35">
      <c r="B33" s="8">
        <v>20</v>
      </c>
      <c r="C33" s="3">
        <v>30</v>
      </c>
    </row>
    <row r="34" spans="2:3" x14ac:dyDescent="0.35">
      <c r="B34" s="8">
        <v>28</v>
      </c>
      <c r="C34" s="3">
        <v>50</v>
      </c>
    </row>
    <row r="35" spans="2:3" x14ac:dyDescent="0.35">
      <c r="B35" s="8">
        <v>22</v>
      </c>
      <c r="C35" s="3">
        <v>35</v>
      </c>
    </row>
    <row r="36" spans="2:3" x14ac:dyDescent="0.35">
      <c r="B36" s="8">
        <v>0</v>
      </c>
      <c r="C36" s="3">
        <v>30</v>
      </c>
    </row>
    <row r="37" spans="2:3" x14ac:dyDescent="0.35">
      <c r="B37" s="8">
        <v>24</v>
      </c>
      <c r="C37" s="3">
        <v>35</v>
      </c>
    </row>
    <row r="38" spans="2:3" x14ac:dyDescent="0.35">
      <c r="B38" s="8">
        <v>28</v>
      </c>
      <c r="C38" s="3">
        <v>40</v>
      </c>
    </row>
    <row r="39" spans="2:3" x14ac:dyDescent="0.35">
      <c r="B39" s="8">
        <v>77</v>
      </c>
    </row>
  </sheetData>
  <mergeCells count="31">
    <mergeCell ref="CF2:CJ2"/>
    <mergeCell ref="BB2:BF2"/>
    <mergeCell ref="AH2:AL2"/>
    <mergeCell ref="AM2:AQ2"/>
    <mergeCell ref="AR2:AV2"/>
    <mergeCell ref="AW2:BA2"/>
    <mergeCell ref="X2:AB2"/>
    <mergeCell ref="AC2:AG2"/>
    <mergeCell ref="B21:C21"/>
    <mergeCell ref="B22:C22"/>
    <mergeCell ref="S2:W2"/>
    <mergeCell ref="D2:H2"/>
    <mergeCell ref="I2:M2"/>
    <mergeCell ref="N2:R2"/>
    <mergeCell ref="B12:C12"/>
    <mergeCell ref="DJ2:DN2"/>
    <mergeCell ref="CK2:CO2"/>
    <mergeCell ref="CP2:CT2"/>
    <mergeCell ref="EI2:EM2"/>
    <mergeCell ref="BG2:BK2"/>
    <mergeCell ref="BL2:BP2"/>
    <mergeCell ref="CU2:CY2"/>
    <mergeCell ref="CZ2:DD2"/>
    <mergeCell ref="DE2:DI2"/>
    <mergeCell ref="DY2:EC2"/>
    <mergeCell ref="ED2:EH2"/>
    <mergeCell ref="DO2:DS2"/>
    <mergeCell ref="DT2:DX2"/>
    <mergeCell ref="BQ2:BU2"/>
    <mergeCell ref="BV2:BZ2"/>
    <mergeCell ref="CA2:CE2"/>
  </mergeCells>
  <conditionalFormatting sqref="DA4:DA11">
    <cfRule type="cellIs" dxfId="0" priority="1" operator="lessThan">
      <formula>0</formula>
    </cfRule>
  </conditionalFormatting>
  <pageMargins left="0.7" right="0.7" top="0.75" bottom="0.75" header="0.3" footer="0.3"/>
  <headerFooter>
    <oddFooter>&amp;L_x000D_&amp;1#&amp;"Calibri Light"&amp;8&amp;K000000 Classified as Public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6FD19-A955-4E99-A378-70AD118CEDAB}">
  <dimension ref="A2:EH33"/>
  <sheetViews>
    <sheetView zoomScale="60" zoomScaleNormal="60" workbookViewId="0">
      <pane xSplit="3" ySplit="3" topLeftCell="M4" activePane="bottomRight" state="frozen"/>
      <selection pane="topRight" activeCell="C1" sqref="C1"/>
      <selection pane="bottomLeft" activeCell="A4" sqref="A4"/>
      <selection pane="bottomRight" activeCell="X2" sqref="X2:AB2"/>
    </sheetView>
  </sheetViews>
  <sheetFormatPr defaultRowHeight="14.5" x14ac:dyDescent="0.35"/>
  <cols>
    <col min="1" max="1" width="3.08984375" bestFit="1" customWidth="1"/>
    <col min="2" max="2" width="16.6328125" bestFit="1" customWidth="1"/>
    <col min="3" max="3" width="14.453125" bestFit="1" customWidth="1"/>
    <col min="4" max="4" width="15.6328125" bestFit="1" customWidth="1"/>
    <col min="5" max="5" width="14.54296875" bestFit="1" customWidth="1"/>
    <col min="6" max="6" width="15.26953125" bestFit="1" customWidth="1"/>
    <col min="7" max="7" width="15.90625" bestFit="1" customWidth="1"/>
    <col min="8" max="8" width="13.1796875" bestFit="1" customWidth="1"/>
    <col min="9" max="9" width="15.6328125" bestFit="1" customWidth="1"/>
    <col min="10" max="10" width="14.54296875" bestFit="1" customWidth="1"/>
    <col min="11" max="11" width="15.26953125" bestFit="1" customWidth="1"/>
    <col min="12" max="12" width="15.90625" bestFit="1" customWidth="1"/>
    <col min="13" max="13" width="13.1796875" bestFit="1" customWidth="1"/>
    <col min="14" max="14" width="15.6328125" bestFit="1" customWidth="1"/>
    <col min="15" max="15" width="14.54296875" bestFit="1" customWidth="1"/>
    <col min="16" max="16" width="15.26953125" bestFit="1" customWidth="1"/>
    <col min="17" max="17" width="15.90625" bestFit="1" customWidth="1"/>
    <col min="18" max="18" width="13.1796875" bestFit="1" customWidth="1"/>
    <col min="19" max="19" width="15.6328125" bestFit="1" customWidth="1"/>
    <col min="20" max="20" width="14.54296875" bestFit="1" customWidth="1"/>
    <col min="21" max="21" width="15.26953125" bestFit="1" customWidth="1"/>
    <col min="22" max="22" width="15.90625" bestFit="1" customWidth="1"/>
    <col min="23" max="23" width="13.1796875" bestFit="1" customWidth="1"/>
    <col min="24" max="24" width="15.6328125" bestFit="1" customWidth="1"/>
    <col min="25" max="25" width="14.54296875" bestFit="1" customWidth="1"/>
    <col min="26" max="26" width="15.26953125" bestFit="1" customWidth="1"/>
    <col min="27" max="27" width="15.90625" bestFit="1" customWidth="1"/>
    <col min="28" max="28" width="13.1796875" bestFit="1" customWidth="1"/>
    <col min="29" max="30" width="7.54296875" bestFit="1" customWidth="1"/>
    <col min="31" max="31" width="8.08984375" bestFit="1" customWidth="1"/>
    <col min="32" max="32" width="8.26953125" bestFit="1" customWidth="1"/>
    <col min="33" max="33" width="8.453125" bestFit="1" customWidth="1"/>
    <col min="34" max="35" width="7.54296875" bestFit="1" customWidth="1"/>
    <col min="36" max="36" width="8.08984375" bestFit="1" customWidth="1"/>
    <col min="37" max="37" width="8.26953125" bestFit="1" customWidth="1"/>
    <col min="38" max="38" width="8.453125" bestFit="1" customWidth="1"/>
    <col min="39" max="40" width="7.54296875" bestFit="1" customWidth="1"/>
    <col min="41" max="41" width="8.08984375" bestFit="1" customWidth="1"/>
    <col min="42" max="42" width="8.26953125" bestFit="1" customWidth="1"/>
    <col min="43" max="43" width="8.453125" bestFit="1" customWidth="1"/>
    <col min="44" max="45" width="7.54296875" bestFit="1" customWidth="1"/>
    <col min="46" max="46" width="8.08984375" bestFit="1" customWidth="1"/>
    <col min="47" max="47" width="8.26953125" bestFit="1" customWidth="1"/>
    <col min="48" max="48" width="8.453125" bestFit="1" customWidth="1"/>
    <col min="49" max="50" width="7.54296875" bestFit="1" customWidth="1"/>
    <col min="51" max="51" width="8.08984375" bestFit="1" customWidth="1"/>
    <col min="52" max="52" width="8.26953125" bestFit="1" customWidth="1"/>
    <col min="53" max="53" width="8.453125" bestFit="1" customWidth="1"/>
    <col min="54" max="55" width="7.54296875" bestFit="1" customWidth="1"/>
    <col min="56" max="56" width="8.08984375" bestFit="1" customWidth="1"/>
    <col min="57" max="57" width="8.26953125" bestFit="1" customWidth="1"/>
    <col min="58" max="58" width="8.453125" bestFit="1" customWidth="1"/>
    <col min="59" max="60" width="7.54296875" bestFit="1" customWidth="1"/>
    <col min="61" max="61" width="8.08984375" bestFit="1" customWidth="1"/>
    <col min="62" max="62" width="8.26953125" bestFit="1" customWidth="1"/>
    <col min="63" max="63" width="8.453125" bestFit="1" customWidth="1"/>
    <col min="64" max="65" width="7.54296875" bestFit="1" customWidth="1"/>
    <col min="66" max="66" width="8.08984375" bestFit="1" customWidth="1"/>
    <col min="67" max="67" width="8.26953125" bestFit="1" customWidth="1"/>
    <col min="68" max="68" width="8.453125" bestFit="1" customWidth="1"/>
    <col min="69" max="70" width="7.54296875" bestFit="1" customWidth="1"/>
    <col min="71" max="71" width="8.08984375" bestFit="1" customWidth="1"/>
    <col min="72" max="72" width="8.26953125" bestFit="1" customWidth="1"/>
    <col min="73" max="73" width="8.453125" bestFit="1" customWidth="1"/>
    <col min="74" max="75" width="7.54296875" bestFit="1" customWidth="1"/>
    <col min="76" max="76" width="8.08984375" bestFit="1" customWidth="1"/>
    <col min="77" max="77" width="8.26953125" bestFit="1" customWidth="1"/>
    <col min="78" max="78" width="8.453125" bestFit="1" customWidth="1"/>
    <col min="79" max="80" width="7.54296875" bestFit="1" customWidth="1"/>
    <col min="81" max="81" width="8.08984375" bestFit="1" customWidth="1"/>
    <col min="82" max="82" width="8.26953125" bestFit="1" customWidth="1"/>
    <col min="83" max="83" width="8.453125" bestFit="1" customWidth="1"/>
    <col min="84" max="85" width="7.54296875" bestFit="1" customWidth="1"/>
    <col min="86" max="86" width="8.08984375" bestFit="1" customWidth="1"/>
    <col min="87" max="87" width="8.26953125" bestFit="1" customWidth="1"/>
    <col min="88" max="88" width="8.453125" bestFit="1" customWidth="1"/>
    <col min="89" max="90" width="7.54296875" bestFit="1" customWidth="1"/>
    <col min="91" max="91" width="8.08984375" bestFit="1" customWidth="1"/>
    <col min="92" max="92" width="8.26953125" bestFit="1" customWidth="1"/>
    <col min="93" max="93" width="8.453125" bestFit="1" customWidth="1"/>
    <col min="94" max="95" width="7.54296875" bestFit="1" customWidth="1"/>
    <col min="96" max="96" width="8.08984375" bestFit="1" customWidth="1"/>
    <col min="97" max="97" width="8.26953125" bestFit="1" customWidth="1"/>
    <col min="98" max="98" width="8.453125" bestFit="1" customWidth="1"/>
    <col min="99" max="100" width="7.54296875" bestFit="1" customWidth="1"/>
    <col min="101" max="101" width="8.08984375" bestFit="1" customWidth="1"/>
    <col min="102" max="102" width="8.26953125" bestFit="1" customWidth="1"/>
    <col min="103" max="103" width="8.453125" bestFit="1" customWidth="1"/>
    <col min="104" max="105" width="7.54296875" bestFit="1" customWidth="1"/>
    <col min="106" max="106" width="8.08984375" bestFit="1" customWidth="1"/>
    <col min="107" max="107" width="8.26953125" bestFit="1" customWidth="1"/>
    <col min="108" max="108" width="8.453125" bestFit="1" customWidth="1"/>
    <col min="109" max="110" width="7.54296875" bestFit="1" customWidth="1"/>
    <col min="111" max="111" width="8.08984375" bestFit="1" customWidth="1"/>
    <col min="112" max="112" width="8.26953125" bestFit="1" customWidth="1"/>
    <col min="113" max="113" width="8.453125" bestFit="1" customWidth="1"/>
    <col min="114" max="115" width="7.54296875" bestFit="1" customWidth="1"/>
    <col min="116" max="116" width="8.08984375" bestFit="1" customWidth="1"/>
    <col min="117" max="117" width="8.26953125" bestFit="1" customWidth="1"/>
    <col min="118" max="118" width="8.453125" bestFit="1" customWidth="1"/>
    <col min="119" max="120" width="7.54296875" bestFit="1" customWidth="1"/>
    <col min="121" max="121" width="8.08984375" bestFit="1" customWidth="1"/>
    <col min="122" max="122" width="8.26953125" bestFit="1" customWidth="1"/>
    <col min="123" max="123" width="8.453125" bestFit="1" customWidth="1"/>
    <col min="124" max="125" width="7.54296875" bestFit="1" customWidth="1"/>
    <col min="126" max="126" width="8.08984375" bestFit="1" customWidth="1"/>
    <col min="127" max="127" width="8.26953125" bestFit="1" customWidth="1"/>
    <col min="128" max="128" width="8.453125" bestFit="1" customWidth="1"/>
    <col min="129" max="130" width="7.54296875" bestFit="1" customWidth="1"/>
    <col min="131" max="131" width="8.08984375" bestFit="1" customWidth="1"/>
    <col min="132" max="132" width="8.26953125" bestFit="1" customWidth="1"/>
    <col min="133" max="133" width="8.453125" bestFit="1" customWidth="1"/>
    <col min="134" max="135" width="7.54296875" bestFit="1" customWidth="1"/>
    <col min="136" max="136" width="8.08984375" bestFit="1" customWidth="1"/>
    <col min="137" max="137" width="8.26953125" bestFit="1" customWidth="1"/>
    <col min="138" max="138" width="8.453125" bestFit="1" customWidth="1"/>
  </cols>
  <sheetData>
    <row r="2" spans="1:138" x14ac:dyDescent="0.35">
      <c r="B2" s="7" t="s">
        <v>38</v>
      </c>
      <c r="C2" s="7"/>
      <c r="D2" s="31">
        <v>46024</v>
      </c>
      <c r="E2" s="32"/>
      <c r="F2" s="32"/>
      <c r="G2" s="32"/>
      <c r="H2" s="32"/>
      <c r="I2" s="41">
        <v>46025</v>
      </c>
      <c r="J2" s="42"/>
      <c r="K2" s="42"/>
      <c r="L2" s="42"/>
      <c r="M2" s="42"/>
      <c r="N2" s="31">
        <v>46027</v>
      </c>
      <c r="O2" s="32"/>
      <c r="P2" s="32"/>
      <c r="Q2" s="32"/>
      <c r="R2" s="32"/>
      <c r="S2" s="41">
        <v>46028</v>
      </c>
      <c r="T2" s="42"/>
      <c r="U2" s="42"/>
      <c r="V2" s="42"/>
      <c r="W2" s="42"/>
      <c r="X2" s="31">
        <v>46029</v>
      </c>
      <c r="Y2" s="32"/>
      <c r="Z2" s="32"/>
      <c r="AA2" s="32"/>
      <c r="AB2" s="32"/>
      <c r="AC2" s="29">
        <v>46030</v>
      </c>
      <c r="AD2" s="30"/>
      <c r="AE2" s="30"/>
      <c r="AF2" s="30"/>
      <c r="AG2" s="30"/>
      <c r="AH2" s="31">
        <v>46031</v>
      </c>
      <c r="AI2" s="32"/>
      <c r="AJ2" s="32"/>
      <c r="AK2" s="32"/>
      <c r="AL2" s="32"/>
      <c r="AM2" s="29">
        <v>46032</v>
      </c>
      <c r="AN2" s="30"/>
      <c r="AO2" s="30"/>
      <c r="AP2" s="30"/>
      <c r="AQ2" s="30"/>
      <c r="AR2" s="31">
        <v>46033</v>
      </c>
      <c r="AS2" s="32"/>
      <c r="AT2" s="32"/>
      <c r="AU2" s="32"/>
      <c r="AV2" s="32"/>
      <c r="AW2" s="29">
        <v>46034</v>
      </c>
      <c r="AX2" s="30"/>
      <c r="AY2" s="30"/>
      <c r="AZ2" s="30"/>
      <c r="BA2" s="30"/>
      <c r="BB2" s="31">
        <v>46035</v>
      </c>
      <c r="BC2" s="32"/>
      <c r="BD2" s="32"/>
      <c r="BE2" s="32"/>
      <c r="BF2" s="32"/>
      <c r="BG2" s="29">
        <v>46037</v>
      </c>
      <c r="BH2" s="30"/>
      <c r="BI2" s="30"/>
      <c r="BJ2" s="30"/>
      <c r="BK2" s="30"/>
      <c r="BL2" s="31">
        <v>46038</v>
      </c>
      <c r="BM2" s="32"/>
      <c r="BN2" s="32"/>
      <c r="BO2" s="32"/>
      <c r="BP2" s="32"/>
      <c r="BQ2" s="29">
        <v>46039</v>
      </c>
      <c r="BR2" s="30"/>
      <c r="BS2" s="30"/>
      <c r="BT2" s="30"/>
      <c r="BU2" s="30"/>
      <c r="BV2" s="31">
        <v>46040</v>
      </c>
      <c r="BW2" s="32"/>
      <c r="BX2" s="32"/>
      <c r="BY2" s="32"/>
      <c r="BZ2" s="32"/>
      <c r="CA2" s="29">
        <v>46041</v>
      </c>
      <c r="CB2" s="30"/>
      <c r="CC2" s="30"/>
      <c r="CD2" s="30"/>
      <c r="CE2" s="30"/>
      <c r="CF2" s="31">
        <v>46042</v>
      </c>
      <c r="CG2" s="32"/>
      <c r="CH2" s="32"/>
      <c r="CI2" s="32"/>
      <c r="CJ2" s="32"/>
      <c r="CK2" s="29">
        <v>46043</v>
      </c>
      <c r="CL2" s="30"/>
      <c r="CM2" s="30"/>
      <c r="CN2" s="30"/>
      <c r="CO2" s="30"/>
      <c r="CP2" s="31">
        <v>46044</v>
      </c>
      <c r="CQ2" s="32"/>
      <c r="CR2" s="32"/>
      <c r="CS2" s="32"/>
      <c r="CT2" s="32"/>
      <c r="CU2" s="29">
        <v>46045</v>
      </c>
      <c r="CV2" s="30"/>
      <c r="CW2" s="30"/>
      <c r="CX2" s="30"/>
      <c r="CY2" s="30"/>
      <c r="CZ2" s="31">
        <v>46046</v>
      </c>
      <c r="DA2" s="32"/>
      <c r="DB2" s="32"/>
      <c r="DC2" s="32"/>
      <c r="DD2" s="32"/>
      <c r="DE2" s="29">
        <v>46047</v>
      </c>
      <c r="DF2" s="30"/>
      <c r="DG2" s="30"/>
      <c r="DH2" s="30"/>
      <c r="DI2" s="30"/>
      <c r="DJ2" s="31">
        <v>46049</v>
      </c>
      <c r="DK2" s="32"/>
      <c r="DL2" s="32"/>
      <c r="DM2" s="32"/>
      <c r="DN2" s="32"/>
      <c r="DO2" s="29">
        <v>46050</v>
      </c>
      <c r="DP2" s="30"/>
      <c r="DQ2" s="30"/>
      <c r="DR2" s="30"/>
      <c r="DS2" s="30"/>
      <c r="DT2" s="31">
        <v>46051</v>
      </c>
      <c r="DU2" s="32"/>
      <c r="DV2" s="32"/>
      <c r="DW2" s="32"/>
      <c r="DX2" s="32"/>
      <c r="DY2" s="29">
        <v>46052</v>
      </c>
      <c r="DZ2" s="30"/>
      <c r="EA2" s="30"/>
      <c r="EB2" s="30"/>
      <c r="EC2" s="30"/>
      <c r="ED2" s="31">
        <v>46053</v>
      </c>
      <c r="EE2" s="32"/>
      <c r="EF2" s="32"/>
      <c r="EG2" s="32"/>
      <c r="EH2" s="32"/>
    </row>
    <row r="3" spans="1:138" s="1" customFormat="1" ht="43.5" x14ac:dyDescent="0.35">
      <c r="B3" s="4" t="s">
        <v>21</v>
      </c>
      <c r="C3" s="4" t="s">
        <v>22</v>
      </c>
      <c r="D3" s="5" t="s">
        <v>36</v>
      </c>
      <c r="E3" s="5" t="s">
        <v>37</v>
      </c>
      <c r="F3" s="5" t="s">
        <v>34</v>
      </c>
      <c r="G3" s="5" t="s">
        <v>35</v>
      </c>
      <c r="H3" s="5" t="s">
        <v>33</v>
      </c>
      <c r="I3" s="6" t="s">
        <v>36</v>
      </c>
      <c r="J3" s="6" t="s">
        <v>37</v>
      </c>
      <c r="K3" s="6" t="s">
        <v>34</v>
      </c>
      <c r="L3" s="6" t="s">
        <v>35</v>
      </c>
      <c r="M3" s="6" t="s">
        <v>33</v>
      </c>
      <c r="N3" s="5" t="s">
        <v>36</v>
      </c>
      <c r="O3" s="5" t="s">
        <v>37</v>
      </c>
      <c r="P3" s="5" t="s">
        <v>34</v>
      </c>
      <c r="Q3" s="5" t="s">
        <v>35</v>
      </c>
      <c r="R3" s="5" t="s">
        <v>33</v>
      </c>
      <c r="S3" s="6" t="s">
        <v>36</v>
      </c>
      <c r="T3" s="6" t="s">
        <v>37</v>
      </c>
      <c r="U3" s="6" t="s">
        <v>34</v>
      </c>
      <c r="V3" s="6" t="s">
        <v>35</v>
      </c>
      <c r="W3" s="6" t="s">
        <v>33</v>
      </c>
      <c r="X3" s="5" t="s">
        <v>36</v>
      </c>
      <c r="Y3" s="5" t="s">
        <v>37</v>
      </c>
      <c r="Z3" s="5" t="s">
        <v>34</v>
      </c>
      <c r="AA3" s="5" t="s">
        <v>35</v>
      </c>
      <c r="AB3" s="5" t="s">
        <v>33</v>
      </c>
      <c r="AC3" s="14" t="s">
        <v>36</v>
      </c>
      <c r="AD3" s="14" t="s">
        <v>37</v>
      </c>
      <c r="AE3" s="14" t="s">
        <v>34</v>
      </c>
      <c r="AF3" s="14" t="s">
        <v>35</v>
      </c>
      <c r="AG3" s="14" t="s">
        <v>33</v>
      </c>
      <c r="AH3" s="5" t="s">
        <v>36</v>
      </c>
      <c r="AI3" s="5" t="s">
        <v>37</v>
      </c>
      <c r="AJ3" s="5" t="s">
        <v>34</v>
      </c>
      <c r="AK3" s="5" t="s">
        <v>35</v>
      </c>
      <c r="AL3" s="5" t="s">
        <v>33</v>
      </c>
      <c r="AM3" s="14" t="s">
        <v>36</v>
      </c>
      <c r="AN3" s="14" t="s">
        <v>37</v>
      </c>
      <c r="AO3" s="14" t="s">
        <v>34</v>
      </c>
      <c r="AP3" s="14" t="s">
        <v>35</v>
      </c>
      <c r="AQ3" s="14" t="s">
        <v>33</v>
      </c>
      <c r="AR3" s="5" t="s">
        <v>36</v>
      </c>
      <c r="AS3" s="5" t="s">
        <v>37</v>
      </c>
      <c r="AT3" s="5" t="s">
        <v>34</v>
      </c>
      <c r="AU3" s="5" t="s">
        <v>35</v>
      </c>
      <c r="AV3" s="5" t="s">
        <v>33</v>
      </c>
      <c r="AW3" s="14" t="s">
        <v>36</v>
      </c>
      <c r="AX3" s="14" t="s">
        <v>37</v>
      </c>
      <c r="AY3" s="14" t="s">
        <v>34</v>
      </c>
      <c r="AZ3" s="14" t="s">
        <v>35</v>
      </c>
      <c r="BA3" s="14" t="s">
        <v>33</v>
      </c>
      <c r="BB3" s="5" t="s">
        <v>36</v>
      </c>
      <c r="BC3" s="5" t="s">
        <v>37</v>
      </c>
      <c r="BD3" s="5" t="s">
        <v>34</v>
      </c>
      <c r="BE3" s="5" t="s">
        <v>35</v>
      </c>
      <c r="BF3" s="5" t="s">
        <v>33</v>
      </c>
      <c r="BG3" s="14" t="s">
        <v>36</v>
      </c>
      <c r="BH3" s="14" t="s">
        <v>37</v>
      </c>
      <c r="BI3" s="14" t="s">
        <v>34</v>
      </c>
      <c r="BJ3" s="14" t="s">
        <v>35</v>
      </c>
      <c r="BK3" s="14" t="s">
        <v>33</v>
      </c>
      <c r="BL3" s="5" t="s">
        <v>36</v>
      </c>
      <c r="BM3" s="5" t="s">
        <v>37</v>
      </c>
      <c r="BN3" s="5" t="s">
        <v>34</v>
      </c>
      <c r="BO3" s="5" t="s">
        <v>35</v>
      </c>
      <c r="BP3" s="5" t="s">
        <v>33</v>
      </c>
      <c r="BQ3" s="14" t="s">
        <v>36</v>
      </c>
      <c r="BR3" s="14" t="s">
        <v>37</v>
      </c>
      <c r="BS3" s="14" t="s">
        <v>34</v>
      </c>
      <c r="BT3" s="14" t="s">
        <v>35</v>
      </c>
      <c r="BU3" s="14" t="s">
        <v>33</v>
      </c>
      <c r="BV3" s="5" t="s">
        <v>36</v>
      </c>
      <c r="BW3" s="5" t="s">
        <v>37</v>
      </c>
      <c r="BX3" s="5" t="s">
        <v>34</v>
      </c>
      <c r="BY3" s="5" t="s">
        <v>35</v>
      </c>
      <c r="BZ3" s="5" t="s">
        <v>33</v>
      </c>
      <c r="CA3" s="14" t="s">
        <v>36</v>
      </c>
      <c r="CB3" s="14" t="s">
        <v>37</v>
      </c>
      <c r="CC3" s="14" t="s">
        <v>34</v>
      </c>
      <c r="CD3" s="14" t="s">
        <v>35</v>
      </c>
      <c r="CE3" s="14" t="s">
        <v>33</v>
      </c>
      <c r="CF3" s="5" t="s">
        <v>36</v>
      </c>
      <c r="CG3" s="5" t="s">
        <v>37</v>
      </c>
      <c r="CH3" s="5" t="s">
        <v>34</v>
      </c>
      <c r="CI3" s="5" t="s">
        <v>35</v>
      </c>
      <c r="CJ3" s="5" t="s">
        <v>33</v>
      </c>
      <c r="CK3" s="14" t="s">
        <v>36</v>
      </c>
      <c r="CL3" s="14" t="s">
        <v>37</v>
      </c>
      <c r="CM3" s="14" t="s">
        <v>34</v>
      </c>
      <c r="CN3" s="14" t="s">
        <v>35</v>
      </c>
      <c r="CO3" s="14" t="s">
        <v>33</v>
      </c>
      <c r="CP3" s="5" t="s">
        <v>36</v>
      </c>
      <c r="CQ3" s="5" t="s">
        <v>37</v>
      </c>
      <c r="CR3" s="5" t="s">
        <v>34</v>
      </c>
      <c r="CS3" s="5" t="s">
        <v>35</v>
      </c>
      <c r="CT3" s="5" t="s">
        <v>33</v>
      </c>
      <c r="CU3" s="14" t="s">
        <v>36</v>
      </c>
      <c r="CV3" s="14" t="s">
        <v>37</v>
      </c>
      <c r="CW3" s="14" t="s">
        <v>34</v>
      </c>
      <c r="CX3" s="14" t="s">
        <v>35</v>
      </c>
      <c r="CY3" s="14" t="s">
        <v>33</v>
      </c>
      <c r="CZ3" s="5" t="s">
        <v>36</v>
      </c>
      <c r="DA3" s="5" t="s">
        <v>37</v>
      </c>
      <c r="DB3" s="5" t="s">
        <v>34</v>
      </c>
      <c r="DC3" s="5" t="s">
        <v>35</v>
      </c>
      <c r="DD3" s="5" t="s">
        <v>33</v>
      </c>
      <c r="DE3" s="14" t="s">
        <v>36</v>
      </c>
      <c r="DF3" s="14" t="s">
        <v>37</v>
      </c>
      <c r="DG3" s="14" t="s">
        <v>34</v>
      </c>
      <c r="DH3" s="14" t="s">
        <v>35</v>
      </c>
      <c r="DI3" s="14" t="s">
        <v>33</v>
      </c>
      <c r="DJ3" s="5" t="s">
        <v>36</v>
      </c>
      <c r="DK3" s="5" t="s">
        <v>37</v>
      </c>
      <c r="DL3" s="5" t="s">
        <v>34</v>
      </c>
      <c r="DM3" s="5" t="s">
        <v>35</v>
      </c>
      <c r="DN3" s="5" t="s">
        <v>33</v>
      </c>
      <c r="DO3" s="14" t="s">
        <v>36</v>
      </c>
      <c r="DP3" s="14" t="s">
        <v>37</v>
      </c>
      <c r="DQ3" s="14" t="s">
        <v>34</v>
      </c>
      <c r="DR3" s="14" t="s">
        <v>35</v>
      </c>
      <c r="DS3" s="14" t="s">
        <v>33</v>
      </c>
      <c r="DT3" s="5" t="s">
        <v>36</v>
      </c>
      <c r="DU3" s="5" t="s">
        <v>37</v>
      </c>
      <c r="DV3" s="5" t="s">
        <v>34</v>
      </c>
      <c r="DW3" s="5" t="s">
        <v>35</v>
      </c>
      <c r="DX3" s="5" t="s">
        <v>33</v>
      </c>
      <c r="DY3" s="14" t="s">
        <v>36</v>
      </c>
      <c r="DZ3" s="14" t="s">
        <v>37</v>
      </c>
      <c r="EA3" s="14" t="s">
        <v>34</v>
      </c>
      <c r="EB3" s="14" t="s">
        <v>35</v>
      </c>
      <c r="EC3" s="14" t="s">
        <v>33</v>
      </c>
      <c r="ED3" s="5" t="s">
        <v>36</v>
      </c>
      <c r="EE3" s="5" t="s">
        <v>37</v>
      </c>
      <c r="EF3" s="5" t="s">
        <v>34</v>
      </c>
      <c r="EG3" s="5" t="s">
        <v>35</v>
      </c>
      <c r="EH3" s="5" t="s">
        <v>33</v>
      </c>
    </row>
    <row r="4" spans="1:138" x14ac:dyDescent="0.35">
      <c r="A4" s="3">
        <v>54</v>
      </c>
      <c r="B4" s="2" t="s">
        <v>0</v>
      </c>
      <c r="C4" s="2" t="s">
        <v>13</v>
      </c>
      <c r="D4" s="3">
        <f t="shared" ref="D4:D10" si="0">A4</f>
        <v>54</v>
      </c>
      <c r="E4" s="3">
        <v>56</v>
      </c>
      <c r="F4" s="3">
        <v>14</v>
      </c>
      <c r="G4" s="3">
        <v>28</v>
      </c>
      <c r="H4" s="3">
        <v>34</v>
      </c>
      <c r="I4" s="3">
        <f>D4+G4-H4</f>
        <v>48</v>
      </c>
      <c r="J4" s="3">
        <f>E4+F4-G4</f>
        <v>42</v>
      </c>
      <c r="K4" s="3">
        <v>42</v>
      </c>
      <c r="L4" s="3">
        <v>52</v>
      </c>
      <c r="M4" s="3">
        <v>44</v>
      </c>
      <c r="N4" s="3">
        <f>I4+L4-M4</f>
        <v>56</v>
      </c>
      <c r="O4" s="3">
        <f>J4+K4-L4</f>
        <v>32</v>
      </c>
      <c r="P4" s="3">
        <v>0</v>
      </c>
      <c r="Q4" s="3">
        <v>0</v>
      </c>
      <c r="R4" s="3">
        <v>7</v>
      </c>
      <c r="S4" s="3">
        <f>N4+Q4-R4</f>
        <v>49</v>
      </c>
      <c r="T4" s="3">
        <f>O4+P4-Q4</f>
        <v>32</v>
      </c>
      <c r="U4" s="3">
        <v>14</v>
      </c>
      <c r="V4" s="3">
        <v>14</v>
      </c>
      <c r="W4" s="3">
        <v>33</v>
      </c>
      <c r="X4" s="3">
        <f>S4+V4-W4</f>
        <v>30</v>
      </c>
      <c r="Y4" s="3">
        <f>T4+U4-V4</f>
        <v>32</v>
      </c>
      <c r="Z4" s="3">
        <f>42+28</f>
        <v>70</v>
      </c>
      <c r="AA4" s="3">
        <v>56</v>
      </c>
      <c r="AB4" s="3">
        <v>65</v>
      </c>
      <c r="AC4" s="3">
        <f>X4+AA4-AB4</f>
        <v>21</v>
      </c>
      <c r="AD4" s="3">
        <f>Y4+Z4-AA4</f>
        <v>46</v>
      </c>
      <c r="AE4" s="3">
        <v>28</v>
      </c>
      <c r="AF4" s="3">
        <v>28</v>
      </c>
      <c r="AG4" s="3">
        <v>23</v>
      </c>
      <c r="AH4" s="3">
        <f>AC4+AF4-AG4</f>
        <v>26</v>
      </c>
      <c r="AI4" s="3">
        <f>AD4+AE4-AF4</f>
        <v>46</v>
      </c>
      <c r="AJ4" s="3">
        <v>44</v>
      </c>
      <c r="AK4" s="3">
        <v>42</v>
      </c>
      <c r="AL4" s="3">
        <v>37</v>
      </c>
      <c r="AM4" s="3">
        <f>AH4+AK4-AL4</f>
        <v>31</v>
      </c>
      <c r="AN4" s="3">
        <f>AI4+AJ4-AK4</f>
        <v>48</v>
      </c>
      <c r="AO4" s="3">
        <f>28+42</f>
        <v>70</v>
      </c>
      <c r="AP4" s="3">
        <v>84</v>
      </c>
      <c r="AQ4" s="3">
        <v>79</v>
      </c>
      <c r="AR4" s="3">
        <f>AM4+AP4-AQ4</f>
        <v>36</v>
      </c>
      <c r="AS4" s="3">
        <f>AN4+AO4-AP4</f>
        <v>34</v>
      </c>
      <c r="AT4" s="3">
        <f>84+14</f>
        <v>98</v>
      </c>
      <c r="AU4" s="3">
        <v>76</v>
      </c>
      <c r="AV4" s="3">
        <v>64</v>
      </c>
      <c r="AW4" s="3">
        <f>AR4+AU4-AV4</f>
        <v>48</v>
      </c>
      <c r="AX4" s="3">
        <f>AS4+AT4-AU4</f>
        <v>56</v>
      </c>
      <c r="AY4" s="3">
        <v>56</v>
      </c>
      <c r="AZ4" s="3">
        <v>28</v>
      </c>
      <c r="BA4" s="3">
        <v>19</v>
      </c>
      <c r="BB4" s="3">
        <f>AW4+AZ4-BA4</f>
        <v>57</v>
      </c>
      <c r="BC4" s="3">
        <f>AX4+AY4-AZ4</f>
        <v>84</v>
      </c>
      <c r="BD4" s="3">
        <v>0</v>
      </c>
      <c r="BE4" s="3">
        <v>14</v>
      </c>
      <c r="BF4" s="3">
        <v>55</v>
      </c>
      <c r="BG4" s="3">
        <f>BB4+BE4-BF4</f>
        <v>16</v>
      </c>
      <c r="BH4" s="3">
        <f>BC4+BD4-BE4</f>
        <v>70</v>
      </c>
      <c r="BI4" s="3"/>
      <c r="BJ4" s="3"/>
      <c r="BK4" s="3">
        <v>0</v>
      </c>
      <c r="BL4" s="3">
        <f>BG4+BJ4-BK4</f>
        <v>16</v>
      </c>
      <c r="BM4" s="3">
        <f>BH4+BI4-BJ4</f>
        <v>70</v>
      </c>
      <c r="BN4" s="3">
        <v>56</v>
      </c>
      <c r="BO4" s="3">
        <v>28</v>
      </c>
      <c r="BP4" s="3">
        <v>40</v>
      </c>
      <c r="BQ4" s="3">
        <f>BL4+BO4-BP4</f>
        <v>4</v>
      </c>
      <c r="BR4" s="3">
        <f>BM4+BN4-BO4</f>
        <v>98</v>
      </c>
      <c r="BS4" s="3">
        <f>56</f>
        <v>56</v>
      </c>
      <c r="BT4" s="3">
        <v>56</v>
      </c>
      <c r="BU4" s="3">
        <v>40</v>
      </c>
      <c r="BV4" s="3">
        <f>BQ4+BT4-BU4</f>
        <v>20</v>
      </c>
      <c r="BW4" s="3">
        <f>BR4+BS4-BT4</f>
        <v>98</v>
      </c>
      <c r="BX4" s="3">
        <f>42+42</f>
        <v>84</v>
      </c>
      <c r="BY4" s="3">
        <v>84</v>
      </c>
      <c r="BZ4" s="3">
        <v>75</v>
      </c>
      <c r="CA4" s="3">
        <f>BV4+BY4-BZ4</f>
        <v>29</v>
      </c>
      <c r="CB4" s="3">
        <f>BW4+BX4-BY4</f>
        <v>98</v>
      </c>
      <c r="CC4" s="3">
        <f>56+42</f>
        <v>98</v>
      </c>
      <c r="CD4" s="3">
        <v>56</v>
      </c>
      <c r="CE4" s="3">
        <v>80</v>
      </c>
      <c r="CF4" s="3">
        <f>CA4+CD4-CE4</f>
        <v>5</v>
      </c>
      <c r="CG4" s="3">
        <f>CB4+CC4-CD4</f>
        <v>140</v>
      </c>
      <c r="CH4" s="3">
        <f>14+42</f>
        <v>56</v>
      </c>
      <c r="CI4" s="3">
        <v>70</v>
      </c>
      <c r="CJ4" s="3">
        <v>61</v>
      </c>
      <c r="CK4" s="3">
        <f>CF4+CI4-CJ4</f>
        <v>14</v>
      </c>
      <c r="CL4" s="3">
        <f>CG4+CH4-CI4</f>
        <v>126</v>
      </c>
      <c r="CM4" s="3">
        <f>56</f>
        <v>56</v>
      </c>
      <c r="CN4" s="3">
        <v>66</v>
      </c>
      <c r="CO4" s="3">
        <v>70</v>
      </c>
      <c r="CP4" s="3">
        <f>CK4+CN4-CO4</f>
        <v>10</v>
      </c>
      <c r="CQ4" s="3">
        <f>CL4+CM4-CN4</f>
        <v>116</v>
      </c>
      <c r="CR4" s="3">
        <f>70+56</f>
        <v>126</v>
      </c>
      <c r="CS4" s="3">
        <v>70</v>
      </c>
      <c r="CT4" s="3">
        <v>58</v>
      </c>
      <c r="CU4" s="3">
        <f>CP4+CS4-CT4</f>
        <v>22</v>
      </c>
      <c r="CV4" s="3">
        <v>28</v>
      </c>
      <c r="CW4" s="3">
        <v>42</v>
      </c>
      <c r="CX4" s="3">
        <v>56</v>
      </c>
      <c r="CY4" s="3">
        <v>48</v>
      </c>
      <c r="CZ4" s="3">
        <f>CU4+CX4-CY4</f>
        <v>30</v>
      </c>
      <c r="DA4" s="3">
        <f>CV4+CW4-CX4</f>
        <v>14</v>
      </c>
      <c r="DB4" s="3">
        <v>42</v>
      </c>
      <c r="DC4" s="3">
        <v>56</v>
      </c>
      <c r="DD4" s="3">
        <v>76</v>
      </c>
      <c r="DE4" s="3">
        <f>CZ4+DC4-DD4</f>
        <v>10</v>
      </c>
      <c r="DF4" s="3">
        <f>DA4+DB4-DC4</f>
        <v>0</v>
      </c>
      <c r="DG4" s="3">
        <v>28</v>
      </c>
      <c r="DH4" s="3">
        <v>28</v>
      </c>
      <c r="DI4" s="3">
        <v>0</v>
      </c>
      <c r="DJ4" s="3">
        <f>DE4+DH4-DI4</f>
        <v>38</v>
      </c>
      <c r="DK4" s="3">
        <f>DF4+DG4-DH4</f>
        <v>0</v>
      </c>
      <c r="DL4" s="3">
        <v>56</v>
      </c>
      <c r="DM4" s="3">
        <v>56</v>
      </c>
      <c r="DN4" s="3">
        <v>61</v>
      </c>
      <c r="DO4" s="3">
        <f>DJ4+DM4-DN4</f>
        <v>33</v>
      </c>
      <c r="DP4" s="3">
        <f>DK4+DL4-DM4</f>
        <v>0</v>
      </c>
      <c r="DQ4" s="3">
        <v>84</v>
      </c>
      <c r="DR4" s="3">
        <v>70</v>
      </c>
      <c r="DS4" s="3">
        <v>66</v>
      </c>
      <c r="DT4" s="3">
        <f>DO4+DR4-DS4</f>
        <v>37</v>
      </c>
      <c r="DU4" s="3">
        <f>DP4+DQ4-DR4</f>
        <v>14</v>
      </c>
      <c r="DV4" s="3">
        <v>98</v>
      </c>
      <c r="DW4" s="3">
        <v>98</v>
      </c>
      <c r="DX4" s="3">
        <v>84</v>
      </c>
      <c r="DY4" s="3">
        <f>DT4+DW4-DX4</f>
        <v>51</v>
      </c>
      <c r="DZ4" s="3">
        <f>DU4+DV4-DW4</f>
        <v>14</v>
      </c>
      <c r="EA4" s="3">
        <v>42</v>
      </c>
      <c r="EB4" s="3">
        <v>28</v>
      </c>
      <c r="EC4" s="3">
        <v>41</v>
      </c>
      <c r="ED4" s="3">
        <f>DY4+EB4-EC4</f>
        <v>38</v>
      </c>
      <c r="EE4" s="3">
        <f>DZ4+EA4-EB4</f>
        <v>28</v>
      </c>
      <c r="EF4" s="3">
        <f>70</f>
        <v>70</v>
      </c>
      <c r="EG4" s="3">
        <v>28</v>
      </c>
      <c r="EH4" s="3">
        <v>51</v>
      </c>
    </row>
    <row r="5" spans="1:138" x14ac:dyDescent="0.35">
      <c r="A5" s="3">
        <v>22</v>
      </c>
      <c r="B5" s="2" t="s">
        <v>1</v>
      </c>
      <c r="C5" s="2" t="s">
        <v>14</v>
      </c>
      <c r="D5" s="3">
        <f t="shared" si="0"/>
        <v>22</v>
      </c>
      <c r="E5" s="3">
        <v>14</v>
      </c>
      <c r="F5" s="3">
        <v>0</v>
      </c>
      <c r="G5" s="3">
        <v>0</v>
      </c>
      <c r="H5" s="3">
        <v>0</v>
      </c>
      <c r="I5" s="3">
        <f t="shared" ref="I5:I10" si="1">D5+G5-H5</f>
        <v>22</v>
      </c>
      <c r="J5" s="3">
        <f t="shared" ref="J5:J10" si="2">E5+F5-G5</f>
        <v>14</v>
      </c>
      <c r="K5" s="3"/>
      <c r="L5" s="3">
        <v>0</v>
      </c>
      <c r="M5" s="3">
        <v>0</v>
      </c>
      <c r="N5" s="3">
        <f t="shared" ref="N5:N10" si="3">I5+L5-M5</f>
        <v>22</v>
      </c>
      <c r="O5" s="3">
        <f t="shared" ref="O5:O10" si="4">J5+K5-L5</f>
        <v>14</v>
      </c>
      <c r="P5" s="3">
        <v>0</v>
      </c>
      <c r="Q5" s="3">
        <v>14</v>
      </c>
      <c r="R5" s="3">
        <v>0</v>
      </c>
      <c r="S5" s="3">
        <f t="shared" ref="S5:S10" si="5">N5+Q5-R5</f>
        <v>36</v>
      </c>
      <c r="T5" s="3">
        <f t="shared" ref="T5:T7" si="6">O5+P5-Q5</f>
        <v>0</v>
      </c>
      <c r="U5" s="3">
        <v>14</v>
      </c>
      <c r="V5" s="3">
        <v>0</v>
      </c>
      <c r="W5" s="3">
        <v>0</v>
      </c>
      <c r="X5" s="3">
        <f t="shared" ref="X5:X10" si="7">S5+V5-W5</f>
        <v>36</v>
      </c>
      <c r="Y5" s="3">
        <f t="shared" ref="Y5:Y7" si="8">T5+U5-V5</f>
        <v>14</v>
      </c>
      <c r="Z5" s="3">
        <v>0</v>
      </c>
      <c r="AA5" s="3">
        <v>0</v>
      </c>
      <c r="AB5" s="3">
        <v>0</v>
      </c>
      <c r="AC5" s="3">
        <f t="shared" ref="AC5:AC10" si="9">X5+AA5-AB5</f>
        <v>36</v>
      </c>
      <c r="AD5" s="3">
        <f t="shared" ref="AD5:AD7" si="10">Y5+Z5-AA5</f>
        <v>14</v>
      </c>
      <c r="AE5" s="3"/>
      <c r="AF5" s="3">
        <v>14</v>
      </c>
      <c r="AG5" s="3">
        <v>14</v>
      </c>
      <c r="AH5" s="3">
        <f t="shared" ref="AH5:AH10" si="11">AC5+AF5-AG5</f>
        <v>36</v>
      </c>
      <c r="AI5" s="3">
        <f t="shared" ref="AI5:AI7" si="12">AD5+AE5-AF5</f>
        <v>0</v>
      </c>
      <c r="AJ5" s="3">
        <v>0</v>
      </c>
      <c r="AK5" s="3">
        <v>0</v>
      </c>
      <c r="AL5" s="3">
        <v>5</v>
      </c>
      <c r="AM5" s="3">
        <f t="shared" ref="AM5:AM10" si="13">AH5+AK5-AL5</f>
        <v>31</v>
      </c>
      <c r="AN5" s="3">
        <f t="shared" ref="AN5:AN7" si="14">AI5+AJ5-AK5</f>
        <v>0</v>
      </c>
      <c r="AO5" s="3">
        <f>0</f>
        <v>0</v>
      </c>
      <c r="AP5" s="3">
        <v>0</v>
      </c>
      <c r="AQ5" s="3">
        <v>9</v>
      </c>
      <c r="AR5" s="3">
        <f t="shared" ref="AR5:AR10" si="15">AM5+AP5-AQ5</f>
        <v>22</v>
      </c>
      <c r="AS5" s="3">
        <f t="shared" ref="AS5:AS7" si="16">AN5+AO5-AP5</f>
        <v>0</v>
      </c>
      <c r="AT5" s="3">
        <v>0</v>
      </c>
      <c r="AU5" s="3">
        <v>0</v>
      </c>
      <c r="AV5" s="3">
        <v>5</v>
      </c>
      <c r="AW5" s="3">
        <f t="shared" ref="AW5:AW10" si="17">AR5+AU5-AV5</f>
        <v>17</v>
      </c>
      <c r="AX5" s="3">
        <f t="shared" ref="AX5:AX7" si="18">AS5+AT5-AU5</f>
        <v>0</v>
      </c>
      <c r="AY5" s="3">
        <v>14</v>
      </c>
      <c r="AZ5" s="3">
        <v>14</v>
      </c>
      <c r="BA5" s="3">
        <v>4</v>
      </c>
      <c r="BB5" s="3">
        <f t="shared" ref="BB5:BB10" si="19">AW5+AZ5-BA5</f>
        <v>27</v>
      </c>
      <c r="BC5" s="3">
        <f t="shared" ref="BC5:BC7" si="20">AX5+AY5-AZ5</f>
        <v>0</v>
      </c>
      <c r="BD5" s="3">
        <v>0</v>
      </c>
      <c r="BE5" s="3">
        <v>0</v>
      </c>
      <c r="BF5" s="3">
        <v>8</v>
      </c>
      <c r="BG5" s="3">
        <f t="shared" ref="BG5:BG10" si="21">BB5+BE5-BF5</f>
        <v>19</v>
      </c>
      <c r="BH5" s="3">
        <f t="shared" ref="BH5:BH7" si="22">BC5+BD5-BE5</f>
        <v>0</v>
      </c>
      <c r="BI5" s="3">
        <v>28</v>
      </c>
      <c r="BJ5" s="3"/>
      <c r="BK5" s="3">
        <v>0</v>
      </c>
      <c r="BL5" s="3">
        <f t="shared" ref="BL5:BL10" si="23">BG5+BJ5-BK5</f>
        <v>19</v>
      </c>
      <c r="BM5" s="3">
        <f t="shared" ref="BM5:BM7" si="24">BH5+BI5-BJ5</f>
        <v>28</v>
      </c>
      <c r="BN5" s="3"/>
      <c r="BO5" s="3">
        <v>14</v>
      </c>
      <c r="BP5" s="3">
        <v>0</v>
      </c>
      <c r="BQ5" s="3">
        <f t="shared" ref="BQ5:BQ10" si="25">BL5+BO5-BP5</f>
        <v>33</v>
      </c>
      <c r="BR5" s="3">
        <f t="shared" ref="BR5:BR7" si="26">BM5+BN5-BO5</f>
        <v>14</v>
      </c>
      <c r="BS5" s="3">
        <v>14</v>
      </c>
      <c r="BT5" s="3">
        <v>14</v>
      </c>
      <c r="BU5" s="3">
        <v>0</v>
      </c>
      <c r="BV5" s="3">
        <f t="shared" ref="BV5:BV10" si="27">BQ5+BT5-BU5</f>
        <v>47</v>
      </c>
      <c r="BW5" s="3">
        <f t="shared" ref="BW5:BW7" si="28">BR5+BS5-BT5</f>
        <v>14</v>
      </c>
      <c r="BX5" s="3"/>
      <c r="BY5" s="3">
        <v>0</v>
      </c>
      <c r="BZ5" s="3">
        <v>5</v>
      </c>
      <c r="CA5" s="3">
        <f t="shared" ref="CA5:CA10" si="29">BV5+BY5-BZ5</f>
        <v>42</v>
      </c>
      <c r="CB5" s="3">
        <f t="shared" ref="CB5:CB7" si="30">BW5+BX5-BY5</f>
        <v>14</v>
      </c>
      <c r="CC5" s="3"/>
      <c r="CD5" s="3">
        <v>0</v>
      </c>
      <c r="CE5" s="3">
        <v>8</v>
      </c>
      <c r="CF5" s="3">
        <f t="shared" ref="CF5:CF10" si="31">CA5+CD5-CE5</f>
        <v>34</v>
      </c>
      <c r="CG5" s="3">
        <f t="shared" ref="CG5:CG7" si="32">CB5+CC5-CD5</f>
        <v>14</v>
      </c>
      <c r="CH5" s="3">
        <v>14</v>
      </c>
      <c r="CI5" s="3">
        <v>0</v>
      </c>
      <c r="CJ5" s="3">
        <v>16</v>
      </c>
      <c r="CK5" s="3">
        <f t="shared" ref="CK5:CK10" si="33">CF5+CI5-CJ5</f>
        <v>18</v>
      </c>
      <c r="CL5" s="3">
        <f t="shared" ref="CL5:CL7" si="34">CG5+CH5-CI5</f>
        <v>28</v>
      </c>
      <c r="CM5" s="3"/>
      <c r="CN5" s="3">
        <v>14</v>
      </c>
      <c r="CO5" s="3">
        <v>3</v>
      </c>
      <c r="CP5" s="3">
        <f t="shared" ref="CP5:CP10" si="35">CK5+CN5-CO5</f>
        <v>29</v>
      </c>
      <c r="CQ5" s="3">
        <f t="shared" ref="CQ5:CQ7" si="36">CL5+CM5-CN5</f>
        <v>14</v>
      </c>
      <c r="CR5" s="3"/>
      <c r="CS5" s="3">
        <v>14</v>
      </c>
      <c r="CT5" s="3">
        <v>7</v>
      </c>
      <c r="CU5" s="3">
        <f t="shared" ref="CU5:CU10" si="37">CP5+CS5-CT5</f>
        <v>36</v>
      </c>
      <c r="CV5" s="3">
        <f t="shared" ref="CV5" si="38">CQ5+CR5-CS5</f>
        <v>0</v>
      </c>
      <c r="CW5" s="3"/>
      <c r="CX5" s="3">
        <v>0</v>
      </c>
      <c r="CY5" s="3">
        <v>3</v>
      </c>
      <c r="CZ5" s="3">
        <f t="shared" ref="CZ5:CZ10" si="39">CU5+CX5-CY5</f>
        <v>33</v>
      </c>
      <c r="DA5" s="3">
        <f t="shared" ref="DA5:DA7" si="40">CV5+CW5-CX5</f>
        <v>0</v>
      </c>
      <c r="DB5" s="3">
        <v>0</v>
      </c>
      <c r="DC5" s="3">
        <v>0</v>
      </c>
      <c r="DD5" s="3">
        <v>2</v>
      </c>
      <c r="DE5" s="3">
        <f t="shared" ref="DE5:DE10" si="41">CZ5+DC5-DD5</f>
        <v>31</v>
      </c>
      <c r="DF5" s="3">
        <f t="shared" ref="DF5:DF7" si="42">DA5+DB5-DC5</f>
        <v>0</v>
      </c>
      <c r="DG5" s="3"/>
      <c r="DH5" s="3"/>
      <c r="DI5" s="3">
        <v>0</v>
      </c>
      <c r="DJ5" s="3">
        <f t="shared" ref="DJ5:DJ10" si="43">DE5+DH5-DI5</f>
        <v>31</v>
      </c>
      <c r="DK5" s="3">
        <f t="shared" ref="DK5:DK7" si="44">DF5+DG5-DH5</f>
        <v>0</v>
      </c>
      <c r="DL5" s="3">
        <v>28</v>
      </c>
      <c r="DM5" s="3">
        <v>0</v>
      </c>
      <c r="DN5" s="3">
        <v>2</v>
      </c>
      <c r="DO5" s="3">
        <f t="shared" ref="DO5:DO10" si="45">DJ5+DM5-DN5</f>
        <v>29</v>
      </c>
      <c r="DP5" s="3">
        <f t="shared" ref="DP5:DP7" si="46">DK5+DL5-DM5</f>
        <v>28</v>
      </c>
      <c r="DQ5" s="3">
        <v>0</v>
      </c>
      <c r="DR5" s="3">
        <v>0</v>
      </c>
      <c r="DS5" s="3">
        <v>0</v>
      </c>
      <c r="DT5" s="3">
        <f t="shared" ref="DT5:DT10" si="47">DO5+DR5-DS5</f>
        <v>29</v>
      </c>
      <c r="DU5" s="3">
        <f t="shared" ref="DU5:DU7" si="48">DP5+DQ5-DR5</f>
        <v>28</v>
      </c>
      <c r="DV5" s="3">
        <v>0</v>
      </c>
      <c r="DW5" s="3">
        <v>0</v>
      </c>
      <c r="DX5" s="3">
        <v>3</v>
      </c>
      <c r="DY5" s="3">
        <f t="shared" ref="DY5:DY10" si="49">DT5+DW5-DX5</f>
        <v>26</v>
      </c>
      <c r="DZ5" s="3">
        <f t="shared" ref="DZ5:DZ7" si="50">DU5+DV5-DW5</f>
        <v>28</v>
      </c>
      <c r="EA5" s="3">
        <v>0</v>
      </c>
      <c r="EB5" s="3">
        <v>0</v>
      </c>
      <c r="EC5" s="3">
        <v>4</v>
      </c>
      <c r="ED5" s="3">
        <f t="shared" ref="ED5:ED10" si="51">DY5+EB5-EC5</f>
        <v>22</v>
      </c>
      <c r="EE5" s="3">
        <f t="shared" ref="EE5:EE7" si="52">DZ5+EA5-EB5</f>
        <v>28</v>
      </c>
      <c r="EF5" s="3"/>
      <c r="EG5" s="3">
        <v>14</v>
      </c>
      <c r="EH5" s="3">
        <v>12</v>
      </c>
    </row>
    <row r="6" spans="1:138" x14ac:dyDescent="0.35">
      <c r="A6" s="3">
        <v>70</v>
      </c>
      <c r="B6" s="2" t="s">
        <v>2</v>
      </c>
      <c r="C6" s="2" t="s">
        <v>15</v>
      </c>
      <c r="D6" s="3">
        <f t="shared" si="0"/>
        <v>70</v>
      </c>
      <c r="E6" s="3">
        <v>224</v>
      </c>
      <c r="F6" s="3">
        <v>98</v>
      </c>
      <c r="G6" s="3">
        <v>168</v>
      </c>
      <c r="H6" s="3">
        <v>139</v>
      </c>
      <c r="I6" s="3">
        <f t="shared" si="1"/>
        <v>99</v>
      </c>
      <c r="J6" s="3">
        <f t="shared" si="2"/>
        <v>154</v>
      </c>
      <c r="K6" s="3">
        <v>112</v>
      </c>
      <c r="L6" s="3">
        <v>178</v>
      </c>
      <c r="M6" s="3">
        <v>177</v>
      </c>
      <c r="N6" s="3">
        <f t="shared" si="3"/>
        <v>100</v>
      </c>
      <c r="O6" s="3">
        <f t="shared" si="4"/>
        <v>88</v>
      </c>
      <c r="P6" s="3">
        <v>168</v>
      </c>
      <c r="Q6" s="3">
        <v>182</v>
      </c>
      <c r="R6" s="3">
        <v>144</v>
      </c>
      <c r="S6" s="3">
        <f t="shared" si="5"/>
        <v>138</v>
      </c>
      <c r="T6" s="3">
        <f t="shared" si="6"/>
        <v>74</v>
      </c>
      <c r="U6" s="3">
        <v>182</v>
      </c>
      <c r="V6" s="3">
        <v>126</v>
      </c>
      <c r="W6" s="3">
        <v>150</v>
      </c>
      <c r="X6" s="3">
        <f t="shared" si="7"/>
        <v>114</v>
      </c>
      <c r="Y6" s="3">
        <f t="shared" si="8"/>
        <v>130</v>
      </c>
      <c r="Z6" s="3">
        <f>168+14</f>
        <v>182</v>
      </c>
      <c r="AA6" s="3">
        <v>168</v>
      </c>
      <c r="AB6" s="3">
        <v>286</v>
      </c>
      <c r="AC6" s="3">
        <f t="shared" si="9"/>
        <v>-4</v>
      </c>
      <c r="AD6" s="3">
        <f t="shared" si="10"/>
        <v>144</v>
      </c>
      <c r="AE6" s="3">
        <f>182+28</f>
        <v>210</v>
      </c>
      <c r="AF6" s="3">
        <v>238</v>
      </c>
      <c r="AG6" s="3">
        <v>216</v>
      </c>
      <c r="AH6" s="3">
        <f t="shared" si="11"/>
        <v>18</v>
      </c>
      <c r="AI6" s="3">
        <f t="shared" si="12"/>
        <v>116</v>
      </c>
      <c r="AJ6" s="3">
        <f>140+34</f>
        <v>174</v>
      </c>
      <c r="AK6" s="3">
        <v>224</v>
      </c>
      <c r="AL6" s="3">
        <v>111</v>
      </c>
      <c r="AM6" s="3">
        <f t="shared" si="13"/>
        <v>131</v>
      </c>
      <c r="AN6" s="3">
        <f t="shared" si="14"/>
        <v>66</v>
      </c>
      <c r="AO6" s="3">
        <f>98+70</f>
        <v>168</v>
      </c>
      <c r="AP6" s="3">
        <v>220</v>
      </c>
      <c r="AQ6" s="3">
        <v>183</v>
      </c>
      <c r="AR6" s="3">
        <f t="shared" si="15"/>
        <v>168</v>
      </c>
      <c r="AS6" s="3">
        <f t="shared" si="16"/>
        <v>14</v>
      </c>
      <c r="AT6" s="3">
        <f>140+70</f>
        <v>210</v>
      </c>
      <c r="AU6" s="3">
        <v>210</v>
      </c>
      <c r="AV6" s="3">
        <v>263</v>
      </c>
      <c r="AW6" s="3">
        <f t="shared" si="17"/>
        <v>115</v>
      </c>
      <c r="AX6" s="3">
        <f t="shared" si="18"/>
        <v>14</v>
      </c>
      <c r="AY6" s="3">
        <f>112+238</f>
        <v>350</v>
      </c>
      <c r="AZ6" s="3">
        <v>322</v>
      </c>
      <c r="BA6" s="3">
        <v>212</v>
      </c>
      <c r="BB6" s="3">
        <f t="shared" si="19"/>
        <v>225</v>
      </c>
      <c r="BC6" s="3">
        <f t="shared" si="20"/>
        <v>42</v>
      </c>
      <c r="BD6" s="3">
        <f>140+126</f>
        <v>266</v>
      </c>
      <c r="BE6" s="3">
        <v>244</v>
      </c>
      <c r="BF6" s="3">
        <v>312</v>
      </c>
      <c r="BG6" s="3">
        <f t="shared" si="21"/>
        <v>157</v>
      </c>
      <c r="BH6" s="3">
        <f t="shared" si="22"/>
        <v>64</v>
      </c>
      <c r="BI6" s="3">
        <v>70</v>
      </c>
      <c r="BJ6" s="3"/>
      <c r="BK6" s="3">
        <v>0</v>
      </c>
      <c r="BL6" s="3">
        <f t="shared" si="23"/>
        <v>157</v>
      </c>
      <c r="BM6" s="3">
        <f t="shared" si="24"/>
        <v>134</v>
      </c>
      <c r="BN6" s="3">
        <v>140</v>
      </c>
      <c r="BO6" s="3">
        <v>262</v>
      </c>
      <c r="BP6" s="3">
        <v>257</v>
      </c>
      <c r="BQ6" s="3">
        <f t="shared" si="25"/>
        <v>162</v>
      </c>
      <c r="BR6" s="3">
        <f t="shared" si="26"/>
        <v>12</v>
      </c>
      <c r="BS6" s="3">
        <f>182+84</f>
        <v>266</v>
      </c>
      <c r="BT6" s="3">
        <v>220</v>
      </c>
      <c r="BU6" s="3">
        <v>257</v>
      </c>
      <c r="BV6" s="3">
        <f t="shared" si="27"/>
        <v>125</v>
      </c>
      <c r="BW6" s="3">
        <f t="shared" si="28"/>
        <v>58</v>
      </c>
      <c r="BX6" s="3">
        <f>168+112</f>
        <v>280</v>
      </c>
      <c r="BY6" s="3">
        <v>210</v>
      </c>
      <c r="BZ6" s="3">
        <v>189</v>
      </c>
      <c r="CA6" s="3">
        <f t="shared" si="29"/>
        <v>146</v>
      </c>
      <c r="CB6" s="3">
        <f t="shared" si="30"/>
        <v>128</v>
      </c>
      <c r="CC6" s="3">
        <f>126+84</f>
        <v>210</v>
      </c>
      <c r="CD6" s="3">
        <v>168</v>
      </c>
      <c r="CE6" s="3">
        <v>170</v>
      </c>
      <c r="CF6" s="3">
        <f t="shared" si="31"/>
        <v>144</v>
      </c>
      <c r="CG6" s="3">
        <f t="shared" si="32"/>
        <v>170</v>
      </c>
      <c r="CH6" s="3">
        <f>182+14</f>
        <v>196</v>
      </c>
      <c r="CI6" s="3">
        <v>154</v>
      </c>
      <c r="CJ6" s="3">
        <v>181</v>
      </c>
      <c r="CK6" s="3">
        <f t="shared" si="33"/>
        <v>117</v>
      </c>
      <c r="CL6" s="3">
        <f t="shared" si="34"/>
        <v>212</v>
      </c>
      <c r="CM6" s="3">
        <f>126+56</f>
        <v>182</v>
      </c>
      <c r="CN6" s="3">
        <v>234</v>
      </c>
      <c r="CO6" s="3">
        <v>188</v>
      </c>
      <c r="CP6" s="3">
        <f t="shared" si="35"/>
        <v>163</v>
      </c>
      <c r="CQ6" s="3">
        <f t="shared" si="36"/>
        <v>160</v>
      </c>
      <c r="CR6" s="3">
        <f>70+56</f>
        <v>126</v>
      </c>
      <c r="CS6" s="3">
        <v>168</v>
      </c>
      <c r="CT6" s="3">
        <v>235</v>
      </c>
      <c r="CU6" s="3">
        <f t="shared" si="37"/>
        <v>96</v>
      </c>
      <c r="CV6" s="3">
        <v>122</v>
      </c>
      <c r="CW6" s="3">
        <f>112+42</f>
        <v>154</v>
      </c>
      <c r="CX6" s="3">
        <v>150</v>
      </c>
      <c r="CY6" s="3">
        <v>169</v>
      </c>
      <c r="CZ6" s="3">
        <f t="shared" si="39"/>
        <v>77</v>
      </c>
      <c r="DA6" s="3">
        <f t="shared" si="40"/>
        <v>126</v>
      </c>
      <c r="DB6" s="3">
        <f>126+56</f>
        <v>182</v>
      </c>
      <c r="DC6" s="3">
        <v>210</v>
      </c>
      <c r="DD6" s="3">
        <v>225</v>
      </c>
      <c r="DE6" s="3">
        <f t="shared" si="41"/>
        <v>62</v>
      </c>
      <c r="DF6" s="3">
        <f t="shared" si="42"/>
        <v>98</v>
      </c>
      <c r="DG6" s="3"/>
      <c r="DH6" s="3">
        <v>42</v>
      </c>
      <c r="DI6" s="3">
        <v>0</v>
      </c>
      <c r="DJ6" s="3">
        <f t="shared" si="43"/>
        <v>104</v>
      </c>
      <c r="DK6" s="3">
        <f t="shared" si="44"/>
        <v>56</v>
      </c>
      <c r="DL6" s="3">
        <v>154</v>
      </c>
      <c r="DM6" s="3">
        <v>126</v>
      </c>
      <c r="DN6" s="3">
        <v>157</v>
      </c>
      <c r="DO6" s="3">
        <f t="shared" si="45"/>
        <v>73</v>
      </c>
      <c r="DP6" s="3">
        <f t="shared" si="46"/>
        <v>84</v>
      </c>
      <c r="DQ6" s="3">
        <f>224+84</f>
        <v>308</v>
      </c>
      <c r="DR6" s="3">
        <v>168</v>
      </c>
      <c r="DS6" s="3">
        <v>259</v>
      </c>
      <c r="DT6" s="3">
        <f t="shared" si="47"/>
        <v>-18</v>
      </c>
      <c r="DU6" s="3">
        <f t="shared" si="48"/>
        <v>224</v>
      </c>
      <c r="DV6" s="3">
        <f>114+182</f>
        <v>296</v>
      </c>
      <c r="DW6" s="3">
        <v>338</v>
      </c>
      <c r="DX6" s="3">
        <v>276</v>
      </c>
      <c r="DY6" s="3">
        <f t="shared" si="49"/>
        <v>44</v>
      </c>
      <c r="DZ6" s="3">
        <f t="shared" si="50"/>
        <v>182</v>
      </c>
      <c r="EA6" s="3">
        <f>168+56</f>
        <v>224</v>
      </c>
      <c r="EB6" s="3">
        <v>224</v>
      </c>
      <c r="EC6" s="3">
        <v>251</v>
      </c>
      <c r="ED6" s="3">
        <f t="shared" si="51"/>
        <v>17</v>
      </c>
      <c r="EE6" s="3">
        <f t="shared" si="52"/>
        <v>182</v>
      </c>
      <c r="EF6" s="3">
        <f>154+84</f>
        <v>238</v>
      </c>
      <c r="EG6" s="3">
        <v>210</v>
      </c>
      <c r="EH6" s="3">
        <v>191</v>
      </c>
    </row>
    <row r="7" spans="1:138" x14ac:dyDescent="0.35">
      <c r="A7" s="3">
        <v>28</v>
      </c>
      <c r="B7" s="2" t="s">
        <v>3</v>
      </c>
      <c r="C7" s="2" t="s">
        <v>16</v>
      </c>
      <c r="D7" s="3">
        <f t="shared" si="0"/>
        <v>28</v>
      </c>
      <c r="E7" s="3">
        <v>84</v>
      </c>
      <c r="F7" s="3">
        <v>0</v>
      </c>
      <c r="G7" s="3">
        <v>0</v>
      </c>
      <c r="H7" s="3">
        <v>3</v>
      </c>
      <c r="I7" s="3">
        <f t="shared" si="1"/>
        <v>25</v>
      </c>
      <c r="J7" s="3">
        <f t="shared" si="2"/>
        <v>84</v>
      </c>
      <c r="K7" s="3"/>
      <c r="L7" s="3">
        <v>0</v>
      </c>
      <c r="M7" s="3">
        <v>6</v>
      </c>
      <c r="N7" s="3">
        <f t="shared" si="3"/>
        <v>19</v>
      </c>
      <c r="O7" s="3">
        <f t="shared" si="4"/>
        <v>84</v>
      </c>
      <c r="P7" s="3">
        <v>0</v>
      </c>
      <c r="Q7" s="3">
        <v>14</v>
      </c>
      <c r="R7" s="3">
        <v>12</v>
      </c>
      <c r="S7" s="3">
        <f t="shared" si="5"/>
        <v>21</v>
      </c>
      <c r="T7" s="3">
        <f t="shared" si="6"/>
        <v>70</v>
      </c>
      <c r="U7" s="3">
        <v>0</v>
      </c>
      <c r="V7" s="3">
        <v>0</v>
      </c>
      <c r="W7" s="3">
        <v>9</v>
      </c>
      <c r="X7" s="3">
        <f t="shared" si="7"/>
        <v>12</v>
      </c>
      <c r="Y7" s="3">
        <f t="shared" si="8"/>
        <v>70</v>
      </c>
      <c r="Z7" s="3"/>
      <c r="AA7" s="3">
        <v>38</v>
      </c>
      <c r="AB7" s="3">
        <v>46</v>
      </c>
      <c r="AC7" s="3">
        <f t="shared" si="9"/>
        <v>4</v>
      </c>
      <c r="AD7" s="3">
        <f t="shared" si="10"/>
        <v>32</v>
      </c>
      <c r="AE7" s="3">
        <v>28</v>
      </c>
      <c r="AF7" s="3">
        <v>28</v>
      </c>
      <c r="AG7" s="3">
        <v>27</v>
      </c>
      <c r="AH7" s="3">
        <f t="shared" si="11"/>
        <v>5</v>
      </c>
      <c r="AI7" s="3">
        <f t="shared" si="12"/>
        <v>32</v>
      </c>
      <c r="AJ7" s="3">
        <v>30</v>
      </c>
      <c r="AK7" s="3">
        <v>38</v>
      </c>
      <c r="AL7" s="3">
        <v>15</v>
      </c>
      <c r="AM7" s="3">
        <f t="shared" si="13"/>
        <v>28</v>
      </c>
      <c r="AN7" s="3">
        <f t="shared" si="14"/>
        <v>24</v>
      </c>
      <c r="AO7" s="3">
        <v>14</v>
      </c>
      <c r="AP7" s="3">
        <v>38</v>
      </c>
      <c r="AQ7" s="3">
        <v>26</v>
      </c>
      <c r="AR7" s="3">
        <f t="shared" si="15"/>
        <v>40</v>
      </c>
      <c r="AS7" s="3">
        <f t="shared" si="16"/>
        <v>0</v>
      </c>
      <c r="AT7" s="3">
        <v>14</v>
      </c>
      <c r="AU7" s="3">
        <v>14</v>
      </c>
      <c r="AV7" s="3">
        <v>7</v>
      </c>
      <c r="AW7" s="3">
        <f t="shared" si="17"/>
        <v>47</v>
      </c>
      <c r="AX7" s="3">
        <f t="shared" si="18"/>
        <v>0</v>
      </c>
      <c r="AY7" s="3">
        <v>42</v>
      </c>
      <c r="AZ7" s="3">
        <v>28</v>
      </c>
      <c r="BA7" s="3">
        <v>20</v>
      </c>
      <c r="BB7" s="3">
        <f t="shared" si="19"/>
        <v>55</v>
      </c>
      <c r="BC7" s="3">
        <f t="shared" si="20"/>
        <v>14</v>
      </c>
      <c r="BD7" s="3">
        <v>28</v>
      </c>
      <c r="BE7" s="3">
        <v>14</v>
      </c>
      <c r="BF7" s="3">
        <v>40</v>
      </c>
      <c r="BG7" s="3">
        <f t="shared" si="21"/>
        <v>29</v>
      </c>
      <c r="BH7" s="3">
        <f t="shared" si="22"/>
        <v>28</v>
      </c>
      <c r="BI7" s="3"/>
      <c r="BJ7" s="3"/>
      <c r="BK7" s="3">
        <v>0</v>
      </c>
      <c r="BL7" s="3">
        <f t="shared" si="23"/>
        <v>29</v>
      </c>
      <c r="BM7" s="3">
        <f t="shared" si="24"/>
        <v>28</v>
      </c>
      <c r="BN7" s="3">
        <v>14</v>
      </c>
      <c r="BO7" s="3">
        <v>56</v>
      </c>
      <c r="BP7" s="3">
        <v>33</v>
      </c>
      <c r="BQ7" s="3">
        <f t="shared" si="25"/>
        <v>52</v>
      </c>
      <c r="BR7" s="3">
        <f t="shared" si="26"/>
        <v>-14</v>
      </c>
      <c r="BS7" s="3">
        <f>14+28</f>
        <v>42</v>
      </c>
      <c r="BT7" s="3">
        <v>42</v>
      </c>
      <c r="BU7" s="3">
        <v>33</v>
      </c>
      <c r="BV7" s="3">
        <f t="shared" si="27"/>
        <v>61</v>
      </c>
      <c r="BW7" s="3">
        <f t="shared" si="28"/>
        <v>-14</v>
      </c>
      <c r="BX7" s="3">
        <f>28</f>
        <v>28</v>
      </c>
      <c r="BY7" s="3">
        <v>14</v>
      </c>
      <c r="BZ7" s="3">
        <v>31</v>
      </c>
      <c r="CA7" s="3">
        <f t="shared" si="29"/>
        <v>44</v>
      </c>
      <c r="CB7" s="3">
        <f t="shared" si="30"/>
        <v>0</v>
      </c>
      <c r="CC7" s="3">
        <v>56</v>
      </c>
      <c r="CD7" s="3">
        <v>24</v>
      </c>
      <c r="CE7" s="3">
        <v>27</v>
      </c>
      <c r="CF7" s="3">
        <f t="shared" si="31"/>
        <v>41</v>
      </c>
      <c r="CG7" s="3">
        <f t="shared" si="32"/>
        <v>32</v>
      </c>
      <c r="CH7" s="3">
        <v>28</v>
      </c>
      <c r="CI7" s="3">
        <v>42</v>
      </c>
      <c r="CJ7" s="3">
        <v>26</v>
      </c>
      <c r="CK7" s="3">
        <f t="shared" si="33"/>
        <v>57</v>
      </c>
      <c r="CL7" s="3">
        <f t="shared" si="34"/>
        <v>18</v>
      </c>
      <c r="CM7" s="3">
        <v>42</v>
      </c>
      <c r="CN7" s="3">
        <v>14</v>
      </c>
      <c r="CO7" s="3">
        <v>32</v>
      </c>
      <c r="CP7" s="3">
        <f t="shared" si="35"/>
        <v>39</v>
      </c>
      <c r="CQ7" s="3">
        <f t="shared" si="36"/>
        <v>46</v>
      </c>
      <c r="CR7" s="3">
        <v>28</v>
      </c>
      <c r="CS7" s="3">
        <v>42</v>
      </c>
      <c r="CT7" s="3">
        <v>25</v>
      </c>
      <c r="CU7" s="3">
        <f t="shared" si="37"/>
        <v>56</v>
      </c>
      <c r="CV7" s="3">
        <v>14</v>
      </c>
      <c r="CW7" s="3">
        <v>28</v>
      </c>
      <c r="CX7" s="3">
        <v>0</v>
      </c>
      <c r="CY7" s="3">
        <v>13</v>
      </c>
      <c r="CZ7" s="3">
        <f t="shared" si="39"/>
        <v>43</v>
      </c>
      <c r="DA7" s="3">
        <f t="shared" si="40"/>
        <v>42</v>
      </c>
      <c r="DB7" s="3">
        <v>28</v>
      </c>
      <c r="DC7" s="3">
        <v>0</v>
      </c>
      <c r="DD7" s="3">
        <v>10</v>
      </c>
      <c r="DE7" s="3">
        <f t="shared" si="41"/>
        <v>33</v>
      </c>
      <c r="DF7" s="3">
        <f t="shared" si="42"/>
        <v>70</v>
      </c>
      <c r="DG7" s="3"/>
      <c r="DH7" s="3"/>
      <c r="DI7" s="3">
        <v>0</v>
      </c>
      <c r="DJ7" s="3">
        <f t="shared" si="43"/>
        <v>33</v>
      </c>
      <c r="DK7" s="3">
        <f t="shared" si="44"/>
        <v>70</v>
      </c>
      <c r="DL7" s="3">
        <v>0</v>
      </c>
      <c r="DM7" s="3">
        <v>0</v>
      </c>
      <c r="DN7" s="3">
        <v>11</v>
      </c>
      <c r="DO7" s="3">
        <f t="shared" si="45"/>
        <v>22</v>
      </c>
      <c r="DP7" s="3">
        <f t="shared" si="46"/>
        <v>70</v>
      </c>
      <c r="DQ7" s="3">
        <v>0</v>
      </c>
      <c r="DR7" s="3">
        <v>14</v>
      </c>
      <c r="DS7" s="3">
        <v>9</v>
      </c>
      <c r="DT7" s="3">
        <f t="shared" si="47"/>
        <v>27</v>
      </c>
      <c r="DU7" s="3">
        <f t="shared" si="48"/>
        <v>56</v>
      </c>
      <c r="DV7" s="3">
        <v>0</v>
      </c>
      <c r="DW7" s="3">
        <v>28</v>
      </c>
      <c r="DX7" s="3">
        <v>3</v>
      </c>
      <c r="DY7" s="3">
        <f t="shared" si="49"/>
        <v>52</v>
      </c>
      <c r="DZ7" s="3">
        <f t="shared" si="50"/>
        <v>28</v>
      </c>
      <c r="EA7" s="3"/>
      <c r="EB7" s="3">
        <v>0</v>
      </c>
      <c r="EC7" s="3">
        <v>15</v>
      </c>
      <c r="ED7" s="3">
        <f t="shared" si="51"/>
        <v>37</v>
      </c>
      <c r="EE7" s="3">
        <f t="shared" si="52"/>
        <v>28</v>
      </c>
      <c r="EF7" s="3">
        <v>14</v>
      </c>
      <c r="EG7" s="3">
        <v>28</v>
      </c>
      <c r="EH7" s="3">
        <v>29</v>
      </c>
    </row>
    <row r="8" spans="1:138" x14ac:dyDescent="0.35">
      <c r="A8" s="3">
        <v>20</v>
      </c>
      <c r="B8" s="2" t="s">
        <v>5</v>
      </c>
      <c r="C8" s="2" t="s">
        <v>18</v>
      </c>
      <c r="D8" s="3">
        <f t="shared" si="0"/>
        <v>20</v>
      </c>
      <c r="E8" s="3">
        <v>14</v>
      </c>
      <c r="F8" s="3">
        <v>14</v>
      </c>
      <c r="G8" s="3">
        <v>14</v>
      </c>
      <c r="H8" s="3">
        <v>0</v>
      </c>
      <c r="I8" s="3">
        <f t="shared" si="1"/>
        <v>34</v>
      </c>
      <c r="J8" s="3">
        <f t="shared" si="2"/>
        <v>14</v>
      </c>
      <c r="K8" s="3"/>
      <c r="L8" s="3">
        <v>0</v>
      </c>
      <c r="M8" s="3">
        <v>4</v>
      </c>
      <c r="N8" s="3">
        <f t="shared" si="3"/>
        <v>30</v>
      </c>
      <c r="O8" s="3">
        <v>14</v>
      </c>
      <c r="P8" s="3">
        <v>0</v>
      </c>
      <c r="Q8" s="3">
        <v>0</v>
      </c>
      <c r="R8" s="3">
        <v>1</v>
      </c>
      <c r="S8" s="3">
        <f t="shared" si="5"/>
        <v>29</v>
      </c>
      <c r="T8" s="3">
        <v>14</v>
      </c>
      <c r="U8" s="3">
        <v>0</v>
      </c>
      <c r="V8" s="3">
        <v>0</v>
      </c>
      <c r="W8" s="3">
        <v>8</v>
      </c>
      <c r="X8" s="3">
        <f t="shared" si="7"/>
        <v>21</v>
      </c>
      <c r="Y8" s="3">
        <v>14</v>
      </c>
      <c r="Z8" s="3"/>
      <c r="AA8" s="3">
        <v>0</v>
      </c>
      <c r="AB8" s="3">
        <v>4</v>
      </c>
      <c r="AC8" s="3">
        <f t="shared" si="9"/>
        <v>17</v>
      </c>
      <c r="AD8" s="3">
        <v>14</v>
      </c>
      <c r="AE8" s="3"/>
      <c r="AF8" s="3">
        <v>0</v>
      </c>
      <c r="AG8" s="3">
        <v>2</v>
      </c>
      <c r="AH8" s="3">
        <f t="shared" si="11"/>
        <v>15</v>
      </c>
      <c r="AI8" s="3">
        <v>14</v>
      </c>
      <c r="AJ8" s="3">
        <f>0</f>
        <v>0</v>
      </c>
      <c r="AK8" s="3">
        <v>14</v>
      </c>
      <c r="AL8" s="3">
        <v>13</v>
      </c>
      <c r="AM8" s="3">
        <f t="shared" si="13"/>
        <v>16</v>
      </c>
      <c r="AN8" s="3">
        <v>14</v>
      </c>
      <c r="AO8" s="3">
        <f>28</f>
        <v>28</v>
      </c>
      <c r="AP8" s="3">
        <v>14</v>
      </c>
      <c r="AQ8" s="3">
        <v>6</v>
      </c>
      <c r="AR8" s="3">
        <f t="shared" si="15"/>
        <v>24</v>
      </c>
      <c r="AS8" s="3">
        <v>14</v>
      </c>
      <c r="AT8" s="3"/>
      <c r="AU8" s="3">
        <v>0</v>
      </c>
      <c r="AV8" s="3">
        <v>0</v>
      </c>
      <c r="AW8" s="3">
        <f t="shared" si="17"/>
        <v>24</v>
      </c>
      <c r="AX8" s="3">
        <v>14</v>
      </c>
      <c r="AY8" s="3">
        <v>0</v>
      </c>
      <c r="AZ8" s="3">
        <v>0</v>
      </c>
      <c r="BA8" s="3">
        <v>2</v>
      </c>
      <c r="BB8" s="3">
        <f t="shared" si="19"/>
        <v>22</v>
      </c>
      <c r="BC8" s="3">
        <v>14</v>
      </c>
      <c r="BD8" s="3">
        <v>0</v>
      </c>
      <c r="BE8" s="3">
        <v>0</v>
      </c>
      <c r="BF8" s="3">
        <v>0</v>
      </c>
      <c r="BG8" s="3">
        <f t="shared" si="21"/>
        <v>22</v>
      </c>
      <c r="BH8" s="3">
        <v>14</v>
      </c>
      <c r="BI8" s="3"/>
      <c r="BJ8" s="3"/>
      <c r="BK8" s="3">
        <v>0</v>
      </c>
      <c r="BL8" s="3">
        <f t="shared" si="23"/>
        <v>22</v>
      </c>
      <c r="BM8" s="3">
        <v>14</v>
      </c>
      <c r="BN8" s="3"/>
      <c r="BO8" s="3">
        <v>0</v>
      </c>
      <c r="BP8" s="3">
        <v>4</v>
      </c>
      <c r="BQ8" s="3">
        <f t="shared" si="25"/>
        <v>18</v>
      </c>
      <c r="BR8" s="3">
        <v>14</v>
      </c>
      <c r="BS8" s="3">
        <v>0</v>
      </c>
      <c r="BT8" s="3">
        <v>14</v>
      </c>
      <c r="BU8" s="3">
        <v>4</v>
      </c>
      <c r="BV8" s="3">
        <f t="shared" si="27"/>
        <v>28</v>
      </c>
      <c r="BW8" s="3">
        <v>14</v>
      </c>
      <c r="BX8" s="3"/>
      <c r="BY8" s="3">
        <v>0</v>
      </c>
      <c r="BZ8" s="3">
        <v>1</v>
      </c>
      <c r="CA8" s="3">
        <f t="shared" si="29"/>
        <v>27</v>
      </c>
      <c r="CB8" s="3">
        <v>14</v>
      </c>
      <c r="CC8" s="3"/>
      <c r="CD8" s="3">
        <v>0</v>
      </c>
      <c r="CE8" s="3">
        <v>10</v>
      </c>
      <c r="CF8" s="3">
        <f t="shared" si="31"/>
        <v>17</v>
      </c>
      <c r="CG8" s="3">
        <v>14</v>
      </c>
      <c r="CH8" s="3">
        <v>0</v>
      </c>
      <c r="CI8" s="3">
        <v>0</v>
      </c>
      <c r="CJ8" s="3">
        <v>0</v>
      </c>
      <c r="CK8" s="3">
        <f t="shared" si="33"/>
        <v>17</v>
      </c>
      <c r="CL8" s="3">
        <v>14</v>
      </c>
      <c r="CM8" s="3"/>
      <c r="CN8" s="3">
        <v>0</v>
      </c>
      <c r="CO8" s="3">
        <v>11</v>
      </c>
      <c r="CP8" s="3">
        <f t="shared" si="35"/>
        <v>6</v>
      </c>
      <c r="CQ8" s="3">
        <v>14</v>
      </c>
      <c r="CR8" s="3">
        <v>42</v>
      </c>
      <c r="CS8" s="3">
        <v>14</v>
      </c>
      <c r="CT8" s="3">
        <v>3</v>
      </c>
      <c r="CU8" s="3">
        <f t="shared" si="37"/>
        <v>17</v>
      </c>
      <c r="CV8" s="3">
        <v>14</v>
      </c>
      <c r="CW8" s="3">
        <v>0</v>
      </c>
      <c r="CX8" s="3">
        <v>0</v>
      </c>
      <c r="CY8" s="3">
        <v>13</v>
      </c>
      <c r="CZ8" s="3">
        <f t="shared" si="39"/>
        <v>4</v>
      </c>
      <c r="DA8" s="3">
        <v>14</v>
      </c>
      <c r="DB8" s="3">
        <v>0</v>
      </c>
      <c r="DC8" s="3">
        <v>42</v>
      </c>
      <c r="DD8" s="3">
        <v>20</v>
      </c>
      <c r="DE8" s="3">
        <f t="shared" si="41"/>
        <v>26</v>
      </c>
      <c r="DF8" s="3">
        <v>14</v>
      </c>
      <c r="DG8" s="3"/>
      <c r="DH8" s="3"/>
      <c r="DI8" s="3">
        <v>0</v>
      </c>
      <c r="DJ8" s="3">
        <f t="shared" si="43"/>
        <v>26</v>
      </c>
      <c r="DK8" s="3">
        <v>14</v>
      </c>
      <c r="DL8" s="3">
        <v>0</v>
      </c>
      <c r="DM8" s="3">
        <v>14</v>
      </c>
      <c r="DN8" s="3">
        <v>9</v>
      </c>
      <c r="DO8" s="3">
        <f t="shared" si="45"/>
        <v>31</v>
      </c>
      <c r="DP8" s="3">
        <v>14</v>
      </c>
      <c r="DQ8" s="3">
        <v>0</v>
      </c>
      <c r="DR8" s="3">
        <v>14</v>
      </c>
      <c r="DS8" s="3">
        <v>21</v>
      </c>
      <c r="DT8" s="3">
        <f t="shared" si="47"/>
        <v>24</v>
      </c>
      <c r="DU8" s="3">
        <v>14</v>
      </c>
      <c r="DV8" s="3">
        <v>14</v>
      </c>
      <c r="DW8" s="3">
        <v>14</v>
      </c>
      <c r="DX8" s="3">
        <v>3</v>
      </c>
      <c r="DY8" s="3">
        <f t="shared" si="49"/>
        <v>35</v>
      </c>
      <c r="DZ8" s="3">
        <v>14</v>
      </c>
      <c r="EA8" s="3"/>
      <c r="EB8" s="3">
        <v>14</v>
      </c>
      <c r="EC8" s="3">
        <v>8</v>
      </c>
      <c r="ED8" s="3">
        <f t="shared" si="51"/>
        <v>41</v>
      </c>
      <c r="EE8" s="3">
        <v>14</v>
      </c>
      <c r="EF8" s="3"/>
      <c r="EG8" s="3">
        <v>0</v>
      </c>
      <c r="EH8" s="3">
        <v>1</v>
      </c>
    </row>
    <row r="9" spans="1:138" x14ac:dyDescent="0.35">
      <c r="A9" s="3">
        <v>38</v>
      </c>
      <c r="B9" s="2" t="s">
        <v>6</v>
      </c>
      <c r="C9" s="2" t="s">
        <v>19</v>
      </c>
      <c r="D9" s="3">
        <f t="shared" si="0"/>
        <v>38</v>
      </c>
      <c r="E9" s="3">
        <v>42</v>
      </c>
      <c r="F9" s="3">
        <v>28</v>
      </c>
      <c r="G9" s="3">
        <v>28</v>
      </c>
      <c r="H9" s="3">
        <v>13</v>
      </c>
      <c r="I9" s="3">
        <f t="shared" si="1"/>
        <v>53</v>
      </c>
      <c r="J9" s="3">
        <f t="shared" si="2"/>
        <v>42</v>
      </c>
      <c r="K9" s="3">
        <v>14</v>
      </c>
      <c r="L9" s="3">
        <v>28</v>
      </c>
      <c r="M9" s="3">
        <v>44</v>
      </c>
      <c r="N9" s="3">
        <f t="shared" si="3"/>
        <v>37</v>
      </c>
      <c r="O9" s="3">
        <f t="shared" si="4"/>
        <v>28</v>
      </c>
      <c r="P9" s="3">
        <v>42</v>
      </c>
      <c r="Q9" s="3">
        <v>28</v>
      </c>
      <c r="R9" s="3">
        <v>9</v>
      </c>
      <c r="S9" s="3">
        <f t="shared" si="5"/>
        <v>56</v>
      </c>
      <c r="T9" s="3">
        <f t="shared" ref="T9:T10" si="53">O9+P9-Q9</f>
        <v>42</v>
      </c>
      <c r="U9" s="3">
        <v>28</v>
      </c>
      <c r="V9" s="3">
        <v>0</v>
      </c>
      <c r="W9" s="3">
        <v>21</v>
      </c>
      <c r="X9" s="3">
        <f t="shared" si="7"/>
        <v>35</v>
      </c>
      <c r="Y9" s="3">
        <f t="shared" ref="Y9:Y10" si="54">T9+U9-V9</f>
        <v>70</v>
      </c>
      <c r="Z9" s="3">
        <v>14</v>
      </c>
      <c r="AA9" s="3">
        <v>42</v>
      </c>
      <c r="AB9" s="3">
        <v>35</v>
      </c>
      <c r="AC9" s="3">
        <f t="shared" si="9"/>
        <v>42</v>
      </c>
      <c r="AD9" s="3">
        <f t="shared" ref="AD9:AD10" si="55">Y9+Z9-AA9</f>
        <v>42</v>
      </c>
      <c r="AE9" s="3">
        <v>28</v>
      </c>
      <c r="AF9" s="3">
        <v>42</v>
      </c>
      <c r="AG9" s="3">
        <v>31</v>
      </c>
      <c r="AH9" s="3">
        <f t="shared" si="11"/>
        <v>53</v>
      </c>
      <c r="AI9" s="3">
        <f t="shared" ref="AI9:AI10" si="56">AD9+AE9-AF9</f>
        <v>28</v>
      </c>
      <c r="AJ9" s="3">
        <f>28</f>
        <v>28</v>
      </c>
      <c r="AK9" s="3">
        <v>28</v>
      </c>
      <c r="AL9" s="3">
        <v>32</v>
      </c>
      <c r="AM9" s="3">
        <f t="shared" si="13"/>
        <v>49</v>
      </c>
      <c r="AN9" s="3">
        <f t="shared" ref="AN9:AN10" si="57">AI9+AJ9-AK9</f>
        <v>28</v>
      </c>
      <c r="AO9" s="3">
        <f>28</f>
        <v>28</v>
      </c>
      <c r="AP9" s="3">
        <v>56</v>
      </c>
      <c r="AQ9" s="3">
        <v>50</v>
      </c>
      <c r="AR9" s="3">
        <f t="shared" si="15"/>
        <v>55</v>
      </c>
      <c r="AS9" s="3">
        <f t="shared" ref="AS9:AS10" si="58">AN9+AO9-AP9</f>
        <v>0</v>
      </c>
      <c r="AT9" s="3">
        <v>42</v>
      </c>
      <c r="AU9" s="3">
        <v>28</v>
      </c>
      <c r="AV9" s="3">
        <v>23</v>
      </c>
      <c r="AW9" s="3">
        <f t="shared" si="17"/>
        <v>60</v>
      </c>
      <c r="AX9" s="3">
        <f t="shared" ref="AX9:AX10" si="59">AS9+AT9-AU9</f>
        <v>14</v>
      </c>
      <c r="AY9" s="3">
        <v>42</v>
      </c>
      <c r="AZ9" s="3">
        <v>28</v>
      </c>
      <c r="BA9" s="3">
        <v>38</v>
      </c>
      <c r="BB9" s="3">
        <f t="shared" si="19"/>
        <v>50</v>
      </c>
      <c r="BC9" s="3">
        <f t="shared" ref="BC9:BC10" si="60">AX9+AY9-AZ9</f>
        <v>28</v>
      </c>
      <c r="BD9" s="3">
        <v>28</v>
      </c>
      <c r="BE9" s="3">
        <v>28</v>
      </c>
      <c r="BF9" s="3">
        <v>22</v>
      </c>
      <c r="BG9" s="3">
        <f t="shared" si="21"/>
        <v>56</v>
      </c>
      <c r="BH9" s="3">
        <f t="shared" ref="BH9:BH10" si="61">BC9+BD9-BE9</f>
        <v>28</v>
      </c>
      <c r="BI9" s="3"/>
      <c r="BJ9" s="3"/>
      <c r="BK9" s="3">
        <v>0</v>
      </c>
      <c r="BL9" s="3">
        <f t="shared" si="23"/>
        <v>56</v>
      </c>
      <c r="BM9" s="3">
        <f t="shared" ref="BM9:BM10" si="62">BH9+BI9-BJ9</f>
        <v>28</v>
      </c>
      <c r="BN9" s="3">
        <v>14</v>
      </c>
      <c r="BO9" s="3">
        <v>42</v>
      </c>
      <c r="BP9" s="3">
        <v>61</v>
      </c>
      <c r="BQ9" s="3">
        <f t="shared" si="25"/>
        <v>37</v>
      </c>
      <c r="BR9" s="3">
        <f t="shared" ref="BR9:BR10" si="63">BM9+BN9-BO9</f>
        <v>0</v>
      </c>
      <c r="BS9" s="3">
        <f>14+28</f>
        <v>42</v>
      </c>
      <c r="BT9" s="3">
        <v>42</v>
      </c>
      <c r="BU9" s="3">
        <v>61</v>
      </c>
      <c r="BV9" s="3">
        <f t="shared" si="27"/>
        <v>18</v>
      </c>
      <c r="BW9" s="3">
        <f t="shared" ref="BW9:BW10" si="64">BR9+BS9-BT9</f>
        <v>0</v>
      </c>
      <c r="BX9" s="3">
        <f>28+28</f>
        <v>56</v>
      </c>
      <c r="BY9" s="3">
        <v>42</v>
      </c>
      <c r="BZ9" s="3">
        <v>46</v>
      </c>
      <c r="CA9" s="3">
        <f t="shared" si="29"/>
        <v>14</v>
      </c>
      <c r="CB9" s="3">
        <f t="shared" ref="CB9:CB10" si="65">BW9+BX9-BY9</f>
        <v>14</v>
      </c>
      <c r="CC9" s="3">
        <f>28+42</f>
        <v>70</v>
      </c>
      <c r="CD9" s="3">
        <v>28</v>
      </c>
      <c r="CE9" s="3">
        <v>30</v>
      </c>
      <c r="CF9" s="3">
        <f t="shared" si="31"/>
        <v>12</v>
      </c>
      <c r="CG9" s="3">
        <f t="shared" ref="CG9:CG10" si="66">CB9+CC9-CD9</f>
        <v>56</v>
      </c>
      <c r="CH9" s="3">
        <v>28</v>
      </c>
      <c r="CI9" s="3">
        <v>48</v>
      </c>
      <c r="CJ9" s="3">
        <v>47</v>
      </c>
      <c r="CK9" s="3">
        <f t="shared" si="33"/>
        <v>13</v>
      </c>
      <c r="CL9" s="3">
        <f t="shared" ref="CL9:CL10" si="67">CG9+CH9-CI9</f>
        <v>36</v>
      </c>
      <c r="CM9" s="3">
        <v>42</v>
      </c>
      <c r="CN9" s="3">
        <v>42</v>
      </c>
      <c r="CO9" s="3">
        <v>31</v>
      </c>
      <c r="CP9" s="3">
        <f t="shared" si="35"/>
        <v>24</v>
      </c>
      <c r="CQ9" s="3">
        <f t="shared" ref="CQ9:CQ10" si="68">CL9+CM9-CN9</f>
        <v>36</v>
      </c>
      <c r="CR9" s="3">
        <v>42</v>
      </c>
      <c r="CS9" s="3">
        <v>56</v>
      </c>
      <c r="CT9" s="3">
        <v>60</v>
      </c>
      <c r="CU9" s="3">
        <f t="shared" si="37"/>
        <v>20</v>
      </c>
      <c r="CV9" s="3">
        <v>42</v>
      </c>
      <c r="CW9" s="3">
        <v>56</v>
      </c>
      <c r="CX9" s="3">
        <v>70</v>
      </c>
      <c r="CY9" s="3">
        <v>63</v>
      </c>
      <c r="CZ9" s="3">
        <f t="shared" si="39"/>
        <v>27</v>
      </c>
      <c r="DA9" s="3">
        <f t="shared" ref="DA9:DA10" si="69">CV9+CW9-CX9</f>
        <v>28</v>
      </c>
      <c r="DB9" s="3">
        <v>42</v>
      </c>
      <c r="DC9" s="3">
        <v>56</v>
      </c>
      <c r="DD9" s="3">
        <v>56</v>
      </c>
      <c r="DE9" s="3">
        <f t="shared" si="41"/>
        <v>27</v>
      </c>
      <c r="DF9" s="3">
        <f t="shared" ref="DF9:DF10" si="70">DA9+DB9-DC9</f>
        <v>14</v>
      </c>
      <c r="DG9" s="3"/>
      <c r="DH9" s="3">
        <v>14</v>
      </c>
      <c r="DI9" s="3">
        <v>0</v>
      </c>
      <c r="DJ9" s="3">
        <f t="shared" si="43"/>
        <v>41</v>
      </c>
      <c r="DK9" s="3">
        <f t="shared" ref="DK9:DK10" si="71">DF9+DG9-DH9</f>
        <v>0</v>
      </c>
      <c r="DL9" s="3">
        <v>56</v>
      </c>
      <c r="DM9" s="3">
        <v>28</v>
      </c>
      <c r="DN9" s="3">
        <v>40</v>
      </c>
      <c r="DO9" s="3">
        <f t="shared" si="45"/>
        <v>29</v>
      </c>
      <c r="DP9" s="3">
        <f t="shared" ref="DP9:DP10" si="72">DK9+DL9-DM9</f>
        <v>28</v>
      </c>
      <c r="DQ9" s="3">
        <v>14</v>
      </c>
      <c r="DR9" s="3">
        <v>28</v>
      </c>
      <c r="DS9" s="3">
        <v>53</v>
      </c>
      <c r="DT9" s="3">
        <f t="shared" si="47"/>
        <v>4</v>
      </c>
      <c r="DU9" s="3">
        <f t="shared" ref="DU9:DU10" si="73">DP9+DQ9-DR9</f>
        <v>14</v>
      </c>
      <c r="DV9" s="3">
        <v>56</v>
      </c>
      <c r="DW9" s="3">
        <v>56</v>
      </c>
      <c r="DX9" s="3">
        <v>47</v>
      </c>
      <c r="DY9" s="3">
        <f t="shared" si="49"/>
        <v>13</v>
      </c>
      <c r="DZ9" s="3">
        <f t="shared" ref="DZ9:DZ10" si="74">DU9+DV9-DW9</f>
        <v>14</v>
      </c>
      <c r="EA9" s="3">
        <v>56</v>
      </c>
      <c r="EB9" s="3">
        <v>42</v>
      </c>
      <c r="EC9" s="3">
        <v>49</v>
      </c>
      <c r="ED9" s="3">
        <f t="shared" si="51"/>
        <v>6</v>
      </c>
      <c r="EE9" s="3">
        <f t="shared" ref="EE9:EE10" si="75">DZ9+EA9-EB9</f>
        <v>28</v>
      </c>
      <c r="EF9" s="3">
        <v>42</v>
      </c>
      <c r="EG9" s="3">
        <v>42</v>
      </c>
      <c r="EH9" s="3">
        <v>41</v>
      </c>
    </row>
    <row r="10" spans="1:138" x14ac:dyDescent="0.35">
      <c r="A10" s="3">
        <v>40</v>
      </c>
      <c r="B10" s="2" t="s">
        <v>7</v>
      </c>
      <c r="C10" s="2" t="s">
        <v>20</v>
      </c>
      <c r="D10" s="3">
        <f t="shared" si="0"/>
        <v>40</v>
      </c>
      <c r="E10" s="3">
        <v>42</v>
      </c>
      <c r="F10" s="3">
        <v>0</v>
      </c>
      <c r="G10" s="3">
        <v>0</v>
      </c>
      <c r="H10" s="3">
        <v>3</v>
      </c>
      <c r="I10" s="3">
        <f t="shared" si="1"/>
        <v>37</v>
      </c>
      <c r="J10" s="3">
        <f t="shared" si="2"/>
        <v>42</v>
      </c>
      <c r="K10" s="3"/>
      <c r="L10" s="3">
        <v>0</v>
      </c>
      <c r="M10" s="3">
        <v>17</v>
      </c>
      <c r="N10" s="3">
        <f t="shared" si="3"/>
        <v>20</v>
      </c>
      <c r="O10" s="3">
        <f t="shared" si="4"/>
        <v>42</v>
      </c>
      <c r="P10" s="3">
        <v>28</v>
      </c>
      <c r="Q10" s="3">
        <v>14</v>
      </c>
      <c r="R10" s="3">
        <v>37</v>
      </c>
      <c r="S10" s="3">
        <f t="shared" si="5"/>
        <v>-3</v>
      </c>
      <c r="T10" s="3">
        <f t="shared" si="53"/>
        <v>56</v>
      </c>
      <c r="U10" s="3">
        <v>28</v>
      </c>
      <c r="V10" s="3">
        <v>42</v>
      </c>
      <c r="W10" s="3">
        <v>32</v>
      </c>
      <c r="X10" s="3">
        <f t="shared" si="7"/>
        <v>7</v>
      </c>
      <c r="Y10" s="3">
        <f t="shared" si="54"/>
        <v>42</v>
      </c>
      <c r="Z10" s="3">
        <v>28</v>
      </c>
      <c r="AA10" s="3">
        <v>24</v>
      </c>
      <c r="AB10" s="3">
        <v>33</v>
      </c>
      <c r="AC10" s="3">
        <f t="shared" si="9"/>
        <v>-2</v>
      </c>
      <c r="AD10" s="3">
        <f t="shared" si="55"/>
        <v>46</v>
      </c>
      <c r="AE10" s="3"/>
      <c r="AF10" s="3">
        <v>38</v>
      </c>
      <c r="AG10" s="3">
        <v>25</v>
      </c>
      <c r="AH10" s="3">
        <f t="shared" si="11"/>
        <v>11</v>
      </c>
      <c r="AI10" s="3">
        <f t="shared" si="56"/>
        <v>8</v>
      </c>
      <c r="AJ10" s="3">
        <f>28+6</f>
        <v>34</v>
      </c>
      <c r="AK10" s="3">
        <v>14</v>
      </c>
      <c r="AL10" s="3">
        <v>11</v>
      </c>
      <c r="AM10" s="3">
        <f t="shared" si="13"/>
        <v>14</v>
      </c>
      <c r="AN10" s="3">
        <f t="shared" si="57"/>
        <v>28</v>
      </c>
      <c r="AO10" s="3">
        <f>0</f>
        <v>0</v>
      </c>
      <c r="AP10" s="3">
        <v>28</v>
      </c>
      <c r="AQ10" s="3">
        <v>16</v>
      </c>
      <c r="AR10" s="3">
        <f t="shared" si="15"/>
        <v>26</v>
      </c>
      <c r="AS10" s="3">
        <f t="shared" si="58"/>
        <v>0</v>
      </c>
      <c r="AT10" s="3">
        <v>14</v>
      </c>
      <c r="AU10" s="3">
        <v>0</v>
      </c>
      <c r="AV10" s="3">
        <v>3</v>
      </c>
      <c r="AW10" s="3">
        <f t="shared" si="17"/>
        <v>23</v>
      </c>
      <c r="AX10" s="3">
        <f t="shared" si="59"/>
        <v>14</v>
      </c>
      <c r="AY10" s="3">
        <v>0</v>
      </c>
      <c r="AZ10" s="3">
        <v>0</v>
      </c>
      <c r="BA10" s="3">
        <v>8</v>
      </c>
      <c r="BB10" s="3">
        <f t="shared" si="19"/>
        <v>15</v>
      </c>
      <c r="BC10" s="3">
        <f t="shared" si="60"/>
        <v>14</v>
      </c>
      <c r="BD10" s="3">
        <f>0+28</f>
        <v>28</v>
      </c>
      <c r="BE10" s="3">
        <v>14</v>
      </c>
      <c r="BF10" s="3">
        <v>16</v>
      </c>
      <c r="BG10" s="3">
        <f t="shared" si="21"/>
        <v>13</v>
      </c>
      <c r="BH10" s="3">
        <f t="shared" si="61"/>
        <v>28</v>
      </c>
      <c r="BI10" s="3"/>
      <c r="BJ10" s="3"/>
      <c r="BK10" s="3">
        <v>0</v>
      </c>
      <c r="BL10" s="3">
        <f t="shared" si="23"/>
        <v>13</v>
      </c>
      <c r="BM10" s="3">
        <f t="shared" si="62"/>
        <v>28</v>
      </c>
      <c r="BN10" s="3"/>
      <c r="BO10" s="3">
        <v>28</v>
      </c>
      <c r="BP10" s="3">
        <v>25</v>
      </c>
      <c r="BQ10" s="3">
        <f t="shared" si="25"/>
        <v>16</v>
      </c>
      <c r="BR10" s="3">
        <f t="shared" si="63"/>
        <v>0</v>
      </c>
      <c r="BS10" s="3">
        <f>28</f>
        <v>28</v>
      </c>
      <c r="BT10" s="3">
        <v>42</v>
      </c>
      <c r="BU10" s="3">
        <v>25</v>
      </c>
      <c r="BV10" s="3">
        <f t="shared" si="27"/>
        <v>33</v>
      </c>
      <c r="BW10" s="3">
        <f t="shared" si="64"/>
        <v>-14</v>
      </c>
      <c r="BX10" s="3">
        <v>28</v>
      </c>
      <c r="BY10" s="3">
        <v>14</v>
      </c>
      <c r="BZ10" s="3">
        <v>3</v>
      </c>
      <c r="CA10" s="3">
        <f t="shared" si="29"/>
        <v>44</v>
      </c>
      <c r="CB10" s="3">
        <f t="shared" si="65"/>
        <v>0</v>
      </c>
      <c r="CC10" s="3">
        <f>14+28</f>
        <v>42</v>
      </c>
      <c r="CD10" s="3">
        <v>0</v>
      </c>
      <c r="CE10" s="3">
        <v>20</v>
      </c>
      <c r="CF10" s="3">
        <f t="shared" si="31"/>
        <v>24</v>
      </c>
      <c r="CG10" s="3">
        <f t="shared" si="66"/>
        <v>42</v>
      </c>
      <c r="CH10" s="3">
        <v>0</v>
      </c>
      <c r="CI10" s="3">
        <v>14</v>
      </c>
      <c r="CJ10" s="3">
        <v>12</v>
      </c>
      <c r="CK10" s="3">
        <f t="shared" si="33"/>
        <v>26</v>
      </c>
      <c r="CL10" s="3">
        <f t="shared" si="67"/>
        <v>28</v>
      </c>
      <c r="CM10" s="3">
        <v>14</v>
      </c>
      <c r="CN10" s="3">
        <v>14</v>
      </c>
      <c r="CO10" s="3">
        <v>33</v>
      </c>
      <c r="CP10" s="3">
        <f t="shared" si="35"/>
        <v>7</v>
      </c>
      <c r="CQ10" s="3">
        <f t="shared" si="68"/>
        <v>28</v>
      </c>
      <c r="CR10" s="3">
        <v>0</v>
      </c>
      <c r="CS10" s="3">
        <v>14</v>
      </c>
      <c r="CT10" s="3">
        <v>24</v>
      </c>
      <c r="CU10" s="3">
        <f t="shared" si="37"/>
        <v>-3</v>
      </c>
      <c r="CV10" s="3">
        <v>38</v>
      </c>
      <c r="CW10" s="3">
        <v>28</v>
      </c>
      <c r="CX10" s="3">
        <v>38</v>
      </c>
      <c r="CY10" s="3">
        <v>9</v>
      </c>
      <c r="CZ10" s="3">
        <f t="shared" si="39"/>
        <v>26</v>
      </c>
      <c r="DA10" s="3">
        <f t="shared" si="69"/>
        <v>28</v>
      </c>
      <c r="DB10" s="3">
        <v>0</v>
      </c>
      <c r="DC10" s="3">
        <v>0</v>
      </c>
      <c r="DD10" s="3">
        <v>21</v>
      </c>
      <c r="DE10" s="3">
        <f t="shared" si="41"/>
        <v>5</v>
      </c>
      <c r="DF10" s="3">
        <f t="shared" si="70"/>
        <v>28</v>
      </c>
      <c r="DG10" s="3">
        <v>0</v>
      </c>
      <c r="DH10" s="3">
        <v>14</v>
      </c>
      <c r="DI10" s="3">
        <v>0</v>
      </c>
      <c r="DJ10" s="3">
        <f t="shared" si="43"/>
        <v>19</v>
      </c>
      <c r="DK10" s="3">
        <f t="shared" si="71"/>
        <v>14</v>
      </c>
      <c r="DL10" s="3">
        <v>42</v>
      </c>
      <c r="DM10" s="3">
        <v>28</v>
      </c>
      <c r="DN10" s="3">
        <v>26</v>
      </c>
      <c r="DO10" s="3">
        <f t="shared" si="45"/>
        <v>21</v>
      </c>
      <c r="DP10" s="3">
        <f t="shared" si="72"/>
        <v>28</v>
      </c>
      <c r="DQ10" s="3">
        <v>14</v>
      </c>
      <c r="DR10" s="3">
        <v>28</v>
      </c>
      <c r="DS10" s="3">
        <v>25</v>
      </c>
      <c r="DT10" s="3">
        <f t="shared" si="47"/>
        <v>24</v>
      </c>
      <c r="DU10" s="3">
        <f t="shared" si="73"/>
        <v>14</v>
      </c>
      <c r="DV10" s="3">
        <v>14</v>
      </c>
      <c r="DW10" s="3">
        <v>28</v>
      </c>
      <c r="DX10" s="3">
        <v>12</v>
      </c>
      <c r="DY10" s="3">
        <f t="shared" si="49"/>
        <v>40</v>
      </c>
      <c r="DZ10" s="3">
        <f t="shared" si="74"/>
        <v>0</v>
      </c>
      <c r="EA10" s="3">
        <v>28</v>
      </c>
      <c r="EB10" s="3">
        <v>0</v>
      </c>
      <c r="EC10" s="3">
        <v>5</v>
      </c>
      <c r="ED10" s="3">
        <f t="shared" si="51"/>
        <v>35</v>
      </c>
      <c r="EE10" s="3">
        <f t="shared" si="75"/>
        <v>28</v>
      </c>
      <c r="EF10" s="3">
        <v>0</v>
      </c>
      <c r="EG10" s="3">
        <v>14</v>
      </c>
      <c r="EH10" s="3">
        <v>24</v>
      </c>
    </row>
    <row r="11" spans="1:138" x14ac:dyDescent="0.35">
      <c r="B11" s="33" t="s">
        <v>32</v>
      </c>
      <c r="C11" s="33"/>
      <c r="D11" s="5">
        <f t="shared" ref="D11:AI11" si="76">SUM(D4:D10)</f>
        <v>272</v>
      </c>
      <c r="E11" s="5">
        <f t="shared" si="76"/>
        <v>476</v>
      </c>
      <c r="F11" s="5">
        <f t="shared" si="76"/>
        <v>154</v>
      </c>
      <c r="G11" s="5">
        <f t="shared" si="76"/>
        <v>238</v>
      </c>
      <c r="H11" s="5">
        <f t="shared" si="76"/>
        <v>192</v>
      </c>
      <c r="I11" s="6">
        <f t="shared" si="76"/>
        <v>318</v>
      </c>
      <c r="J11" s="6">
        <f t="shared" si="76"/>
        <v>392</v>
      </c>
      <c r="K11" s="6">
        <f t="shared" si="76"/>
        <v>168</v>
      </c>
      <c r="L11" s="6">
        <f t="shared" si="76"/>
        <v>258</v>
      </c>
      <c r="M11" s="6">
        <f t="shared" si="76"/>
        <v>292</v>
      </c>
      <c r="N11" s="5">
        <f t="shared" si="76"/>
        <v>284</v>
      </c>
      <c r="O11" s="5">
        <f t="shared" si="76"/>
        <v>302</v>
      </c>
      <c r="P11" s="5">
        <f t="shared" si="76"/>
        <v>238</v>
      </c>
      <c r="Q11" s="5">
        <f t="shared" si="76"/>
        <v>252</v>
      </c>
      <c r="R11" s="5">
        <f t="shared" si="76"/>
        <v>210</v>
      </c>
      <c r="S11" s="6">
        <f t="shared" si="76"/>
        <v>326</v>
      </c>
      <c r="T11" s="6">
        <f t="shared" si="76"/>
        <v>288</v>
      </c>
      <c r="U11" s="6">
        <f t="shared" si="76"/>
        <v>266</v>
      </c>
      <c r="V11" s="6">
        <f t="shared" si="76"/>
        <v>182</v>
      </c>
      <c r="W11" s="6">
        <f t="shared" si="76"/>
        <v>253</v>
      </c>
      <c r="X11" s="5">
        <f t="shared" si="76"/>
        <v>255</v>
      </c>
      <c r="Y11" s="5">
        <f t="shared" si="76"/>
        <v>372</v>
      </c>
      <c r="Z11" s="5">
        <f t="shared" si="76"/>
        <v>294</v>
      </c>
      <c r="AA11" s="5">
        <f t="shared" si="76"/>
        <v>328</v>
      </c>
      <c r="AB11" s="5">
        <f t="shared" si="76"/>
        <v>469</v>
      </c>
      <c r="AC11" s="14">
        <f t="shared" si="76"/>
        <v>114</v>
      </c>
      <c r="AD11" s="14">
        <f t="shared" si="76"/>
        <v>338</v>
      </c>
      <c r="AE11" s="14">
        <f t="shared" si="76"/>
        <v>294</v>
      </c>
      <c r="AF11" s="14">
        <f t="shared" si="76"/>
        <v>388</v>
      </c>
      <c r="AG11" s="14">
        <f t="shared" si="76"/>
        <v>338</v>
      </c>
      <c r="AH11" s="5">
        <f t="shared" si="76"/>
        <v>164</v>
      </c>
      <c r="AI11" s="5">
        <f t="shared" si="76"/>
        <v>244</v>
      </c>
      <c r="AJ11" s="5">
        <f t="shared" ref="AJ11:BO11" si="77">SUM(AJ4:AJ10)</f>
        <v>310</v>
      </c>
      <c r="AK11" s="5">
        <f t="shared" si="77"/>
        <v>360</v>
      </c>
      <c r="AL11" s="5">
        <f t="shared" si="77"/>
        <v>224</v>
      </c>
      <c r="AM11" s="14">
        <f t="shared" si="77"/>
        <v>300</v>
      </c>
      <c r="AN11" s="14">
        <f t="shared" si="77"/>
        <v>208</v>
      </c>
      <c r="AO11" s="14">
        <f t="shared" si="77"/>
        <v>308</v>
      </c>
      <c r="AP11" s="14">
        <f t="shared" si="77"/>
        <v>440</v>
      </c>
      <c r="AQ11" s="14">
        <f t="shared" si="77"/>
        <v>369</v>
      </c>
      <c r="AR11" s="5">
        <f t="shared" si="77"/>
        <v>371</v>
      </c>
      <c r="AS11" s="5">
        <f t="shared" si="77"/>
        <v>62</v>
      </c>
      <c r="AT11" s="5">
        <f t="shared" si="77"/>
        <v>378</v>
      </c>
      <c r="AU11" s="5">
        <f t="shared" si="77"/>
        <v>328</v>
      </c>
      <c r="AV11" s="5">
        <f t="shared" si="77"/>
        <v>365</v>
      </c>
      <c r="AW11" s="14">
        <f t="shared" si="77"/>
        <v>334</v>
      </c>
      <c r="AX11" s="14">
        <f t="shared" si="77"/>
        <v>112</v>
      </c>
      <c r="AY11" s="14">
        <f t="shared" si="77"/>
        <v>504</v>
      </c>
      <c r="AZ11" s="14">
        <f t="shared" si="77"/>
        <v>420</v>
      </c>
      <c r="BA11" s="14">
        <f t="shared" si="77"/>
        <v>303</v>
      </c>
      <c r="BB11" s="5">
        <f t="shared" si="77"/>
        <v>451</v>
      </c>
      <c r="BC11" s="5">
        <f t="shared" si="77"/>
        <v>196</v>
      </c>
      <c r="BD11" s="5">
        <f t="shared" si="77"/>
        <v>350</v>
      </c>
      <c r="BE11" s="5">
        <f t="shared" si="77"/>
        <v>314</v>
      </c>
      <c r="BF11" s="5">
        <f t="shared" si="77"/>
        <v>453</v>
      </c>
      <c r="BG11" s="14">
        <f t="shared" si="77"/>
        <v>312</v>
      </c>
      <c r="BH11" s="14">
        <f t="shared" si="77"/>
        <v>232</v>
      </c>
      <c r="BI11" s="14">
        <f t="shared" si="77"/>
        <v>98</v>
      </c>
      <c r="BJ11" s="14">
        <f t="shared" si="77"/>
        <v>0</v>
      </c>
      <c r="BK11" s="14">
        <f t="shared" si="77"/>
        <v>0</v>
      </c>
      <c r="BL11" s="5">
        <f t="shared" si="77"/>
        <v>312</v>
      </c>
      <c r="BM11" s="5">
        <f t="shared" si="77"/>
        <v>330</v>
      </c>
      <c r="BN11" s="5">
        <f t="shared" si="77"/>
        <v>224</v>
      </c>
      <c r="BO11" s="5">
        <f t="shared" si="77"/>
        <v>430</v>
      </c>
      <c r="BP11" s="5">
        <f t="shared" ref="BP11:CU11" si="78">SUM(BP4:BP10)</f>
        <v>420</v>
      </c>
      <c r="BQ11" s="14">
        <f t="shared" si="78"/>
        <v>322</v>
      </c>
      <c r="BR11" s="14">
        <f t="shared" si="78"/>
        <v>124</v>
      </c>
      <c r="BS11" s="14">
        <f t="shared" si="78"/>
        <v>448</v>
      </c>
      <c r="BT11" s="14">
        <f t="shared" si="78"/>
        <v>430</v>
      </c>
      <c r="BU11" s="14">
        <f t="shared" si="78"/>
        <v>420</v>
      </c>
      <c r="BV11" s="5">
        <f t="shared" si="78"/>
        <v>332</v>
      </c>
      <c r="BW11" s="5">
        <f t="shared" si="78"/>
        <v>156</v>
      </c>
      <c r="BX11" s="5">
        <f t="shared" si="78"/>
        <v>476</v>
      </c>
      <c r="BY11" s="5">
        <f t="shared" si="78"/>
        <v>364</v>
      </c>
      <c r="BZ11" s="5">
        <f t="shared" si="78"/>
        <v>350</v>
      </c>
      <c r="CA11" s="14">
        <f t="shared" si="78"/>
        <v>346</v>
      </c>
      <c r="CB11" s="14">
        <f t="shared" si="78"/>
        <v>268</v>
      </c>
      <c r="CC11" s="14">
        <f t="shared" si="78"/>
        <v>476</v>
      </c>
      <c r="CD11" s="14">
        <f t="shared" si="78"/>
        <v>276</v>
      </c>
      <c r="CE11" s="14">
        <f t="shared" si="78"/>
        <v>345</v>
      </c>
      <c r="CF11" s="5">
        <f t="shared" si="78"/>
        <v>277</v>
      </c>
      <c r="CG11" s="5">
        <f t="shared" si="78"/>
        <v>468</v>
      </c>
      <c r="CH11" s="5">
        <f t="shared" si="78"/>
        <v>322</v>
      </c>
      <c r="CI11" s="5">
        <f t="shared" si="78"/>
        <v>328</v>
      </c>
      <c r="CJ11" s="5">
        <f t="shared" si="78"/>
        <v>343</v>
      </c>
      <c r="CK11" s="14">
        <f t="shared" si="78"/>
        <v>262</v>
      </c>
      <c r="CL11" s="14">
        <f t="shared" si="78"/>
        <v>462</v>
      </c>
      <c r="CM11" s="14">
        <f t="shared" si="78"/>
        <v>336</v>
      </c>
      <c r="CN11" s="14">
        <f t="shared" si="78"/>
        <v>384</v>
      </c>
      <c r="CO11" s="14">
        <f t="shared" si="78"/>
        <v>368</v>
      </c>
      <c r="CP11" s="5">
        <f t="shared" si="78"/>
        <v>278</v>
      </c>
      <c r="CQ11" s="5">
        <f t="shared" si="78"/>
        <v>414</v>
      </c>
      <c r="CR11" s="5">
        <f t="shared" si="78"/>
        <v>364</v>
      </c>
      <c r="CS11" s="5">
        <f t="shared" si="78"/>
        <v>378</v>
      </c>
      <c r="CT11" s="5">
        <f t="shared" si="78"/>
        <v>412</v>
      </c>
      <c r="CU11" s="14">
        <f t="shared" si="78"/>
        <v>244</v>
      </c>
      <c r="CV11" s="14">
        <f t="shared" ref="CV11:DI11" si="79">SUM(CV4:CV10)</f>
        <v>258</v>
      </c>
      <c r="CW11" s="14">
        <f t="shared" si="79"/>
        <v>308</v>
      </c>
      <c r="CX11" s="14">
        <f t="shared" si="79"/>
        <v>314</v>
      </c>
      <c r="CY11" s="14">
        <f t="shared" si="79"/>
        <v>318</v>
      </c>
      <c r="CZ11" s="5">
        <f t="shared" si="79"/>
        <v>240</v>
      </c>
      <c r="DA11" s="5">
        <f t="shared" si="79"/>
        <v>252</v>
      </c>
      <c r="DB11" s="5">
        <f t="shared" si="79"/>
        <v>294</v>
      </c>
      <c r="DC11" s="5">
        <f t="shared" si="79"/>
        <v>364</v>
      </c>
      <c r="DD11" s="5">
        <f t="shared" si="79"/>
        <v>410</v>
      </c>
      <c r="DE11" s="14">
        <f t="shared" si="79"/>
        <v>194</v>
      </c>
      <c r="DF11" s="14">
        <f t="shared" si="79"/>
        <v>224</v>
      </c>
      <c r="DG11" s="14">
        <f t="shared" si="79"/>
        <v>28</v>
      </c>
      <c r="DH11" s="14">
        <f t="shared" si="79"/>
        <v>98</v>
      </c>
      <c r="DI11" s="14">
        <f t="shared" si="79"/>
        <v>0</v>
      </c>
      <c r="DJ11" s="5">
        <f t="shared" ref="DJ11:DN11" si="80">SUM(DJ4:DJ10)</f>
        <v>292</v>
      </c>
      <c r="DK11" s="5">
        <f t="shared" si="80"/>
        <v>154</v>
      </c>
      <c r="DL11" s="5">
        <f t="shared" si="80"/>
        <v>336</v>
      </c>
      <c r="DM11" s="5">
        <f t="shared" si="80"/>
        <v>252</v>
      </c>
      <c r="DN11" s="5">
        <f t="shared" si="80"/>
        <v>306</v>
      </c>
      <c r="DO11" s="14">
        <f t="shared" ref="DO11:DS11" si="81">SUM(DO4:DO10)</f>
        <v>238</v>
      </c>
      <c r="DP11" s="14">
        <f t="shared" si="81"/>
        <v>252</v>
      </c>
      <c r="DQ11" s="14">
        <f t="shared" si="81"/>
        <v>420</v>
      </c>
      <c r="DR11" s="14">
        <f t="shared" si="81"/>
        <v>322</v>
      </c>
      <c r="DS11" s="14">
        <f t="shared" si="81"/>
        <v>433</v>
      </c>
      <c r="DT11" s="5">
        <f t="shared" ref="DT11:DX11" si="82">SUM(DT4:DT10)</f>
        <v>127</v>
      </c>
      <c r="DU11" s="5">
        <f t="shared" si="82"/>
        <v>364</v>
      </c>
      <c r="DV11" s="5">
        <f t="shared" si="82"/>
        <v>478</v>
      </c>
      <c r="DW11" s="5">
        <f t="shared" si="82"/>
        <v>562</v>
      </c>
      <c r="DX11" s="5">
        <f t="shared" si="82"/>
        <v>428</v>
      </c>
      <c r="DY11" s="14">
        <f t="shared" ref="DY11:EC11" si="83">SUM(DY4:DY10)</f>
        <v>261</v>
      </c>
      <c r="DZ11" s="14">
        <f t="shared" si="83"/>
        <v>280</v>
      </c>
      <c r="EA11" s="14">
        <f t="shared" si="83"/>
        <v>350</v>
      </c>
      <c r="EB11" s="14">
        <f t="shared" si="83"/>
        <v>308</v>
      </c>
      <c r="EC11" s="14">
        <f t="shared" si="83"/>
        <v>373</v>
      </c>
      <c r="ED11" s="5">
        <f t="shared" ref="ED11:EH11" si="84">SUM(ED4:ED10)</f>
        <v>196</v>
      </c>
      <c r="EE11" s="5">
        <f t="shared" si="84"/>
        <v>336</v>
      </c>
      <c r="EF11" s="5">
        <f t="shared" si="84"/>
        <v>364</v>
      </c>
      <c r="EG11" s="5">
        <f t="shared" si="84"/>
        <v>336</v>
      </c>
      <c r="EH11" s="5">
        <f t="shared" si="84"/>
        <v>349</v>
      </c>
    </row>
    <row r="12" spans="1:138" s="1" customFormat="1" ht="29" x14ac:dyDescent="0.35">
      <c r="B12" s="4" t="s">
        <v>21</v>
      </c>
      <c r="C12" s="4" t="s">
        <v>22</v>
      </c>
      <c r="D12" s="5" t="s">
        <v>23</v>
      </c>
      <c r="E12" s="5" t="s">
        <v>31</v>
      </c>
      <c r="F12" s="5" t="s">
        <v>34</v>
      </c>
      <c r="G12" s="5" t="s">
        <v>35</v>
      </c>
      <c r="H12" s="5" t="s">
        <v>33</v>
      </c>
      <c r="I12" s="6" t="s">
        <v>23</v>
      </c>
      <c r="J12" s="6" t="s">
        <v>31</v>
      </c>
      <c r="K12" s="6" t="s">
        <v>34</v>
      </c>
      <c r="L12" s="6" t="s">
        <v>35</v>
      </c>
      <c r="M12" s="6" t="s">
        <v>33</v>
      </c>
      <c r="N12" s="5" t="s">
        <v>23</v>
      </c>
      <c r="O12" s="5" t="s">
        <v>31</v>
      </c>
      <c r="P12" s="5" t="s">
        <v>34</v>
      </c>
      <c r="Q12" s="5" t="s">
        <v>35</v>
      </c>
      <c r="R12" s="5" t="s">
        <v>33</v>
      </c>
      <c r="S12" s="6" t="s">
        <v>23</v>
      </c>
      <c r="T12" s="6" t="s">
        <v>31</v>
      </c>
      <c r="U12" s="6" t="s">
        <v>34</v>
      </c>
      <c r="V12" s="6" t="s">
        <v>35</v>
      </c>
      <c r="W12" s="6" t="s">
        <v>33</v>
      </c>
      <c r="X12" s="5" t="s">
        <v>23</v>
      </c>
      <c r="Y12" s="5" t="s">
        <v>31</v>
      </c>
      <c r="Z12" s="5" t="s">
        <v>34</v>
      </c>
      <c r="AA12" s="5" t="s">
        <v>35</v>
      </c>
      <c r="AB12" s="5" t="s">
        <v>33</v>
      </c>
      <c r="AC12" s="14" t="s">
        <v>23</v>
      </c>
      <c r="AD12" s="14" t="s">
        <v>31</v>
      </c>
      <c r="AE12" s="14" t="s">
        <v>34</v>
      </c>
      <c r="AF12" s="14" t="s">
        <v>35</v>
      </c>
      <c r="AG12" s="14" t="s">
        <v>33</v>
      </c>
      <c r="AH12" s="5" t="s">
        <v>23</v>
      </c>
      <c r="AI12" s="5" t="s">
        <v>31</v>
      </c>
      <c r="AJ12" s="5" t="s">
        <v>34</v>
      </c>
      <c r="AK12" s="5" t="s">
        <v>35</v>
      </c>
      <c r="AL12" s="5" t="s">
        <v>33</v>
      </c>
      <c r="AM12" s="14" t="s">
        <v>23</v>
      </c>
      <c r="AN12" s="14" t="s">
        <v>31</v>
      </c>
      <c r="AO12" s="14" t="s">
        <v>34</v>
      </c>
      <c r="AP12" s="14" t="s">
        <v>35</v>
      </c>
      <c r="AQ12" s="14" t="s">
        <v>33</v>
      </c>
      <c r="AR12" s="5" t="s">
        <v>23</v>
      </c>
      <c r="AS12" s="5" t="s">
        <v>31</v>
      </c>
      <c r="AT12" s="5" t="s">
        <v>34</v>
      </c>
      <c r="AU12" s="5" t="s">
        <v>35</v>
      </c>
      <c r="AV12" s="5" t="s">
        <v>33</v>
      </c>
      <c r="AW12" s="14" t="s">
        <v>23</v>
      </c>
      <c r="AX12" s="14" t="s">
        <v>31</v>
      </c>
      <c r="AY12" s="14" t="s">
        <v>34</v>
      </c>
      <c r="AZ12" s="14" t="s">
        <v>35</v>
      </c>
      <c r="BA12" s="14" t="s">
        <v>33</v>
      </c>
      <c r="BB12" s="5" t="s">
        <v>23</v>
      </c>
      <c r="BC12" s="5" t="s">
        <v>31</v>
      </c>
      <c r="BD12" s="5" t="s">
        <v>34</v>
      </c>
      <c r="BE12" s="5" t="s">
        <v>35</v>
      </c>
      <c r="BF12" s="5" t="s">
        <v>33</v>
      </c>
      <c r="BG12" s="14" t="s">
        <v>23</v>
      </c>
      <c r="BH12" s="14" t="s">
        <v>31</v>
      </c>
      <c r="BI12" s="14" t="s">
        <v>34</v>
      </c>
      <c r="BJ12" s="14" t="s">
        <v>35</v>
      </c>
      <c r="BK12" s="14" t="s">
        <v>33</v>
      </c>
      <c r="BL12" s="5" t="s">
        <v>23</v>
      </c>
      <c r="BM12" s="5" t="s">
        <v>31</v>
      </c>
      <c r="BN12" s="5" t="s">
        <v>34</v>
      </c>
      <c r="BO12" s="5" t="s">
        <v>35</v>
      </c>
      <c r="BP12" s="5" t="s">
        <v>33</v>
      </c>
      <c r="BQ12" s="14" t="s">
        <v>23</v>
      </c>
      <c r="BR12" s="14" t="s">
        <v>31</v>
      </c>
      <c r="BS12" s="14" t="s">
        <v>34</v>
      </c>
      <c r="BT12" s="14" t="s">
        <v>35</v>
      </c>
      <c r="BU12" s="14" t="s">
        <v>33</v>
      </c>
      <c r="BV12" s="5" t="s">
        <v>23</v>
      </c>
      <c r="BW12" s="5" t="s">
        <v>31</v>
      </c>
      <c r="BX12" s="5" t="s">
        <v>34</v>
      </c>
      <c r="BY12" s="5" t="s">
        <v>35</v>
      </c>
      <c r="BZ12" s="5" t="s">
        <v>33</v>
      </c>
      <c r="CA12" s="14" t="s">
        <v>23</v>
      </c>
      <c r="CB12" s="14" t="s">
        <v>31</v>
      </c>
      <c r="CC12" s="14" t="s">
        <v>34</v>
      </c>
      <c r="CD12" s="14" t="s">
        <v>35</v>
      </c>
      <c r="CE12" s="14" t="s">
        <v>33</v>
      </c>
      <c r="CF12" s="5" t="s">
        <v>23</v>
      </c>
      <c r="CG12" s="5" t="s">
        <v>31</v>
      </c>
      <c r="CH12" s="5" t="s">
        <v>34</v>
      </c>
      <c r="CI12" s="5" t="s">
        <v>35</v>
      </c>
      <c r="CJ12" s="5" t="s">
        <v>33</v>
      </c>
      <c r="CK12" s="14" t="s">
        <v>23</v>
      </c>
      <c r="CL12" s="14" t="s">
        <v>31</v>
      </c>
      <c r="CM12" s="14" t="s">
        <v>34</v>
      </c>
      <c r="CN12" s="14" t="s">
        <v>35</v>
      </c>
      <c r="CO12" s="14" t="s">
        <v>33</v>
      </c>
      <c r="CP12" s="5" t="s">
        <v>23</v>
      </c>
      <c r="CQ12" s="5" t="s">
        <v>31</v>
      </c>
      <c r="CR12" s="5" t="s">
        <v>34</v>
      </c>
      <c r="CS12" s="5" t="s">
        <v>35</v>
      </c>
      <c r="CT12" s="5" t="s">
        <v>33</v>
      </c>
      <c r="CU12" s="14" t="s">
        <v>23</v>
      </c>
      <c r="CV12" s="14" t="s">
        <v>31</v>
      </c>
      <c r="CW12" s="14" t="s">
        <v>34</v>
      </c>
      <c r="CX12" s="14" t="s">
        <v>35</v>
      </c>
      <c r="CY12" s="14" t="s">
        <v>33</v>
      </c>
      <c r="CZ12" s="5" t="s">
        <v>23</v>
      </c>
      <c r="DA12" s="5" t="s">
        <v>31</v>
      </c>
      <c r="DB12" s="5" t="s">
        <v>34</v>
      </c>
      <c r="DC12" s="5" t="s">
        <v>35</v>
      </c>
      <c r="DD12" s="5" t="s">
        <v>33</v>
      </c>
      <c r="DE12" s="14" t="s">
        <v>23</v>
      </c>
      <c r="DF12" s="14" t="s">
        <v>31</v>
      </c>
      <c r="DG12" s="14" t="s">
        <v>34</v>
      </c>
      <c r="DH12" s="14" t="s">
        <v>35</v>
      </c>
      <c r="DI12" s="14" t="s">
        <v>33</v>
      </c>
      <c r="DJ12" s="5" t="s">
        <v>23</v>
      </c>
      <c r="DK12" s="5" t="s">
        <v>31</v>
      </c>
      <c r="DL12" s="5" t="s">
        <v>34</v>
      </c>
      <c r="DM12" s="5" t="s">
        <v>35</v>
      </c>
      <c r="DN12" s="5" t="s">
        <v>33</v>
      </c>
      <c r="DO12" s="14" t="s">
        <v>23</v>
      </c>
      <c r="DP12" s="14" t="s">
        <v>31</v>
      </c>
      <c r="DQ12" s="14" t="s">
        <v>34</v>
      </c>
      <c r="DR12" s="14" t="s">
        <v>35</v>
      </c>
      <c r="DS12" s="14" t="s">
        <v>33</v>
      </c>
      <c r="DT12" s="5" t="s">
        <v>23</v>
      </c>
      <c r="DU12" s="5" t="s">
        <v>31</v>
      </c>
      <c r="DV12" s="5" t="s">
        <v>34</v>
      </c>
      <c r="DW12" s="5" t="s">
        <v>35</v>
      </c>
      <c r="DX12" s="5" t="s">
        <v>33</v>
      </c>
      <c r="DY12" s="14" t="s">
        <v>23</v>
      </c>
      <c r="DZ12" s="14" t="s">
        <v>31</v>
      </c>
      <c r="EA12" s="14" t="s">
        <v>34</v>
      </c>
      <c r="EB12" s="14" t="s">
        <v>35</v>
      </c>
      <c r="EC12" s="14" t="s">
        <v>33</v>
      </c>
      <c r="ED12" s="5" t="s">
        <v>23</v>
      </c>
      <c r="EE12" s="5" t="s">
        <v>31</v>
      </c>
      <c r="EF12" s="5" t="s">
        <v>34</v>
      </c>
      <c r="EG12" s="5" t="s">
        <v>35</v>
      </c>
      <c r="EH12" s="5" t="s">
        <v>33</v>
      </c>
    </row>
    <row r="13" spans="1:138" x14ac:dyDescent="0.35">
      <c r="A13" s="3">
        <v>35</v>
      </c>
      <c r="B13" s="2" t="s">
        <v>26</v>
      </c>
      <c r="C13" s="2" t="s">
        <v>25</v>
      </c>
      <c r="D13" s="3">
        <f t="shared" ref="D13:D19" si="85">A13</f>
        <v>35</v>
      </c>
      <c r="E13" s="3">
        <v>60</v>
      </c>
      <c r="F13" s="3">
        <f>60+28</f>
        <v>88</v>
      </c>
      <c r="G13" s="3">
        <v>120</v>
      </c>
      <c r="H13" s="3">
        <v>115</v>
      </c>
      <c r="I13" s="3">
        <f>D13+G13-H13</f>
        <v>40</v>
      </c>
      <c r="J13" s="3">
        <f t="shared" ref="J13:J19" si="86">E13+F13-G13</f>
        <v>28</v>
      </c>
      <c r="K13" s="3">
        <f>52+31+65</f>
        <v>148</v>
      </c>
      <c r="L13" s="3">
        <v>128</v>
      </c>
      <c r="M13" s="3">
        <v>97</v>
      </c>
      <c r="N13" s="3">
        <f>I13+L13-M13</f>
        <v>71</v>
      </c>
      <c r="O13" s="3">
        <f t="shared" ref="O13:O19" si="87">J13+K13-L13</f>
        <v>48</v>
      </c>
      <c r="P13" s="3">
        <f>67+24</f>
        <v>91</v>
      </c>
      <c r="Q13" s="3">
        <v>96</v>
      </c>
      <c r="R13" s="3">
        <v>78</v>
      </c>
      <c r="S13" s="3">
        <f>N13+Q13-R13</f>
        <v>89</v>
      </c>
      <c r="T13" s="3">
        <f t="shared" ref="T13:T19" si="88">O13+P13-Q13</f>
        <v>43</v>
      </c>
      <c r="U13" s="3">
        <f>98+66</f>
        <v>164</v>
      </c>
      <c r="V13" s="3">
        <v>76</v>
      </c>
      <c r="W13" s="3">
        <v>76</v>
      </c>
      <c r="X13" s="3">
        <f>S13+V13-W13</f>
        <v>89</v>
      </c>
      <c r="Y13" s="3">
        <f t="shared" ref="Y13:Y19" si="89">T13+U13-V13</f>
        <v>131</v>
      </c>
      <c r="Z13" s="3">
        <f>62+60</f>
        <v>122</v>
      </c>
      <c r="AA13" s="3">
        <v>88</v>
      </c>
      <c r="AB13" s="3">
        <v>82</v>
      </c>
      <c r="AC13" s="3">
        <f>X13+AA13-AB13</f>
        <v>95</v>
      </c>
      <c r="AD13" s="3">
        <f t="shared" ref="AD13:AD19" si="90">Y13+Z13-AA13</f>
        <v>165</v>
      </c>
      <c r="AE13" s="3">
        <f>58+38+16</f>
        <v>112</v>
      </c>
      <c r="AF13" s="3">
        <v>76</v>
      </c>
      <c r="AG13" s="3">
        <v>53</v>
      </c>
      <c r="AH13" s="3">
        <f>AC13+AF13-AG13</f>
        <v>118</v>
      </c>
      <c r="AI13" s="3">
        <f t="shared" ref="AI13:AI19" si="91">AD13+AE13-AF13</f>
        <v>201</v>
      </c>
      <c r="AJ13" s="3">
        <f>40+60+16</f>
        <v>116</v>
      </c>
      <c r="AK13" s="3">
        <v>80</v>
      </c>
      <c r="AL13" s="3">
        <v>61</v>
      </c>
      <c r="AM13" s="3">
        <f>AH13+AK13-AL13</f>
        <v>137</v>
      </c>
      <c r="AN13" s="3">
        <f t="shared" ref="AN13:AN19" si="92">AI13+AJ13-AK13</f>
        <v>237</v>
      </c>
      <c r="AO13" s="3">
        <f>25</f>
        <v>25</v>
      </c>
      <c r="AP13" s="3">
        <v>176</v>
      </c>
      <c r="AQ13" s="3">
        <v>96</v>
      </c>
      <c r="AR13" s="3">
        <f>AM13+AP13-AQ13</f>
        <v>217</v>
      </c>
      <c r="AS13" s="3">
        <f t="shared" ref="AS13:AS19" si="93">AN13+AO13-AP13</f>
        <v>86</v>
      </c>
      <c r="AT13" s="3">
        <v>12</v>
      </c>
      <c r="AU13" s="3">
        <v>80</v>
      </c>
      <c r="AV13" s="3">
        <v>56</v>
      </c>
      <c r="AW13" s="3">
        <f>AR13+AU13-AV13</f>
        <v>241</v>
      </c>
      <c r="AX13" s="3">
        <f t="shared" ref="AX13:AX19" si="94">AS13+AT13-AU13</f>
        <v>18</v>
      </c>
      <c r="AY13" s="3">
        <f>52+16</f>
        <v>68</v>
      </c>
      <c r="AZ13" s="3">
        <v>57</v>
      </c>
      <c r="BA13" s="3">
        <v>64</v>
      </c>
      <c r="BB13" s="3">
        <f>AW13+AZ13-BA13</f>
        <v>234</v>
      </c>
      <c r="BC13" s="3">
        <f t="shared" ref="BC13:BC19" si="95">AX13+AY13-AZ13</f>
        <v>29</v>
      </c>
      <c r="BD13" s="3">
        <f>38+5</f>
        <v>43</v>
      </c>
      <c r="BE13" s="3">
        <v>60</v>
      </c>
      <c r="BF13" s="3">
        <v>74</v>
      </c>
      <c r="BG13" s="3">
        <f>BB13+BE13-BF13</f>
        <v>220</v>
      </c>
      <c r="BH13" s="3">
        <f t="shared" ref="BH13:BH19" si="96">BC13+BD13-BE13</f>
        <v>12</v>
      </c>
      <c r="BI13" s="3">
        <v>44</v>
      </c>
      <c r="BJ13" s="3"/>
      <c r="BK13" s="3">
        <v>0</v>
      </c>
      <c r="BL13" s="3">
        <f>BG13+BJ13-BK13</f>
        <v>220</v>
      </c>
      <c r="BM13" s="3">
        <f t="shared" ref="BM13:BM19" si="97">BH13+BI13-BJ13</f>
        <v>56</v>
      </c>
      <c r="BN13" s="3">
        <v>32</v>
      </c>
      <c r="BO13" s="3">
        <v>32</v>
      </c>
      <c r="BP13" s="3">
        <v>30</v>
      </c>
      <c r="BQ13" s="3">
        <f>BL13+BO13-BP13</f>
        <v>222</v>
      </c>
      <c r="BR13" s="3">
        <f t="shared" ref="BR13:BR19" si="98">BM13+BN13-BO13</f>
        <v>56</v>
      </c>
      <c r="BS13" s="3">
        <f>16+80</f>
        <v>96</v>
      </c>
      <c r="BT13" s="3">
        <v>72</v>
      </c>
      <c r="BU13" s="3">
        <v>80</v>
      </c>
      <c r="BV13" s="3">
        <f>BQ13+BT13-BU13</f>
        <v>214</v>
      </c>
      <c r="BW13" s="3">
        <f t="shared" ref="BW13:BW19" si="99">BR13+BS13-BT13</f>
        <v>80</v>
      </c>
      <c r="BX13" s="3">
        <v>60</v>
      </c>
      <c r="BY13" s="3">
        <v>76</v>
      </c>
      <c r="BZ13" s="3">
        <v>80</v>
      </c>
      <c r="CA13" s="3">
        <f>BV13+BY13-BZ13</f>
        <v>210</v>
      </c>
      <c r="CB13" s="3">
        <f t="shared" ref="CB13:CB19" si="100">BW13+BX13-BY13</f>
        <v>64</v>
      </c>
      <c r="CC13" s="3">
        <v>48</v>
      </c>
      <c r="CD13" s="3">
        <v>48</v>
      </c>
      <c r="CE13" s="3">
        <v>63</v>
      </c>
      <c r="CF13" s="3">
        <f>CA13+CD13-CE13</f>
        <v>195</v>
      </c>
      <c r="CG13" s="3">
        <f t="shared" ref="CG13:CG19" si="101">CB13+CC13-CD13</f>
        <v>64</v>
      </c>
      <c r="CH13" s="3">
        <f>90+16</f>
        <v>106</v>
      </c>
      <c r="CI13" s="3">
        <v>72</v>
      </c>
      <c r="CJ13" s="3">
        <v>77</v>
      </c>
      <c r="CK13" s="3">
        <f>CF13+CI13-CJ13</f>
        <v>190</v>
      </c>
      <c r="CL13" s="3">
        <f t="shared" ref="CL13:CL19" si="102">CG13+CH13-CI13</f>
        <v>98</v>
      </c>
      <c r="CM13" s="3">
        <f>101+39</f>
        <v>140</v>
      </c>
      <c r="CN13" s="3">
        <v>76</v>
      </c>
      <c r="CO13" s="3">
        <v>84</v>
      </c>
      <c r="CP13" s="3">
        <f>CK13+CN13-CO13</f>
        <v>182</v>
      </c>
      <c r="CQ13" s="3">
        <f t="shared" ref="CQ13:CQ19" si="103">CL13+CM13-CN13</f>
        <v>162</v>
      </c>
      <c r="CR13" s="3">
        <v>81</v>
      </c>
      <c r="CS13" s="3">
        <v>96</v>
      </c>
      <c r="CT13" s="3">
        <v>72</v>
      </c>
      <c r="CU13" s="3">
        <f>CP13+CS13-CT13</f>
        <v>206</v>
      </c>
      <c r="CV13" s="3">
        <v>48</v>
      </c>
      <c r="CW13" s="3">
        <f>96+24</f>
        <v>120</v>
      </c>
      <c r="CX13" s="3">
        <v>84</v>
      </c>
      <c r="CY13" s="3">
        <v>65</v>
      </c>
      <c r="CZ13" s="3">
        <v>69</v>
      </c>
      <c r="DA13" s="3">
        <f t="shared" ref="DA13:DA19" si="104">CV13+CW13-CX13</f>
        <v>84</v>
      </c>
      <c r="DB13" s="3">
        <f>102</f>
        <v>102</v>
      </c>
      <c r="DC13" s="3">
        <v>64</v>
      </c>
      <c r="DD13" s="3">
        <v>68</v>
      </c>
      <c r="DE13" s="3">
        <f>CZ13+DC13-DD13</f>
        <v>65</v>
      </c>
      <c r="DF13" s="3">
        <f t="shared" ref="DF13:DF19" si="105">DA13+DB13-DC13</f>
        <v>122</v>
      </c>
      <c r="DG13" s="3">
        <v>32</v>
      </c>
      <c r="DH13" s="3">
        <f>76+32</f>
        <v>108</v>
      </c>
      <c r="DI13" s="3">
        <v>94</v>
      </c>
      <c r="DJ13" s="3">
        <f>DE13+DH13-DI13</f>
        <v>79</v>
      </c>
      <c r="DK13" s="3">
        <f t="shared" ref="DK13:DK19" si="106">DF13+DG13-DH13</f>
        <v>46</v>
      </c>
      <c r="DL13" s="3">
        <f>64+28</f>
        <v>92</v>
      </c>
      <c r="DM13" s="3">
        <v>112</v>
      </c>
      <c r="DN13" s="3">
        <v>143</v>
      </c>
      <c r="DO13" s="3">
        <f>DJ13+DM13-DN13</f>
        <v>48</v>
      </c>
      <c r="DP13" s="3">
        <f t="shared" ref="DP13:DP19" si="107">DK13+DL13-DM13</f>
        <v>26</v>
      </c>
      <c r="DQ13" s="3">
        <f>52+34</f>
        <v>86</v>
      </c>
      <c r="DR13" s="3">
        <v>80</v>
      </c>
      <c r="DS13" s="3">
        <v>80</v>
      </c>
      <c r="DT13" s="3">
        <f>DO13+DR13-DS13</f>
        <v>48</v>
      </c>
      <c r="DU13" s="3">
        <f t="shared" ref="DU13:DU19" si="108">DP13+DQ13-DR13</f>
        <v>32</v>
      </c>
      <c r="DV13" s="3">
        <v>80</v>
      </c>
      <c r="DW13" s="3">
        <v>80</v>
      </c>
      <c r="DX13" s="3">
        <v>71</v>
      </c>
      <c r="DY13" s="3">
        <f>DT13+DW13-DX13</f>
        <v>57</v>
      </c>
      <c r="DZ13" s="3">
        <f t="shared" ref="DZ13:DZ19" si="109">DU13+DV13-DW13</f>
        <v>32</v>
      </c>
      <c r="EA13" s="3">
        <v>76</v>
      </c>
      <c r="EB13" s="3">
        <v>42</v>
      </c>
      <c r="EC13" s="3">
        <v>42</v>
      </c>
      <c r="ED13" s="3">
        <f>DY13+EB13-EC13</f>
        <v>57</v>
      </c>
      <c r="EE13" s="3">
        <f t="shared" ref="EE13:EE19" si="110">DZ13+EA13-EB13</f>
        <v>66</v>
      </c>
      <c r="EF13" s="3">
        <f>76+44</f>
        <v>120</v>
      </c>
      <c r="EG13" s="3">
        <v>44</v>
      </c>
      <c r="EH13" s="3">
        <v>39</v>
      </c>
    </row>
    <row r="14" spans="1:138" x14ac:dyDescent="0.35">
      <c r="A14" s="3">
        <v>45</v>
      </c>
      <c r="B14" s="2" t="s">
        <v>8</v>
      </c>
      <c r="C14" s="2" t="s">
        <v>27</v>
      </c>
      <c r="D14" s="3">
        <f t="shared" si="85"/>
        <v>45</v>
      </c>
      <c r="E14" s="3">
        <v>43</v>
      </c>
      <c r="F14" s="3">
        <v>0</v>
      </c>
      <c r="G14" s="3">
        <v>0</v>
      </c>
      <c r="H14" s="3">
        <v>1</v>
      </c>
      <c r="I14" s="3">
        <f t="shared" ref="I14:I19" si="111">D14+G14-H14</f>
        <v>44</v>
      </c>
      <c r="J14" s="3">
        <f t="shared" si="86"/>
        <v>43</v>
      </c>
      <c r="K14" s="3"/>
      <c r="L14" s="3">
        <v>16</v>
      </c>
      <c r="M14" s="3">
        <v>17</v>
      </c>
      <c r="N14" s="3">
        <f t="shared" ref="N14:N19" si="112">I14+L14-M14</f>
        <v>43</v>
      </c>
      <c r="O14" s="3">
        <f t="shared" si="87"/>
        <v>27</v>
      </c>
      <c r="P14" s="3">
        <v>0</v>
      </c>
      <c r="Q14" s="3">
        <v>0</v>
      </c>
      <c r="R14" s="3">
        <v>19</v>
      </c>
      <c r="S14" s="3">
        <f t="shared" ref="S14:S19" si="113">N14+Q14-R14</f>
        <v>24</v>
      </c>
      <c r="T14" s="3">
        <f t="shared" si="88"/>
        <v>27</v>
      </c>
      <c r="U14" s="3"/>
      <c r="V14" s="3">
        <v>12</v>
      </c>
      <c r="W14" s="3">
        <v>18</v>
      </c>
      <c r="X14" s="3">
        <f t="shared" ref="X14:X19" si="114">S14+V14-W14</f>
        <v>18</v>
      </c>
      <c r="Y14" s="3">
        <f t="shared" si="89"/>
        <v>15</v>
      </c>
      <c r="Z14" s="3">
        <v>18</v>
      </c>
      <c r="AA14" s="3">
        <v>28</v>
      </c>
      <c r="AB14" s="3">
        <v>25</v>
      </c>
      <c r="AC14" s="3">
        <f t="shared" ref="AC14:AC19" si="115">X14+AA14-AB14</f>
        <v>21</v>
      </c>
      <c r="AD14" s="3">
        <f t="shared" si="90"/>
        <v>5</v>
      </c>
      <c r="AE14" s="3">
        <f>32+6+12</f>
        <v>50</v>
      </c>
      <c r="AF14" s="3">
        <v>16</v>
      </c>
      <c r="AG14" s="3">
        <v>15</v>
      </c>
      <c r="AH14" s="3">
        <f t="shared" ref="AH14:AH19" si="116">AC14+AF14-AG14</f>
        <v>22</v>
      </c>
      <c r="AI14" s="3">
        <f t="shared" si="91"/>
        <v>39</v>
      </c>
      <c r="AJ14" s="3">
        <v>37</v>
      </c>
      <c r="AK14" s="3">
        <v>28</v>
      </c>
      <c r="AL14" s="3">
        <v>17</v>
      </c>
      <c r="AM14" s="3">
        <f t="shared" ref="AM14:AM19" si="117">AH14+AK14-AL14</f>
        <v>33</v>
      </c>
      <c r="AN14" s="3">
        <f t="shared" si="92"/>
        <v>48</v>
      </c>
      <c r="AO14" s="3">
        <v>36</v>
      </c>
      <c r="AP14" s="3">
        <v>80</v>
      </c>
      <c r="AQ14" s="3">
        <v>26</v>
      </c>
      <c r="AR14" s="3">
        <f t="shared" ref="AR14:AR19" si="118">AM14+AP14-AQ14</f>
        <v>87</v>
      </c>
      <c r="AS14" s="3">
        <f t="shared" si="93"/>
        <v>4</v>
      </c>
      <c r="AT14" s="3">
        <f>32+36</f>
        <v>68</v>
      </c>
      <c r="AU14" s="3">
        <v>32</v>
      </c>
      <c r="AV14" s="3">
        <v>48</v>
      </c>
      <c r="AW14" s="3">
        <f t="shared" ref="AW14:AW19" si="119">AR14+AU14-AV14</f>
        <v>71</v>
      </c>
      <c r="AX14" s="3">
        <f t="shared" si="94"/>
        <v>40</v>
      </c>
      <c r="AY14" s="3">
        <f>18+21</f>
        <v>39</v>
      </c>
      <c r="AZ14" s="3">
        <v>29</v>
      </c>
      <c r="BA14" s="3">
        <v>44</v>
      </c>
      <c r="BB14" s="3">
        <f t="shared" ref="BB14:BB19" si="120">AW14+AZ14-BA14</f>
        <v>56</v>
      </c>
      <c r="BC14" s="3">
        <f t="shared" si="95"/>
        <v>50</v>
      </c>
      <c r="BD14" s="3">
        <f>23+40</f>
        <v>63</v>
      </c>
      <c r="BE14" s="3">
        <v>60</v>
      </c>
      <c r="BF14" s="3">
        <v>48</v>
      </c>
      <c r="BG14" s="3">
        <f t="shared" ref="BG14:BG19" si="121">BB14+BE14-BF14</f>
        <v>68</v>
      </c>
      <c r="BH14" s="3">
        <f t="shared" si="96"/>
        <v>53</v>
      </c>
      <c r="BI14" s="3"/>
      <c r="BJ14" s="3"/>
      <c r="BK14" s="3">
        <v>0</v>
      </c>
      <c r="BL14" s="3">
        <f t="shared" ref="BL14:BL19" si="122">BG14+BJ14-BK14</f>
        <v>68</v>
      </c>
      <c r="BM14" s="3">
        <f t="shared" si="97"/>
        <v>53</v>
      </c>
      <c r="BN14" s="3">
        <v>8</v>
      </c>
      <c r="BO14" s="3">
        <v>0</v>
      </c>
      <c r="BP14" s="3">
        <v>0</v>
      </c>
      <c r="BQ14" s="3">
        <f t="shared" ref="BQ14:BQ19" si="123">BL14+BO14-BP14</f>
        <v>68</v>
      </c>
      <c r="BR14" s="3">
        <f t="shared" si="98"/>
        <v>61</v>
      </c>
      <c r="BS14" s="3"/>
      <c r="BT14" s="3">
        <v>0</v>
      </c>
      <c r="BU14" s="3">
        <v>46</v>
      </c>
      <c r="BV14" s="3">
        <f t="shared" ref="BV14:BV19" si="124">BQ14+BT14-BU14</f>
        <v>22</v>
      </c>
      <c r="BW14" s="3">
        <f t="shared" si="99"/>
        <v>61</v>
      </c>
      <c r="BX14" s="3">
        <v>28</v>
      </c>
      <c r="BY14" s="3">
        <v>32</v>
      </c>
      <c r="BZ14" s="3">
        <v>46</v>
      </c>
      <c r="CA14" s="3">
        <f t="shared" ref="CA14:CA19" si="125">BV14+BY14-BZ14</f>
        <v>8</v>
      </c>
      <c r="CB14" s="3">
        <f t="shared" si="100"/>
        <v>57</v>
      </c>
      <c r="CC14" s="3"/>
      <c r="CD14" s="3">
        <v>16</v>
      </c>
      <c r="CE14" s="3">
        <v>16</v>
      </c>
      <c r="CF14" s="3">
        <f t="shared" ref="CF14:CF19" si="126">CA14+CD14-CE14</f>
        <v>8</v>
      </c>
      <c r="CG14" s="3">
        <f t="shared" si="101"/>
        <v>41</v>
      </c>
      <c r="CH14" s="3"/>
      <c r="CI14" s="3">
        <v>0</v>
      </c>
      <c r="CJ14" s="3">
        <v>0</v>
      </c>
      <c r="CK14" s="3">
        <f t="shared" ref="CK14:CK19" si="127">CF14+CI14-CJ14</f>
        <v>8</v>
      </c>
      <c r="CL14" s="3">
        <f t="shared" si="102"/>
        <v>41</v>
      </c>
      <c r="CM14" s="3"/>
      <c r="CN14" s="3">
        <v>0</v>
      </c>
      <c r="CO14" s="3">
        <v>2</v>
      </c>
      <c r="CP14" s="3">
        <f t="shared" ref="CP14:CP19" si="128">CK14+CN14-CO14</f>
        <v>6</v>
      </c>
      <c r="CQ14" s="3">
        <f t="shared" si="103"/>
        <v>41</v>
      </c>
      <c r="CR14" s="3">
        <v>12</v>
      </c>
      <c r="CS14" s="3">
        <v>0</v>
      </c>
      <c r="CT14" s="3">
        <v>0</v>
      </c>
      <c r="CU14" s="3">
        <f t="shared" ref="CU14:CU19" si="129">CP14+CS14-CT14</f>
        <v>6</v>
      </c>
      <c r="CV14" s="3">
        <v>12</v>
      </c>
      <c r="CW14" s="3"/>
      <c r="CX14" s="3">
        <v>0</v>
      </c>
      <c r="CY14" s="3">
        <v>0</v>
      </c>
      <c r="CZ14" s="3">
        <v>32</v>
      </c>
      <c r="DA14" s="3">
        <f t="shared" si="104"/>
        <v>12</v>
      </c>
      <c r="DB14" s="3"/>
      <c r="DC14" s="3">
        <v>0</v>
      </c>
      <c r="DD14" s="3">
        <v>0</v>
      </c>
      <c r="DE14" s="3">
        <f t="shared" ref="DE14:DE18" si="130">CZ14+DC14-DD14</f>
        <v>32</v>
      </c>
      <c r="DF14" s="3">
        <f t="shared" si="105"/>
        <v>12</v>
      </c>
      <c r="DG14" s="3">
        <f>20+12</f>
        <v>32</v>
      </c>
      <c r="DH14" s="3">
        <v>24</v>
      </c>
      <c r="DI14" s="3">
        <v>13</v>
      </c>
      <c r="DJ14" s="3">
        <f t="shared" ref="DJ14:DJ18" si="131">DE14+DH14-DI14</f>
        <v>43</v>
      </c>
      <c r="DK14" s="3">
        <f t="shared" si="106"/>
        <v>20</v>
      </c>
      <c r="DL14" s="3">
        <v>20</v>
      </c>
      <c r="DM14" s="3">
        <v>40</v>
      </c>
      <c r="DN14" s="3">
        <v>51</v>
      </c>
      <c r="DO14" s="3">
        <f t="shared" ref="DO14:DO18" si="132">DJ14+DM14-DN14</f>
        <v>32</v>
      </c>
      <c r="DP14" s="3">
        <f t="shared" si="107"/>
        <v>0</v>
      </c>
      <c r="DQ14" s="3">
        <v>48</v>
      </c>
      <c r="DR14" s="3">
        <v>32</v>
      </c>
      <c r="DS14" s="3">
        <v>26</v>
      </c>
      <c r="DT14" s="3">
        <f t="shared" ref="DT14:DT18" si="133">DO14+DR14-DS14</f>
        <v>38</v>
      </c>
      <c r="DU14" s="3">
        <f t="shared" si="108"/>
        <v>16</v>
      </c>
      <c r="DV14" s="3">
        <v>16</v>
      </c>
      <c r="DW14" s="3">
        <v>32</v>
      </c>
      <c r="DX14" s="3">
        <v>12</v>
      </c>
      <c r="DY14" s="3">
        <f t="shared" ref="DY14:DY18" si="134">DT14+DW14-DX14</f>
        <v>58</v>
      </c>
      <c r="DZ14" s="3">
        <f t="shared" si="109"/>
        <v>0</v>
      </c>
      <c r="EA14" s="3">
        <v>16</v>
      </c>
      <c r="EB14" s="3">
        <v>0</v>
      </c>
      <c r="EC14" s="3">
        <v>0</v>
      </c>
      <c r="ED14" s="3">
        <f t="shared" ref="ED14:ED18" si="135">DY14+EB14-EC14</f>
        <v>58</v>
      </c>
      <c r="EE14" s="3">
        <f t="shared" si="110"/>
        <v>16</v>
      </c>
      <c r="EF14" s="3">
        <v>0</v>
      </c>
      <c r="EG14" s="3">
        <v>16</v>
      </c>
      <c r="EH14" s="3">
        <v>1</v>
      </c>
    </row>
    <row r="15" spans="1:138" x14ac:dyDescent="0.35">
      <c r="A15" s="3">
        <v>40</v>
      </c>
      <c r="B15" s="2" t="s">
        <v>9</v>
      </c>
      <c r="C15" s="2" t="s">
        <v>40</v>
      </c>
      <c r="D15" s="3">
        <f t="shared" si="85"/>
        <v>40</v>
      </c>
      <c r="E15" s="3">
        <v>84</v>
      </c>
      <c r="F15" s="3">
        <v>32</v>
      </c>
      <c r="G15" s="3">
        <v>32</v>
      </c>
      <c r="H15" s="3">
        <v>23</v>
      </c>
      <c r="I15" s="3">
        <f t="shared" si="111"/>
        <v>49</v>
      </c>
      <c r="J15" s="3">
        <f t="shared" si="86"/>
        <v>84</v>
      </c>
      <c r="K15" s="3">
        <f>48+8</f>
        <v>56</v>
      </c>
      <c r="L15" s="3">
        <v>44</v>
      </c>
      <c r="M15" s="3">
        <v>31</v>
      </c>
      <c r="N15" s="3">
        <f t="shared" si="112"/>
        <v>62</v>
      </c>
      <c r="O15" s="3">
        <f t="shared" si="87"/>
        <v>96</v>
      </c>
      <c r="P15" s="3">
        <v>20</v>
      </c>
      <c r="Q15" s="3">
        <v>32</v>
      </c>
      <c r="R15" s="3">
        <v>30</v>
      </c>
      <c r="S15" s="3">
        <f t="shared" si="113"/>
        <v>64</v>
      </c>
      <c r="T15" s="3">
        <f t="shared" si="88"/>
        <v>84</v>
      </c>
      <c r="U15" s="3">
        <v>20</v>
      </c>
      <c r="V15" s="3">
        <v>32</v>
      </c>
      <c r="W15" s="3">
        <v>30</v>
      </c>
      <c r="X15" s="3">
        <f t="shared" si="114"/>
        <v>66</v>
      </c>
      <c r="Y15" s="3">
        <f t="shared" si="89"/>
        <v>72</v>
      </c>
      <c r="Z15" s="3">
        <v>32</v>
      </c>
      <c r="AA15" s="3">
        <v>28</v>
      </c>
      <c r="AB15" s="3">
        <v>51</v>
      </c>
      <c r="AC15" s="3">
        <f t="shared" si="115"/>
        <v>43</v>
      </c>
      <c r="AD15" s="3">
        <f t="shared" si="90"/>
        <v>76</v>
      </c>
      <c r="AE15" s="3">
        <v>32</v>
      </c>
      <c r="AF15" s="3">
        <v>64</v>
      </c>
      <c r="AG15" s="3">
        <v>51</v>
      </c>
      <c r="AH15" s="3">
        <f t="shared" si="116"/>
        <v>56</v>
      </c>
      <c r="AI15" s="3">
        <v>56</v>
      </c>
      <c r="AJ15" s="3">
        <v>81</v>
      </c>
      <c r="AK15" s="3">
        <v>32</v>
      </c>
      <c r="AL15" s="3">
        <v>15</v>
      </c>
      <c r="AM15" s="3">
        <f t="shared" si="117"/>
        <v>73</v>
      </c>
      <c r="AN15" s="3">
        <f t="shared" si="92"/>
        <v>105</v>
      </c>
      <c r="AO15" s="3">
        <v>12</v>
      </c>
      <c r="AP15" s="3">
        <v>105</v>
      </c>
      <c r="AQ15" s="3">
        <v>21</v>
      </c>
      <c r="AR15" s="3">
        <f t="shared" si="118"/>
        <v>157</v>
      </c>
      <c r="AS15" s="3">
        <f t="shared" si="93"/>
        <v>12</v>
      </c>
      <c r="AT15" s="3">
        <v>32</v>
      </c>
      <c r="AU15" s="3">
        <v>28</v>
      </c>
      <c r="AV15" s="3">
        <v>0</v>
      </c>
      <c r="AW15" s="3">
        <f t="shared" si="119"/>
        <v>185</v>
      </c>
      <c r="AX15" s="3">
        <f t="shared" si="94"/>
        <v>16</v>
      </c>
      <c r="AY15" s="3"/>
      <c r="AZ15" s="3">
        <v>1</v>
      </c>
      <c r="BA15" s="3">
        <v>16</v>
      </c>
      <c r="BB15" s="3">
        <f t="shared" si="120"/>
        <v>170</v>
      </c>
      <c r="BC15" s="3">
        <f t="shared" si="95"/>
        <v>15</v>
      </c>
      <c r="BD15" s="3">
        <v>16</v>
      </c>
      <c r="BE15" s="3">
        <v>16</v>
      </c>
      <c r="BF15" s="3">
        <v>0</v>
      </c>
      <c r="BG15" s="3">
        <f t="shared" si="121"/>
        <v>186</v>
      </c>
      <c r="BH15" s="3">
        <f t="shared" si="96"/>
        <v>15</v>
      </c>
      <c r="BI15" s="3"/>
      <c r="BJ15" s="3"/>
      <c r="BK15" s="3">
        <v>0</v>
      </c>
      <c r="BL15" s="3">
        <f t="shared" si="122"/>
        <v>186</v>
      </c>
      <c r="BM15" s="3">
        <f t="shared" si="97"/>
        <v>15</v>
      </c>
      <c r="BN15" s="3"/>
      <c r="BO15" s="3">
        <v>0</v>
      </c>
      <c r="BP15" s="3">
        <v>0</v>
      </c>
      <c r="BQ15" s="3">
        <f t="shared" si="123"/>
        <v>186</v>
      </c>
      <c r="BR15" s="3">
        <f t="shared" si="98"/>
        <v>15</v>
      </c>
      <c r="BS15" s="3">
        <f>16+16</f>
        <v>32</v>
      </c>
      <c r="BT15" s="3">
        <v>0</v>
      </c>
      <c r="BU15" s="3">
        <v>0</v>
      </c>
      <c r="BV15" s="3">
        <f t="shared" si="124"/>
        <v>186</v>
      </c>
      <c r="BW15" s="3">
        <f t="shared" si="99"/>
        <v>47</v>
      </c>
      <c r="BX15" s="3"/>
      <c r="BY15" s="3">
        <v>0</v>
      </c>
      <c r="BZ15" s="3">
        <v>0</v>
      </c>
      <c r="CA15" s="3">
        <f t="shared" si="125"/>
        <v>186</v>
      </c>
      <c r="CB15" s="3">
        <f t="shared" si="100"/>
        <v>47</v>
      </c>
      <c r="CC15" s="3">
        <f>16+16</f>
        <v>32</v>
      </c>
      <c r="CD15" s="3">
        <v>16</v>
      </c>
      <c r="CE15" s="3">
        <v>49</v>
      </c>
      <c r="CF15" s="3">
        <f t="shared" si="126"/>
        <v>153</v>
      </c>
      <c r="CG15" s="3">
        <f t="shared" si="101"/>
        <v>63</v>
      </c>
      <c r="CH15" s="3">
        <v>24</v>
      </c>
      <c r="CI15" s="3">
        <v>32</v>
      </c>
      <c r="CJ15" s="3">
        <v>36</v>
      </c>
      <c r="CK15" s="3">
        <f t="shared" si="127"/>
        <v>149</v>
      </c>
      <c r="CL15" s="3">
        <f t="shared" si="102"/>
        <v>55</v>
      </c>
      <c r="CM15" s="3">
        <f>52+28</f>
        <v>80</v>
      </c>
      <c r="CN15" s="3">
        <v>28</v>
      </c>
      <c r="CO15" s="3">
        <v>60</v>
      </c>
      <c r="CP15" s="3">
        <f t="shared" si="128"/>
        <v>117</v>
      </c>
      <c r="CQ15" s="3">
        <f t="shared" si="103"/>
        <v>107</v>
      </c>
      <c r="CR15" s="3">
        <v>60</v>
      </c>
      <c r="CS15" s="3">
        <v>112</v>
      </c>
      <c r="CT15" s="3">
        <v>87</v>
      </c>
      <c r="CU15" s="3">
        <f t="shared" si="129"/>
        <v>142</v>
      </c>
      <c r="CV15" s="3">
        <f t="shared" ref="CV15:CV16" si="136">CQ15+CR15-CS15</f>
        <v>55</v>
      </c>
      <c r="CW15" s="3">
        <f>62+24</f>
        <v>86</v>
      </c>
      <c r="CX15" s="3">
        <v>108</v>
      </c>
      <c r="CY15" s="3">
        <v>75</v>
      </c>
      <c r="CZ15" s="3">
        <v>68</v>
      </c>
      <c r="DA15" s="3">
        <f t="shared" si="104"/>
        <v>33</v>
      </c>
      <c r="DB15" s="3">
        <f>91+32</f>
        <v>123</v>
      </c>
      <c r="DC15" s="3">
        <v>80</v>
      </c>
      <c r="DD15" s="3">
        <v>82</v>
      </c>
      <c r="DE15" s="3">
        <f t="shared" si="130"/>
        <v>66</v>
      </c>
      <c r="DF15" s="3">
        <f t="shared" si="105"/>
        <v>76</v>
      </c>
      <c r="DG15" s="3">
        <v>26</v>
      </c>
      <c r="DH15" s="3">
        <f>48+28</f>
        <v>76</v>
      </c>
      <c r="DI15" s="3">
        <v>66</v>
      </c>
      <c r="DJ15" s="3">
        <f t="shared" si="131"/>
        <v>76</v>
      </c>
      <c r="DK15" s="3">
        <f t="shared" si="106"/>
        <v>26</v>
      </c>
      <c r="DL15" s="3">
        <v>30</v>
      </c>
      <c r="DM15" s="3">
        <v>44</v>
      </c>
      <c r="DN15" s="3">
        <v>66</v>
      </c>
      <c r="DO15" s="3">
        <f t="shared" si="132"/>
        <v>54</v>
      </c>
      <c r="DP15" s="3">
        <f t="shared" si="107"/>
        <v>12</v>
      </c>
      <c r="DQ15" s="3">
        <v>28</v>
      </c>
      <c r="DR15" s="3">
        <v>12</v>
      </c>
      <c r="DS15" s="3">
        <v>16</v>
      </c>
      <c r="DT15" s="3">
        <f t="shared" si="133"/>
        <v>50</v>
      </c>
      <c r="DU15" s="3">
        <f t="shared" si="108"/>
        <v>28</v>
      </c>
      <c r="DV15" s="3">
        <v>48</v>
      </c>
      <c r="DW15" s="3">
        <v>44</v>
      </c>
      <c r="DX15" s="3">
        <v>21</v>
      </c>
      <c r="DY15" s="3">
        <f t="shared" si="134"/>
        <v>73</v>
      </c>
      <c r="DZ15" s="3">
        <f t="shared" si="109"/>
        <v>32</v>
      </c>
      <c r="EA15" s="3">
        <v>64</v>
      </c>
      <c r="EB15" s="3">
        <v>80</v>
      </c>
      <c r="EC15" s="3">
        <v>80</v>
      </c>
      <c r="ED15" s="3">
        <f t="shared" si="135"/>
        <v>73</v>
      </c>
      <c r="EE15" s="3">
        <f t="shared" si="110"/>
        <v>16</v>
      </c>
      <c r="EF15" s="3">
        <v>32</v>
      </c>
      <c r="EG15" s="3">
        <v>32</v>
      </c>
      <c r="EH15" s="3">
        <v>31</v>
      </c>
    </row>
    <row r="16" spans="1:138" x14ac:dyDescent="0.35">
      <c r="A16" s="3">
        <v>30</v>
      </c>
      <c r="B16" s="2" t="s">
        <v>24</v>
      </c>
      <c r="C16" s="2" t="s">
        <v>28</v>
      </c>
      <c r="D16" s="3">
        <f t="shared" si="85"/>
        <v>30</v>
      </c>
      <c r="E16" s="3">
        <v>16</v>
      </c>
      <c r="F16" s="3">
        <v>10</v>
      </c>
      <c r="G16" s="3">
        <v>0</v>
      </c>
      <c r="H16" s="3">
        <v>8</v>
      </c>
      <c r="I16" s="3">
        <f t="shared" si="111"/>
        <v>22</v>
      </c>
      <c r="J16" s="3">
        <f t="shared" si="86"/>
        <v>26</v>
      </c>
      <c r="K16" s="3">
        <f>22+23</f>
        <v>45</v>
      </c>
      <c r="L16" s="3">
        <v>28</v>
      </c>
      <c r="M16" s="3">
        <v>17</v>
      </c>
      <c r="N16" s="3">
        <f t="shared" si="112"/>
        <v>33</v>
      </c>
      <c r="O16" s="3">
        <f t="shared" si="87"/>
        <v>43</v>
      </c>
      <c r="P16" s="3">
        <v>0</v>
      </c>
      <c r="Q16" s="3">
        <v>0</v>
      </c>
      <c r="R16" s="3">
        <v>3</v>
      </c>
      <c r="S16" s="3">
        <f t="shared" si="113"/>
        <v>30</v>
      </c>
      <c r="T16" s="3">
        <f t="shared" si="88"/>
        <v>43</v>
      </c>
      <c r="U16" s="3"/>
      <c r="V16" s="3">
        <v>12</v>
      </c>
      <c r="W16" s="3">
        <v>13</v>
      </c>
      <c r="X16" s="3">
        <f t="shared" si="114"/>
        <v>29</v>
      </c>
      <c r="Y16" s="3">
        <f t="shared" si="89"/>
        <v>31</v>
      </c>
      <c r="Z16" s="3"/>
      <c r="AA16" s="3">
        <v>16</v>
      </c>
      <c r="AB16" s="3">
        <v>12</v>
      </c>
      <c r="AC16" s="3">
        <f t="shared" si="115"/>
        <v>33</v>
      </c>
      <c r="AD16" s="3">
        <f t="shared" si="90"/>
        <v>15</v>
      </c>
      <c r="AE16" s="3">
        <v>16</v>
      </c>
      <c r="AF16" s="3">
        <v>0</v>
      </c>
      <c r="AG16" s="3">
        <v>17</v>
      </c>
      <c r="AH16" s="3">
        <f t="shared" si="116"/>
        <v>16</v>
      </c>
      <c r="AI16" s="3">
        <v>38</v>
      </c>
      <c r="AJ16" s="3">
        <f>13</f>
        <v>13</v>
      </c>
      <c r="AK16" s="3">
        <v>16</v>
      </c>
      <c r="AL16" s="3">
        <v>5</v>
      </c>
      <c r="AM16" s="3">
        <f t="shared" si="117"/>
        <v>27</v>
      </c>
      <c r="AN16" s="3">
        <f t="shared" si="92"/>
        <v>35</v>
      </c>
      <c r="AO16" s="3">
        <f>24</f>
        <v>24</v>
      </c>
      <c r="AP16" s="3">
        <v>35</v>
      </c>
      <c r="AQ16" s="3">
        <v>1</v>
      </c>
      <c r="AR16" s="3">
        <f t="shared" si="118"/>
        <v>61</v>
      </c>
      <c r="AS16" s="3">
        <f t="shared" si="93"/>
        <v>24</v>
      </c>
      <c r="AT16" s="3"/>
      <c r="AU16" s="3">
        <v>0</v>
      </c>
      <c r="AV16" s="3">
        <v>1</v>
      </c>
      <c r="AW16" s="3">
        <f t="shared" si="119"/>
        <v>60</v>
      </c>
      <c r="AX16" s="3">
        <f t="shared" si="94"/>
        <v>24</v>
      </c>
      <c r="AY16" s="3"/>
      <c r="AZ16" s="3">
        <v>0</v>
      </c>
      <c r="BA16" s="3">
        <v>0</v>
      </c>
      <c r="BB16" s="3">
        <f t="shared" si="120"/>
        <v>60</v>
      </c>
      <c r="BC16" s="3">
        <f t="shared" si="95"/>
        <v>24</v>
      </c>
      <c r="BD16" s="3">
        <v>0</v>
      </c>
      <c r="BE16" s="3">
        <v>0</v>
      </c>
      <c r="BF16" s="3">
        <v>0</v>
      </c>
      <c r="BG16" s="3">
        <f t="shared" si="121"/>
        <v>60</v>
      </c>
      <c r="BH16" s="3">
        <f t="shared" si="96"/>
        <v>24</v>
      </c>
      <c r="BI16" s="3"/>
      <c r="BJ16" s="3"/>
      <c r="BK16" s="3">
        <v>0</v>
      </c>
      <c r="BL16" s="3">
        <f t="shared" si="122"/>
        <v>60</v>
      </c>
      <c r="BM16" s="3">
        <f t="shared" si="97"/>
        <v>24</v>
      </c>
      <c r="BN16" s="3">
        <v>20</v>
      </c>
      <c r="BO16" s="3">
        <v>0</v>
      </c>
      <c r="BP16" s="3">
        <v>0</v>
      </c>
      <c r="BQ16" s="3">
        <f t="shared" si="123"/>
        <v>60</v>
      </c>
      <c r="BR16" s="3">
        <f t="shared" si="98"/>
        <v>44</v>
      </c>
      <c r="BS16" s="3">
        <f>22+32</f>
        <v>54</v>
      </c>
      <c r="BT16" s="3">
        <v>64</v>
      </c>
      <c r="BU16" s="3">
        <v>0</v>
      </c>
      <c r="BV16" s="3">
        <f t="shared" si="124"/>
        <v>124</v>
      </c>
      <c r="BW16" s="3">
        <f t="shared" si="99"/>
        <v>34</v>
      </c>
      <c r="BX16" s="3">
        <v>44</v>
      </c>
      <c r="BY16" s="3">
        <v>48</v>
      </c>
      <c r="BZ16" s="3">
        <v>0</v>
      </c>
      <c r="CA16" s="3">
        <f t="shared" si="125"/>
        <v>172</v>
      </c>
      <c r="CB16" s="3">
        <f t="shared" si="100"/>
        <v>30</v>
      </c>
      <c r="CC16" s="3">
        <f>28+16</f>
        <v>44</v>
      </c>
      <c r="CD16" s="3">
        <v>28</v>
      </c>
      <c r="CE16" s="3">
        <v>53</v>
      </c>
      <c r="CF16" s="3">
        <f t="shared" si="126"/>
        <v>147</v>
      </c>
      <c r="CG16" s="3">
        <f t="shared" si="101"/>
        <v>46</v>
      </c>
      <c r="CH16" s="3">
        <v>32</v>
      </c>
      <c r="CI16" s="3">
        <v>32</v>
      </c>
      <c r="CJ16" s="3">
        <v>32</v>
      </c>
      <c r="CK16" s="3">
        <f t="shared" si="127"/>
        <v>147</v>
      </c>
      <c r="CL16" s="3">
        <f t="shared" si="102"/>
        <v>46</v>
      </c>
      <c r="CM16" s="3">
        <f>32</f>
        <v>32</v>
      </c>
      <c r="CN16" s="3">
        <v>16</v>
      </c>
      <c r="CO16" s="3">
        <v>30</v>
      </c>
      <c r="CP16" s="3">
        <f t="shared" si="128"/>
        <v>133</v>
      </c>
      <c r="CQ16" s="3">
        <f t="shared" si="103"/>
        <v>62</v>
      </c>
      <c r="CR16" s="3"/>
      <c r="CS16" s="3">
        <v>0</v>
      </c>
      <c r="CT16" s="3">
        <v>15</v>
      </c>
      <c r="CU16" s="3">
        <f t="shared" si="129"/>
        <v>118</v>
      </c>
      <c r="CV16" s="3">
        <f t="shared" si="136"/>
        <v>62</v>
      </c>
      <c r="CW16" s="3"/>
      <c r="CX16" s="3">
        <v>32</v>
      </c>
      <c r="CY16" s="3">
        <v>20</v>
      </c>
      <c r="CZ16" s="3">
        <v>36</v>
      </c>
      <c r="DA16" s="3">
        <f t="shared" si="104"/>
        <v>30</v>
      </c>
      <c r="DB16" s="3"/>
      <c r="DC16" s="3">
        <v>28</v>
      </c>
      <c r="DD16" s="3">
        <v>5</v>
      </c>
      <c r="DE16" s="3">
        <f t="shared" si="130"/>
        <v>59</v>
      </c>
      <c r="DF16" s="3">
        <f t="shared" si="105"/>
        <v>2</v>
      </c>
      <c r="DG16" s="3"/>
      <c r="DH16" s="3">
        <v>0</v>
      </c>
      <c r="DI16" s="3">
        <v>8</v>
      </c>
      <c r="DJ16" s="3">
        <f t="shared" si="131"/>
        <v>51</v>
      </c>
      <c r="DK16" s="3">
        <f t="shared" si="106"/>
        <v>2</v>
      </c>
      <c r="DL16" s="3">
        <v>30</v>
      </c>
      <c r="DM16" s="3">
        <v>16</v>
      </c>
      <c r="DN16" s="3">
        <v>30</v>
      </c>
      <c r="DO16" s="3">
        <f t="shared" si="132"/>
        <v>37</v>
      </c>
      <c r="DP16" s="3">
        <f t="shared" si="107"/>
        <v>16</v>
      </c>
      <c r="DQ16" s="3">
        <v>12</v>
      </c>
      <c r="DR16" s="3">
        <v>16</v>
      </c>
      <c r="DS16" s="3">
        <v>13</v>
      </c>
      <c r="DT16" s="3">
        <f t="shared" si="133"/>
        <v>40</v>
      </c>
      <c r="DU16" s="3">
        <f t="shared" si="108"/>
        <v>12</v>
      </c>
      <c r="DV16" s="3">
        <v>16</v>
      </c>
      <c r="DW16" s="3">
        <v>12</v>
      </c>
      <c r="DX16" s="3">
        <v>4</v>
      </c>
      <c r="DY16" s="3">
        <f t="shared" si="134"/>
        <v>48</v>
      </c>
      <c r="DZ16" s="3">
        <f t="shared" si="109"/>
        <v>16</v>
      </c>
      <c r="EA16" s="3">
        <v>16</v>
      </c>
      <c r="EB16" s="3">
        <v>32</v>
      </c>
      <c r="EC16" s="3">
        <v>32</v>
      </c>
      <c r="ED16" s="3">
        <f t="shared" si="135"/>
        <v>48</v>
      </c>
      <c r="EE16" s="3">
        <f t="shared" si="110"/>
        <v>0</v>
      </c>
      <c r="EF16" s="3">
        <v>16</v>
      </c>
      <c r="EG16" s="3">
        <v>16</v>
      </c>
      <c r="EH16" s="3">
        <v>23</v>
      </c>
    </row>
    <row r="17" spans="1:138" x14ac:dyDescent="0.35">
      <c r="A17" s="3">
        <v>50</v>
      </c>
      <c r="B17" s="2" t="s">
        <v>10</v>
      </c>
      <c r="C17" s="2" t="s">
        <v>41</v>
      </c>
      <c r="D17" s="3">
        <f t="shared" si="85"/>
        <v>50</v>
      </c>
      <c r="E17" s="3">
        <v>24</v>
      </c>
      <c r="F17" s="3">
        <f>20+5</f>
        <v>25</v>
      </c>
      <c r="G17" s="3">
        <v>40</v>
      </c>
      <c r="H17" s="3">
        <v>40</v>
      </c>
      <c r="I17" s="3">
        <f t="shared" si="111"/>
        <v>50</v>
      </c>
      <c r="J17" s="3">
        <f t="shared" si="86"/>
        <v>9</v>
      </c>
      <c r="K17" s="3">
        <f>19+8+32</f>
        <v>59</v>
      </c>
      <c r="L17" s="3">
        <v>28</v>
      </c>
      <c r="M17" s="3">
        <v>33</v>
      </c>
      <c r="N17" s="3">
        <f t="shared" si="112"/>
        <v>45</v>
      </c>
      <c r="O17" s="3">
        <f t="shared" si="87"/>
        <v>40</v>
      </c>
      <c r="P17" s="3">
        <v>20</v>
      </c>
      <c r="Q17" s="3">
        <v>32</v>
      </c>
      <c r="R17" s="3">
        <v>36</v>
      </c>
      <c r="S17" s="3">
        <f t="shared" si="113"/>
        <v>41</v>
      </c>
      <c r="T17" s="3">
        <f t="shared" si="88"/>
        <v>28</v>
      </c>
      <c r="U17" s="3">
        <v>4</v>
      </c>
      <c r="V17" s="3">
        <v>28</v>
      </c>
      <c r="W17" s="3">
        <v>27</v>
      </c>
      <c r="X17" s="3">
        <f t="shared" si="114"/>
        <v>42</v>
      </c>
      <c r="Y17" s="3">
        <f t="shared" si="89"/>
        <v>4</v>
      </c>
      <c r="Z17" s="3">
        <v>36</v>
      </c>
      <c r="AA17" s="3">
        <v>0</v>
      </c>
      <c r="AB17" s="3">
        <v>2</v>
      </c>
      <c r="AC17" s="3">
        <f t="shared" si="115"/>
        <v>40</v>
      </c>
      <c r="AD17" s="3">
        <f t="shared" si="90"/>
        <v>40</v>
      </c>
      <c r="AE17" s="3">
        <v>15</v>
      </c>
      <c r="AF17" s="3">
        <v>0</v>
      </c>
      <c r="AG17" s="3">
        <v>3</v>
      </c>
      <c r="AH17" s="3">
        <f t="shared" si="116"/>
        <v>37</v>
      </c>
      <c r="AI17" s="3">
        <f t="shared" si="91"/>
        <v>55</v>
      </c>
      <c r="AJ17" s="3">
        <v>5</v>
      </c>
      <c r="AK17" s="3">
        <v>16</v>
      </c>
      <c r="AL17" s="3">
        <v>3</v>
      </c>
      <c r="AM17" s="3">
        <f t="shared" si="117"/>
        <v>50</v>
      </c>
      <c r="AN17" s="3">
        <f t="shared" si="92"/>
        <v>44</v>
      </c>
      <c r="AO17" s="3">
        <v>20</v>
      </c>
      <c r="AP17" s="3">
        <v>35</v>
      </c>
      <c r="AQ17" s="3">
        <v>14</v>
      </c>
      <c r="AR17" s="3">
        <f t="shared" si="118"/>
        <v>71</v>
      </c>
      <c r="AS17" s="3">
        <f t="shared" si="93"/>
        <v>29</v>
      </c>
      <c r="AT17" s="3"/>
      <c r="AU17" s="3">
        <v>16</v>
      </c>
      <c r="AV17" s="3">
        <v>5</v>
      </c>
      <c r="AW17" s="3">
        <f t="shared" si="119"/>
        <v>82</v>
      </c>
      <c r="AX17" s="3">
        <f t="shared" si="94"/>
        <v>13</v>
      </c>
      <c r="AY17" s="3"/>
      <c r="AZ17" s="3">
        <v>7</v>
      </c>
      <c r="BA17" s="3">
        <v>0</v>
      </c>
      <c r="BB17" s="3">
        <f t="shared" si="120"/>
        <v>89</v>
      </c>
      <c r="BC17" s="3">
        <f t="shared" si="95"/>
        <v>6</v>
      </c>
      <c r="BD17" s="3">
        <v>3</v>
      </c>
      <c r="BE17" s="3">
        <v>0</v>
      </c>
      <c r="BF17" s="3">
        <v>0</v>
      </c>
      <c r="BG17" s="3">
        <f t="shared" si="121"/>
        <v>89</v>
      </c>
      <c r="BH17" s="3">
        <f t="shared" si="96"/>
        <v>9</v>
      </c>
      <c r="BI17" s="3"/>
      <c r="BJ17" s="3"/>
      <c r="BK17" s="3">
        <v>0</v>
      </c>
      <c r="BL17" s="3">
        <f t="shared" si="122"/>
        <v>89</v>
      </c>
      <c r="BM17" s="3">
        <f t="shared" si="97"/>
        <v>9</v>
      </c>
      <c r="BN17" s="3"/>
      <c r="BO17" s="3">
        <v>0</v>
      </c>
      <c r="BP17" s="3">
        <v>0</v>
      </c>
      <c r="BQ17" s="3">
        <f t="shared" si="123"/>
        <v>89</v>
      </c>
      <c r="BR17" s="3">
        <f t="shared" si="98"/>
        <v>9</v>
      </c>
      <c r="BS17" s="3"/>
      <c r="BT17" s="3">
        <v>0</v>
      </c>
      <c r="BU17" s="3">
        <v>0</v>
      </c>
      <c r="BV17" s="3">
        <f t="shared" si="124"/>
        <v>89</v>
      </c>
      <c r="BW17" s="3">
        <f t="shared" si="99"/>
        <v>9</v>
      </c>
      <c r="BX17" s="3"/>
      <c r="BY17" s="3">
        <v>0</v>
      </c>
      <c r="BZ17" s="3">
        <v>0</v>
      </c>
      <c r="CA17" s="3">
        <f t="shared" si="125"/>
        <v>89</v>
      </c>
      <c r="CB17" s="3">
        <f t="shared" si="100"/>
        <v>9</v>
      </c>
      <c r="CC17" s="3"/>
      <c r="CD17" s="3">
        <v>0</v>
      </c>
      <c r="CE17" s="3">
        <v>0</v>
      </c>
      <c r="CF17" s="3">
        <f t="shared" si="126"/>
        <v>89</v>
      </c>
      <c r="CG17" s="3">
        <f t="shared" si="101"/>
        <v>9</v>
      </c>
      <c r="CH17" s="3"/>
      <c r="CI17" s="3">
        <v>0</v>
      </c>
      <c r="CJ17" s="3">
        <v>0</v>
      </c>
      <c r="CK17" s="3">
        <f t="shared" si="127"/>
        <v>89</v>
      </c>
      <c r="CL17" s="3">
        <f t="shared" si="102"/>
        <v>9</v>
      </c>
      <c r="CM17" s="3"/>
      <c r="CN17" s="3">
        <v>0</v>
      </c>
      <c r="CO17" s="3">
        <v>0</v>
      </c>
      <c r="CP17" s="3">
        <f t="shared" si="128"/>
        <v>89</v>
      </c>
      <c r="CQ17" s="3">
        <f t="shared" si="103"/>
        <v>9</v>
      </c>
      <c r="CR17" s="3"/>
      <c r="CS17" s="3">
        <v>0</v>
      </c>
      <c r="CT17" s="3">
        <v>0</v>
      </c>
      <c r="CU17" s="3">
        <f t="shared" si="129"/>
        <v>89</v>
      </c>
      <c r="CV17" s="3">
        <v>16</v>
      </c>
      <c r="CW17" s="3"/>
      <c r="CX17" s="3">
        <v>0</v>
      </c>
      <c r="CY17" s="3">
        <v>0</v>
      </c>
      <c r="CZ17" s="3">
        <v>48</v>
      </c>
      <c r="DA17" s="3">
        <f t="shared" si="104"/>
        <v>16</v>
      </c>
      <c r="DB17" s="3"/>
      <c r="DC17" s="3">
        <v>0</v>
      </c>
      <c r="DD17" s="3">
        <v>0</v>
      </c>
      <c r="DE17" s="3">
        <f t="shared" si="130"/>
        <v>48</v>
      </c>
      <c r="DF17" s="3">
        <f t="shared" si="105"/>
        <v>16</v>
      </c>
      <c r="DG17" s="3"/>
      <c r="DH17" s="3">
        <v>0</v>
      </c>
      <c r="DI17" s="3">
        <v>8</v>
      </c>
      <c r="DJ17" s="3">
        <f t="shared" si="131"/>
        <v>40</v>
      </c>
      <c r="DK17" s="3">
        <f t="shared" si="106"/>
        <v>16</v>
      </c>
      <c r="DL17" s="3">
        <v>0</v>
      </c>
      <c r="DM17" s="3">
        <v>0</v>
      </c>
      <c r="DN17" s="3">
        <v>0</v>
      </c>
      <c r="DO17" s="3">
        <f t="shared" si="132"/>
        <v>40</v>
      </c>
      <c r="DP17" s="3">
        <f t="shared" si="107"/>
        <v>16</v>
      </c>
      <c r="DQ17" s="3">
        <v>0</v>
      </c>
      <c r="DR17" s="3">
        <v>0</v>
      </c>
      <c r="DS17" s="3">
        <v>0</v>
      </c>
      <c r="DT17" s="3">
        <f t="shared" si="133"/>
        <v>40</v>
      </c>
      <c r="DU17" s="3">
        <f t="shared" si="108"/>
        <v>16</v>
      </c>
      <c r="DV17" s="3">
        <v>16</v>
      </c>
      <c r="DW17" s="3">
        <v>16</v>
      </c>
      <c r="DX17" s="3">
        <v>0</v>
      </c>
      <c r="DY17" s="3">
        <f t="shared" si="134"/>
        <v>56</v>
      </c>
      <c r="DZ17" s="3">
        <f t="shared" si="109"/>
        <v>16</v>
      </c>
      <c r="EA17" s="3">
        <v>44</v>
      </c>
      <c r="EB17" s="3">
        <v>32</v>
      </c>
      <c r="EC17" s="3">
        <v>32</v>
      </c>
      <c r="ED17" s="3">
        <f t="shared" si="135"/>
        <v>56</v>
      </c>
      <c r="EE17" s="3">
        <f t="shared" si="110"/>
        <v>28</v>
      </c>
      <c r="EF17" s="3">
        <v>48</v>
      </c>
      <c r="EG17" s="3">
        <v>108</v>
      </c>
      <c r="EH17" s="3">
        <v>80</v>
      </c>
    </row>
    <row r="18" spans="1:138" x14ac:dyDescent="0.35">
      <c r="A18" s="3">
        <v>40</v>
      </c>
      <c r="B18" s="2" t="s">
        <v>11</v>
      </c>
      <c r="C18" s="2" t="s">
        <v>29</v>
      </c>
      <c r="D18" s="3">
        <f t="shared" si="85"/>
        <v>40</v>
      </c>
      <c r="E18" s="3">
        <v>44</v>
      </c>
      <c r="F18" s="3">
        <v>36</v>
      </c>
      <c r="G18" s="3">
        <v>32</v>
      </c>
      <c r="H18" s="3">
        <v>32</v>
      </c>
      <c r="I18" s="3">
        <f t="shared" si="111"/>
        <v>40</v>
      </c>
      <c r="J18" s="3">
        <f t="shared" si="86"/>
        <v>48</v>
      </c>
      <c r="K18" s="3">
        <f>12</f>
        <v>12</v>
      </c>
      <c r="L18" s="3">
        <v>32</v>
      </c>
      <c r="M18" s="3">
        <v>21</v>
      </c>
      <c r="N18" s="3">
        <f t="shared" si="112"/>
        <v>51</v>
      </c>
      <c r="O18" s="3">
        <f t="shared" si="87"/>
        <v>28</v>
      </c>
      <c r="P18" s="3">
        <v>40</v>
      </c>
      <c r="Q18" s="3">
        <v>16</v>
      </c>
      <c r="R18" s="3">
        <v>21</v>
      </c>
      <c r="S18" s="3">
        <f t="shared" si="113"/>
        <v>46</v>
      </c>
      <c r="T18" s="3">
        <f t="shared" si="88"/>
        <v>52</v>
      </c>
      <c r="U18" s="3">
        <v>0</v>
      </c>
      <c r="V18" s="3">
        <v>16</v>
      </c>
      <c r="W18" s="3">
        <v>8</v>
      </c>
      <c r="X18" s="3">
        <f t="shared" si="114"/>
        <v>54</v>
      </c>
      <c r="Y18" s="3">
        <f t="shared" si="89"/>
        <v>36</v>
      </c>
      <c r="Z18" s="3">
        <v>19</v>
      </c>
      <c r="AA18" s="3">
        <v>39</v>
      </c>
      <c r="AB18" s="3">
        <v>31</v>
      </c>
      <c r="AC18" s="3">
        <f t="shared" si="115"/>
        <v>62</v>
      </c>
      <c r="AD18" s="3">
        <f t="shared" si="90"/>
        <v>16</v>
      </c>
      <c r="AE18" s="3">
        <v>32</v>
      </c>
      <c r="AF18" s="3">
        <v>48</v>
      </c>
      <c r="AG18" s="3">
        <v>30</v>
      </c>
      <c r="AH18" s="3">
        <f t="shared" si="116"/>
        <v>80</v>
      </c>
      <c r="AI18" s="3">
        <v>21</v>
      </c>
      <c r="AJ18" s="3">
        <f>32+16</f>
        <v>48</v>
      </c>
      <c r="AK18" s="3">
        <v>48</v>
      </c>
      <c r="AL18" s="3">
        <v>53</v>
      </c>
      <c r="AM18" s="3">
        <f t="shared" si="117"/>
        <v>75</v>
      </c>
      <c r="AN18" s="3">
        <f t="shared" si="92"/>
        <v>21</v>
      </c>
      <c r="AO18" s="3">
        <f>12+16+28</f>
        <v>56</v>
      </c>
      <c r="AP18" s="3">
        <v>77</v>
      </c>
      <c r="AQ18" s="3">
        <v>61</v>
      </c>
      <c r="AR18" s="3">
        <f t="shared" si="118"/>
        <v>91</v>
      </c>
      <c r="AS18" s="3">
        <f t="shared" si="93"/>
        <v>0</v>
      </c>
      <c r="AT18" s="3">
        <f>48+36</f>
        <v>84</v>
      </c>
      <c r="AU18" s="3">
        <v>61</v>
      </c>
      <c r="AV18" s="3">
        <v>56</v>
      </c>
      <c r="AW18" s="3">
        <f t="shared" si="119"/>
        <v>96</v>
      </c>
      <c r="AX18" s="3">
        <f t="shared" si="94"/>
        <v>23</v>
      </c>
      <c r="AY18" s="3">
        <v>60</v>
      </c>
      <c r="AZ18" s="3">
        <v>32</v>
      </c>
      <c r="BA18" s="3">
        <v>60</v>
      </c>
      <c r="BB18" s="3">
        <f t="shared" si="120"/>
        <v>68</v>
      </c>
      <c r="BC18" s="3">
        <f t="shared" si="95"/>
        <v>51</v>
      </c>
      <c r="BD18" s="3">
        <f>52+22</f>
        <v>74</v>
      </c>
      <c r="BE18" s="3">
        <v>64</v>
      </c>
      <c r="BF18" s="3">
        <v>54</v>
      </c>
      <c r="BG18" s="3">
        <f t="shared" si="121"/>
        <v>78</v>
      </c>
      <c r="BH18" s="3">
        <f t="shared" si="96"/>
        <v>61</v>
      </c>
      <c r="BI18" s="3">
        <v>26</v>
      </c>
      <c r="BJ18" s="3"/>
      <c r="BK18" s="3">
        <v>0</v>
      </c>
      <c r="BL18" s="3">
        <f t="shared" si="122"/>
        <v>78</v>
      </c>
      <c r="BM18" s="3">
        <f t="shared" si="97"/>
        <v>87</v>
      </c>
      <c r="BN18" s="3">
        <f>44+20</f>
        <v>64</v>
      </c>
      <c r="BO18" s="3">
        <v>80</v>
      </c>
      <c r="BP18" s="3">
        <v>48</v>
      </c>
      <c r="BQ18" s="3">
        <f t="shared" si="123"/>
        <v>110</v>
      </c>
      <c r="BR18" s="3">
        <f t="shared" si="98"/>
        <v>71</v>
      </c>
      <c r="BS18" s="3">
        <f>50+14</f>
        <v>64</v>
      </c>
      <c r="BT18" s="3">
        <v>32</v>
      </c>
      <c r="BU18" s="3">
        <v>79</v>
      </c>
      <c r="BV18" s="3">
        <f t="shared" si="124"/>
        <v>63</v>
      </c>
      <c r="BW18" s="3">
        <f t="shared" si="99"/>
        <v>103</v>
      </c>
      <c r="BX18" s="3">
        <v>5</v>
      </c>
      <c r="BY18" s="3">
        <v>12</v>
      </c>
      <c r="BZ18" s="3">
        <v>79</v>
      </c>
      <c r="CA18" s="3">
        <f t="shared" si="125"/>
        <v>-4</v>
      </c>
      <c r="CB18" s="3">
        <f t="shared" si="100"/>
        <v>96</v>
      </c>
      <c r="CC18" s="3"/>
      <c r="CD18" s="3">
        <v>0</v>
      </c>
      <c r="CE18" s="3">
        <v>7</v>
      </c>
      <c r="CF18" s="3">
        <f t="shared" si="126"/>
        <v>-11</v>
      </c>
      <c r="CG18" s="3">
        <f t="shared" si="101"/>
        <v>96</v>
      </c>
      <c r="CH18" s="3"/>
      <c r="CI18" s="3">
        <v>16</v>
      </c>
      <c r="CJ18" s="3">
        <v>0</v>
      </c>
      <c r="CK18" s="3">
        <f t="shared" si="127"/>
        <v>5</v>
      </c>
      <c r="CL18" s="3">
        <f t="shared" si="102"/>
        <v>80</v>
      </c>
      <c r="CM18" s="3"/>
      <c r="CN18" s="3">
        <v>0</v>
      </c>
      <c r="CO18" s="3">
        <v>6</v>
      </c>
      <c r="CP18" s="3">
        <f t="shared" si="128"/>
        <v>-1</v>
      </c>
      <c r="CQ18" s="3">
        <f t="shared" si="103"/>
        <v>80</v>
      </c>
      <c r="CR18" s="3"/>
      <c r="CS18" s="3">
        <v>12</v>
      </c>
      <c r="CT18" s="3">
        <v>2</v>
      </c>
      <c r="CU18" s="3">
        <f t="shared" si="129"/>
        <v>9</v>
      </c>
      <c r="CV18" s="3">
        <v>0</v>
      </c>
      <c r="CW18" s="3"/>
      <c r="CX18" s="3">
        <v>0</v>
      </c>
      <c r="CY18" s="3">
        <v>0</v>
      </c>
      <c r="CZ18" s="3">
        <v>22</v>
      </c>
      <c r="DA18" s="3">
        <f t="shared" si="104"/>
        <v>0</v>
      </c>
      <c r="DB18" s="3"/>
      <c r="DC18" s="3">
        <v>0</v>
      </c>
      <c r="DD18" s="3">
        <v>0</v>
      </c>
      <c r="DE18" s="3">
        <f t="shared" si="130"/>
        <v>22</v>
      </c>
      <c r="DF18" s="3">
        <f t="shared" si="105"/>
        <v>0</v>
      </c>
      <c r="DG18" s="3"/>
      <c r="DH18" s="3">
        <v>0</v>
      </c>
      <c r="DI18" s="3">
        <v>0</v>
      </c>
      <c r="DJ18" s="3">
        <f t="shared" si="131"/>
        <v>22</v>
      </c>
      <c r="DK18" s="3">
        <f t="shared" si="106"/>
        <v>0</v>
      </c>
      <c r="DL18" s="3"/>
      <c r="DM18" s="3">
        <v>0</v>
      </c>
      <c r="DN18" s="3">
        <v>2</v>
      </c>
      <c r="DO18" s="3">
        <f t="shared" si="132"/>
        <v>20</v>
      </c>
      <c r="DP18" s="3">
        <f t="shared" si="107"/>
        <v>0</v>
      </c>
      <c r="DQ18" s="3"/>
      <c r="DR18" s="3">
        <v>0</v>
      </c>
      <c r="DS18" s="3">
        <v>1</v>
      </c>
      <c r="DT18" s="3">
        <f t="shared" si="133"/>
        <v>19</v>
      </c>
      <c r="DU18" s="3">
        <f t="shared" si="108"/>
        <v>0</v>
      </c>
      <c r="DV18" s="3">
        <v>32</v>
      </c>
      <c r="DW18" s="3">
        <v>32</v>
      </c>
      <c r="DX18" s="3">
        <v>11</v>
      </c>
      <c r="DY18" s="3">
        <f t="shared" si="134"/>
        <v>40</v>
      </c>
      <c r="DZ18" s="3">
        <f t="shared" si="109"/>
        <v>0</v>
      </c>
      <c r="EA18" s="3">
        <v>28</v>
      </c>
      <c r="EB18" s="3">
        <v>40</v>
      </c>
      <c r="EC18" s="3">
        <v>40</v>
      </c>
      <c r="ED18" s="3">
        <f t="shared" si="135"/>
        <v>40</v>
      </c>
      <c r="EE18" s="3">
        <f t="shared" si="110"/>
        <v>-12</v>
      </c>
      <c r="EF18" s="3">
        <v>36</v>
      </c>
      <c r="EG18" s="3">
        <v>32</v>
      </c>
      <c r="EH18" s="3">
        <v>3</v>
      </c>
    </row>
    <row r="19" spans="1:138" x14ac:dyDescent="0.35">
      <c r="A19" s="3">
        <v>30</v>
      </c>
      <c r="B19" s="2" t="s">
        <v>12</v>
      </c>
      <c r="C19" s="2" t="s">
        <v>30</v>
      </c>
      <c r="D19" s="3">
        <f t="shared" si="85"/>
        <v>30</v>
      </c>
      <c r="E19" s="3">
        <v>10</v>
      </c>
      <c r="F19" s="3">
        <v>20</v>
      </c>
      <c r="G19" s="3">
        <v>0</v>
      </c>
      <c r="H19" s="3">
        <v>13</v>
      </c>
      <c r="I19" s="3">
        <f t="shared" si="111"/>
        <v>17</v>
      </c>
      <c r="J19" s="3">
        <f t="shared" si="86"/>
        <v>30</v>
      </c>
      <c r="K19" s="3">
        <f>20</f>
        <v>20</v>
      </c>
      <c r="L19" s="3">
        <v>16</v>
      </c>
      <c r="M19" s="3">
        <v>5</v>
      </c>
      <c r="N19" s="3">
        <f t="shared" si="112"/>
        <v>28</v>
      </c>
      <c r="O19" s="3">
        <f t="shared" si="87"/>
        <v>34</v>
      </c>
      <c r="P19" s="3">
        <v>28</v>
      </c>
      <c r="Q19" s="3">
        <v>0</v>
      </c>
      <c r="R19" s="3">
        <v>4</v>
      </c>
      <c r="S19" s="3">
        <f t="shared" si="113"/>
        <v>24</v>
      </c>
      <c r="T19" s="3">
        <f t="shared" si="88"/>
        <v>62</v>
      </c>
      <c r="U19" s="3">
        <v>0</v>
      </c>
      <c r="V19" s="3">
        <v>12</v>
      </c>
      <c r="W19" s="3">
        <v>8</v>
      </c>
      <c r="X19" s="3">
        <f t="shared" si="114"/>
        <v>28</v>
      </c>
      <c r="Y19" s="3">
        <f t="shared" si="89"/>
        <v>50</v>
      </c>
      <c r="Z19" s="3">
        <v>0</v>
      </c>
      <c r="AA19" s="3">
        <v>12</v>
      </c>
      <c r="AB19" s="3">
        <v>8</v>
      </c>
      <c r="AC19" s="3">
        <f t="shared" si="115"/>
        <v>32</v>
      </c>
      <c r="AD19" s="3">
        <f t="shared" si="90"/>
        <v>38</v>
      </c>
      <c r="AE19" s="3"/>
      <c r="AF19" s="3">
        <v>16</v>
      </c>
      <c r="AG19" s="3">
        <v>0</v>
      </c>
      <c r="AH19" s="3">
        <f t="shared" si="116"/>
        <v>48</v>
      </c>
      <c r="AI19" s="3">
        <f t="shared" si="91"/>
        <v>22</v>
      </c>
      <c r="AJ19" s="3">
        <f>10+16</f>
        <v>26</v>
      </c>
      <c r="AK19" s="3">
        <v>16</v>
      </c>
      <c r="AL19" s="3">
        <v>21</v>
      </c>
      <c r="AM19" s="3">
        <f t="shared" si="117"/>
        <v>43</v>
      </c>
      <c r="AN19" s="3">
        <f t="shared" si="92"/>
        <v>32</v>
      </c>
      <c r="AO19" s="3">
        <f>8+16+16</f>
        <v>40</v>
      </c>
      <c r="AP19" s="3">
        <v>72</v>
      </c>
      <c r="AQ19" s="3">
        <v>29</v>
      </c>
      <c r="AR19" s="3">
        <f t="shared" si="118"/>
        <v>86</v>
      </c>
      <c r="AS19" s="3">
        <f t="shared" si="93"/>
        <v>0</v>
      </c>
      <c r="AT19" s="3">
        <v>0</v>
      </c>
      <c r="AU19" s="3">
        <v>0</v>
      </c>
      <c r="AV19" s="3">
        <v>5</v>
      </c>
      <c r="AW19" s="3">
        <f t="shared" si="119"/>
        <v>81</v>
      </c>
      <c r="AX19" s="3">
        <f t="shared" si="94"/>
        <v>0</v>
      </c>
      <c r="AY19" s="3">
        <v>24</v>
      </c>
      <c r="AZ19" s="3">
        <v>15</v>
      </c>
      <c r="BA19" s="3">
        <v>16</v>
      </c>
      <c r="BB19" s="3">
        <f t="shared" si="120"/>
        <v>80</v>
      </c>
      <c r="BC19" s="3">
        <f t="shared" si="95"/>
        <v>9</v>
      </c>
      <c r="BD19" s="3">
        <v>18</v>
      </c>
      <c r="BE19" s="3">
        <v>0</v>
      </c>
      <c r="BF19" s="3">
        <v>15</v>
      </c>
      <c r="BG19" s="3">
        <f t="shared" si="121"/>
        <v>65</v>
      </c>
      <c r="BH19" s="3">
        <f t="shared" si="96"/>
        <v>27</v>
      </c>
      <c r="BI19" s="3">
        <v>16</v>
      </c>
      <c r="BJ19" s="3"/>
      <c r="BK19" s="3">
        <v>0</v>
      </c>
      <c r="BL19" s="3">
        <f t="shared" si="122"/>
        <v>65</v>
      </c>
      <c r="BM19" s="3">
        <f t="shared" si="97"/>
        <v>43</v>
      </c>
      <c r="BN19" s="3"/>
      <c r="BO19" s="3">
        <v>32</v>
      </c>
      <c r="BP19" s="3">
        <v>0</v>
      </c>
      <c r="BQ19" s="3">
        <f t="shared" si="123"/>
        <v>97</v>
      </c>
      <c r="BR19" s="3">
        <f t="shared" si="98"/>
        <v>11</v>
      </c>
      <c r="BS19" s="3">
        <f>16+0</f>
        <v>16</v>
      </c>
      <c r="BT19" s="3">
        <v>28</v>
      </c>
      <c r="BU19" s="3">
        <v>0</v>
      </c>
      <c r="BV19" s="3">
        <f t="shared" si="124"/>
        <v>125</v>
      </c>
      <c r="BW19" s="3">
        <f t="shared" si="99"/>
        <v>-1</v>
      </c>
      <c r="BX19" s="3"/>
      <c r="BY19" s="3">
        <v>0</v>
      </c>
      <c r="BZ19" s="3">
        <v>0</v>
      </c>
      <c r="CA19" s="3">
        <f t="shared" si="125"/>
        <v>125</v>
      </c>
      <c r="CB19" s="3">
        <f t="shared" si="100"/>
        <v>-1</v>
      </c>
      <c r="CC19" s="3"/>
      <c r="CD19" s="3">
        <v>0</v>
      </c>
      <c r="CE19" s="3">
        <v>6</v>
      </c>
      <c r="CF19" s="3">
        <f t="shared" si="126"/>
        <v>119</v>
      </c>
      <c r="CG19" s="3">
        <f t="shared" si="101"/>
        <v>-1</v>
      </c>
      <c r="CH19" s="3"/>
      <c r="CI19" s="3">
        <v>0</v>
      </c>
      <c r="CJ19" s="3">
        <v>0</v>
      </c>
      <c r="CK19" s="3">
        <f t="shared" si="127"/>
        <v>119</v>
      </c>
      <c r="CL19" s="3">
        <f t="shared" si="102"/>
        <v>-1</v>
      </c>
      <c r="CM19" s="3"/>
      <c r="CN19" s="3">
        <v>0</v>
      </c>
      <c r="CO19" s="3">
        <v>4</v>
      </c>
      <c r="CP19" s="3">
        <f t="shared" si="128"/>
        <v>115</v>
      </c>
      <c r="CQ19" s="3">
        <f t="shared" si="103"/>
        <v>-1</v>
      </c>
      <c r="CR19" s="3"/>
      <c r="CS19" s="3">
        <v>0</v>
      </c>
      <c r="CT19" s="3">
        <v>1</v>
      </c>
      <c r="CU19" s="3">
        <f t="shared" si="129"/>
        <v>114</v>
      </c>
      <c r="CV19" s="3">
        <v>0</v>
      </c>
      <c r="CW19" s="3"/>
      <c r="CX19" s="3">
        <v>0</v>
      </c>
      <c r="CY19" s="3">
        <v>7</v>
      </c>
      <c r="CZ19" s="3">
        <v>29</v>
      </c>
      <c r="DA19" s="3">
        <f t="shared" si="104"/>
        <v>0</v>
      </c>
      <c r="DB19" s="3"/>
      <c r="DC19" s="3">
        <v>0</v>
      </c>
      <c r="DD19" s="3">
        <v>0</v>
      </c>
      <c r="DE19" s="3">
        <f>CZ19+DC19-DD19</f>
        <v>29</v>
      </c>
      <c r="DF19" s="3">
        <f t="shared" si="105"/>
        <v>0</v>
      </c>
      <c r="DG19" s="3"/>
      <c r="DH19" s="3">
        <v>0</v>
      </c>
      <c r="DI19" s="3">
        <v>0</v>
      </c>
      <c r="DJ19" s="3">
        <f>DE19+DH19-DI19</f>
        <v>29</v>
      </c>
      <c r="DK19" s="3">
        <f t="shared" si="106"/>
        <v>0</v>
      </c>
      <c r="DL19" s="3"/>
      <c r="DM19" s="3">
        <v>0</v>
      </c>
      <c r="DN19" s="3">
        <v>3</v>
      </c>
      <c r="DO19" s="3">
        <f>DJ19+DM19-DN19</f>
        <v>26</v>
      </c>
      <c r="DP19" s="3">
        <f t="shared" si="107"/>
        <v>0</v>
      </c>
      <c r="DQ19" s="3"/>
      <c r="DR19" s="3">
        <v>0</v>
      </c>
      <c r="DS19" s="3">
        <v>2</v>
      </c>
      <c r="DT19" s="3">
        <f>DO19+DR19-DS19</f>
        <v>24</v>
      </c>
      <c r="DU19" s="3">
        <f t="shared" si="108"/>
        <v>0</v>
      </c>
      <c r="DV19" s="3">
        <v>0</v>
      </c>
      <c r="DW19" s="3">
        <v>0</v>
      </c>
      <c r="DX19" s="3">
        <v>8</v>
      </c>
      <c r="DY19" s="3">
        <f>DT19+DW19-DX19</f>
        <v>16</v>
      </c>
      <c r="DZ19" s="3">
        <f t="shared" si="109"/>
        <v>0</v>
      </c>
      <c r="EA19" s="3">
        <v>16</v>
      </c>
      <c r="EB19" s="3">
        <v>16</v>
      </c>
      <c r="EC19" s="3">
        <v>16</v>
      </c>
      <c r="ED19" s="3">
        <f>DY19+EB19-EC19</f>
        <v>16</v>
      </c>
      <c r="EE19" s="3">
        <f t="shared" si="110"/>
        <v>0</v>
      </c>
      <c r="EF19" s="3">
        <v>0</v>
      </c>
      <c r="EG19" s="3">
        <v>0</v>
      </c>
      <c r="EH19" s="3">
        <v>5</v>
      </c>
    </row>
    <row r="20" spans="1:138" x14ac:dyDescent="0.35">
      <c r="B20" s="33" t="s">
        <v>32</v>
      </c>
      <c r="C20" s="33"/>
      <c r="D20" s="5">
        <f>SUM(D13:D19)</f>
        <v>270</v>
      </c>
      <c r="E20" s="5">
        <f>SUM(E13:E19)</f>
        <v>281</v>
      </c>
      <c r="F20" s="5">
        <f t="shared" ref="F20:H20" si="137">SUM(F13:F19)</f>
        <v>211</v>
      </c>
      <c r="G20" s="5">
        <f t="shared" si="137"/>
        <v>224</v>
      </c>
      <c r="H20" s="5">
        <f t="shared" si="137"/>
        <v>232</v>
      </c>
      <c r="I20" s="6">
        <f>SUM(I13:I19)</f>
        <v>262</v>
      </c>
      <c r="J20" s="6">
        <f>SUM(J13:J19)</f>
        <v>268</v>
      </c>
      <c r="K20" s="6">
        <f t="shared" ref="K20:M20" si="138">SUM(K13:K19)</f>
        <v>340</v>
      </c>
      <c r="L20" s="6">
        <f t="shared" si="138"/>
        <v>292</v>
      </c>
      <c r="M20" s="6">
        <f t="shared" si="138"/>
        <v>221</v>
      </c>
      <c r="N20" s="5">
        <f>SUM(N13:N19)</f>
        <v>333</v>
      </c>
      <c r="O20" s="5">
        <f>SUM(O13:O19)</f>
        <v>316</v>
      </c>
      <c r="P20" s="5">
        <f t="shared" ref="P20:R20" si="139">SUM(P13:P19)</f>
        <v>199</v>
      </c>
      <c r="Q20" s="5">
        <f t="shared" si="139"/>
        <v>176</v>
      </c>
      <c r="R20" s="5">
        <f t="shared" si="139"/>
        <v>191</v>
      </c>
      <c r="S20" s="6">
        <f>SUM(S13:S19)</f>
        <v>318</v>
      </c>
      <c r="T20" s="6">
        <f>SUM(T13:T19)</f>
        <v>339</v>
      </c>
      <c r="U20" s="6">
        <f t="shared" ref="U20:W20" si="140">SUM(U13:U19)</f>
        <v>188</v>
      </c>
      <c r="V20" s="6">
        <f t="shared" si="140"/>
        <v>188</v>
      </c>
      <c r="W20" s="6">
        <f t="shared" si="140"/>
        <v>180</v>
      </c>
      <c r="X20" s="5">
        <f>SUM(X13:X19)</f>
        <v>326</v>
      </c>
      <c r="Y20" s="5">
        <f>SUM(Y13:Y19)</f>
        <v>339</v>
      </c>
      <c r="Z20" s="5">
        <f t="shared" ref="Z20:AB20" si="141">SUM(Z13:Z19)</f>
        <v>227</v>
      </c>
      <c r="AA20" s="5">
        <f t="shared" si="141"/>
        <v>211</v>
      </c>
      <c r="AB20" s="5">
        <f t="shared" si="141"/>
        <v>211</v>
      </c>
      <c r="AC20" s="14">
        <f>SUM(AC13:AC19)</f>
        <v>326</v>
      </c>
      <c r="AD20" s="14">
        <f>SUM(AD13:AD19)</f>
        <v>355</v>
      </c>
      <c r="AE20" s="14">
        <f t="shared" ref="AE20:AG20" si="142">SUM(AE13:AE19)</f>
        <v>257</v>
      </c>
      <c r="AF20" s="14">
        <f t="shared" si="142"/>
        <v>220</v>
      </c>
      <c r="AG20" s="14">
        <f t="shared" si="142"/>
        <v>169</v>
      </c>
      <c r="AH20" s="5">
        <f>SUM(AH13:AH19)</f>
        <v>377</v>
      </c>
      <c r="AI20" s="5">
        <f>SUM(AI13:AI19)</f>
        <v>432</v>
      </c>
      <c r="AJ20" s="5">
        <f t="shared" ref="AJ20:AL20" si="143">SUM(AJ13:AJ19)</f>
        <v>326</v>
      </c>
      <c r="AK20" s="5">
        <f t="shared" si="143"/>
        <v>236</v>
      </c>
      <c r="AL20" s="5">
        <f t="shared" si="143"/>
        <v>175</v>
      </c>
      <c r="AM20" s="14">
        <f>SUM(AM13:AM19)</f>
        <v>438</v>
      </c>
      <c r="AN20" s="14">
        <f>SUM(AN13:AN19)</f>
        <v>522</v>
      </c>
      <c r="AO20" s="14">
        <f t="shared" ref="AO20:AQ20" si="144">SUM(AO13:AO19)</f>
        <v>213</v>
      </c>
      <c r="AP20" s="14">
        <f t="shared" si="144"/>
        <v>580</v>
      </c>
      <c r="AQ20" s="14">
        <f t="shared" si="144"/>
        <v>248</v>
      </c>
      <c r="AR20" s="5">
        <f>SUM(AR13:AR19)</f>
        <v>770</v>
      </c>
      <c r="AS20" s="5">
        <f>SUM(AS13:AS19)</f>
        <v>155</v>
      </c>
      <c r="AT20" s="5">
        <f t="shared" ref="AT20:AV20" si="145">SUM(AT13:AT19)</f>
        <v>196</v>
      </c>
      <c r="AU20" s="5">
        <f t="shared" si="145"/>
        <v>217</v>
      </c>
      <c r="AV20" s="5">
        <f t="shared" si="145"/>
        <v>171</v>
      </c>
      <c r="AW20" s="14">
        <f>SUM(AW13:AW19)</f>
        <v>816</v>
      </c>
      <c r="AX20" s="14">
        <f>SUM(AX13:AX19)</f>
        <v>134</v>
      </c>
      <c r="AY20" s="14">
        <f t="shared" ref="AY20:BA20" si="146">SUM(AY13:AY19)</f>
        <v>191</v>
      </c>
      <c r="AZ20" s="14">
        <f t="shared" si="146"/>
        <v>141</v>
      </c>
      <c r="BA20" s="14">
        <f t="shared" si="146"/>
        <v>200</v>
      </c>
      <c r="BB20" s="5">
        <f>SUM(BB13:BB19)</f>
        <v>757</v>
      </c>
      <c r="BC20" s="5">
        <f>SUM(BC13:BC19)</f>
        <v>184</v>
      </c>
      <c r="BD20" s="5">
        <f t="shared" ref="BD20:BF20" si="147">SUM(BD13:BD19)</f>
        <v>217</v>
      </c>
      <c r="BE20" s="5">
        <f t="shared" si="147"/>
        <v>200</v>
      </c>
      <c r="BF20" s="5">
        <f t="shared" si="147"/>
        <v>191</v>
      </c>
      <c r="BG20" s="14">
        <f>SUM(BG13:BG19)</f>
        <v>766</v>
      </c>
      <c r="BH20" s="14">
        <f>SUM(BH13:BH19)</f>
        <v>201</v>
      </c>
      <c r="BI20" s="14">
        <f t="shared" ref="BI20:BK20" si="148">SUM(BI13:BI19)</f>
        <v>86</v>
      </c>
      <c r="BJ20" s="14">
        <f t="shared" si="148"/>
        <v>0</v>
      </c>
      <c r="BK20" s="14">
        <f t="shared" si="148"/>
        <v>0</v>
      </c>
      <c r="BL20" s="5">
        <f>SUM(BL13:BL19)</f>
        <v>766</v>
      </c>
      <c r="BM20" s="5">
        <f>SUM(BM13:BM19)</f>
        <v>287</v>
      </c>
      <c r="BN20" s="5">
        <f t="shared" ref="BN20:BP20" si="149">SUM(BN13:BN19)</f>
        <v>124</v>
      </c>
      <c r="BO20" s="5">
        <f t="shared" si="149"/>
        <v>144</v>
      </c>
      <c r="BP20" s="5">
        <f t="shared" si="149"/>
        <v>78</v>
      </c>
      <c r="BQ20" s="14">
        <f>SUM(BQ13:BQ19)</f>
        <v>832</v>
      </c>
      <c r="BR20" s="14">
        <f>SUM(BR13:BR19)</f>
        <v>267</v>
      </c>
      <c r="BS20" s="14">
        <f t="shared" ref="BS20:BU20" si="150">SUM(BS13:BS19)</f>
        <v>262</v>
      </c>
      <c r="BT20" s="14">
        <f t="shared" si="150"/>
        <v>196</v>
      </c>
      <c r="BU20" s="14">
        <f t="shared" si="150"/>
        <v>205</v>
      </c>
      <c r="BV20" s="5">
        <f>SUM(BV13:BV19)</f>
        <v>823</v>
      </c>
      <c r="BW20" s="5">
        <f>SUM(BW13:BW19)</f>
        <v>333</v>
      </c>
      <c r="BX20" s="5">
        <f t="shared" ref="BX20:BZ20" si="151">SUM(BX13:BX19)</f>
        <v>137</v>
      </c>
      <c r="BY20" s="5">
        <f t="shared" si="151"/>
        <v>168</v>
      </c>
      <c r="BZ20" s="5">
        <f t="shared" si="151"/>
        <v>205</v>
      </c>
      <c r="CA20" s="14">
        <f>SUM(CA13:CA19)</f>
        <v>786</v>
      </c>
      <c r="CB20" s="14">
        <f>SUM(CB13:CB19)</f>
        <v>302</v>
      </c>
      <c r="CC20" s="14">
        <f t="shared" ref="CC20:CE20" si="152">SUM(CC13:CC19)</f>
        <v>124</v>
      </c>
      <c r="CD20" s="14">
        <f t="shared" si="152"/>
        <v>108</v>
      </c>
      <c r="CE20" s="14">
        <f t="shared" si="152"/>
        <v>194</v>
      </c>
      <c r="CF20" s="5">
        <f>SUM(CF13:CF19)</f>
        <v>700</v>
      </c>
      <c r="CG20" s="5">
        <f>SUM(CG13:CG19)</f>
        <v>318</v>
      </c>
      <c r="CH20" s="5">
        <f t="shared" ref="CH20:CJ20" si="153">SUM(CH13:CH19)</f>
        <v>162</v>
      </c>
      <c r="CI20" s="5">
        <f t="shared" si="153"/>
        <v>152</v>
      </c>
      <c r="CJ20" s="5">
        <f t="shared" si="153"/>
        <v>145</v>
      </c>
      <c r="CK20" s="14">
        <f>SUM(CK13:CK19)</f>
        <v>707</v>
      </c>
      <c r="CL20" s="14">
        <f>SUM(CL13:CL19)</f>
        <v>328</v>
      </c>
      <c r="CM20" s="14">
        <f t="shared" ref="CM20:CO20" si="154">SUM(CM13:CM19)</f>
        <v>252</v>
      </c>
      <c r="CN20" s="14">
        <f t="shared" si="154"/>
        <v>120</v>
      </c>
      <c r="CO20" s="14">
        <f t="shared" si="154"/>
        <v>186</v>
      </c>
      <c r="CP20" s="5">
        <f>SUM(CP13:CP19)</f>
        <v>641</v>
      </c>
      <c r="CQ20" s="5">
        <f>SUM(CQ13:CQ19)</f>
        <v>460</v>
      </c>
      <c r="CR20" s="5">
        <f t="shared" ref="CR20:CT20" si="155">SUM(CR13:CR19)</f>
        <v>153</v>
      </c>
      <c r="CS20" s="5">
        <f t="shared" si="155"/>
        <v>220</v>
      </c>
      <c r="CT20" s="5">
        <f t="shared" si="155"/>
        <v>177</v>
      </c>
      <c r="CU20" s="14">
        <f>SUM(CU13:CU19)</f>
        <v>684</v>
      </c>
      <c r="CV20" s="14">
        <f>SUM(CV13:CV19)</f>
        <v>193</v>
      </c>
      <c r="CW20" s="14">
        <f t="shared" ref="CW20:CY20" si="156">SUM(CW13:CW19)</f>
        <v>206</v>
      </c>
      <c r="CX20" s="14">
        <f t="shared" si="156"/>
        <v>224</v>
      </c>
      <c r="CY20" s="14">
        <f t="shared" si="156"/>
        <v>167</v>
      </c>
      <c r="CZ20" s="5">
        <f>SUM(CZ13:CZ19)</f>
        <v>304</v>
      </c>
      <c r="DA20" s="5">
        <f>SUM(DA13:DA19)</f>
        <v>175</v>
      </c>
      <c r="DB20" s="5">
        <f t="shared" ref="DB20:DD20" si="157">SUM(DB13:DB19)</f>
        <v>225</v>
      </c>
      <c r="DC20" s="5">
        <f t="shared" si="157"/>
        <v>172</v>
      </c>
      <c r="DD20" s="5">
        <f t="shared" si="157"/>
        <v>155</v>
      </c>
      <c r="DE20" s="14">
        <f>SUM(DE13:DE19)</f>
        <v>321</v>
      </c>
      <c r="DF20" s="14">
        <f>SUM(DF13:DF19)</f>
        <v>228</v>
      </c>
      <c r="DG20" s="14">
        <f t="shared" ref="DG20:DI20" si="158">SUM(DG13:DG19)</f>
        <v>90</v>
      </c>
      <c r="DH20" s="14">
        <f t="shared" si="158"/>
        <v>208</v>
      </c>
      <c r="DI20" s="14">
        <f t="shared" si="158"/>
        <v>189</v>
      </c>
      <c r="DJ20" s="5">
        <f>SUM(DJ13:DJ19)</f>
        <v>340</v>
      </c>
      <c r="DK20" s="5">
        <f>SUM(DK13:DK19)</f>
        <v>110</v>
      </c>
      <c r="DL20" s="5">
        <f t="shared" ref="DL20:DN20" si="159">SUM(DL13:DL19)</f>
        <v>172</v>
      </c>
      <c r="DM20" s="5">
        <f t="shared" si="159"/>
        <v>212</v>
      </c>
      <c r="DN20" s="5">
        <f t="shared" si="159"/>
        <v>295</v>
      </c>
      <c r="DO20" s="14">
        <f>SUM(DO13:DO19)</f>
        <v>257</v>
      </c>
      <c r="DP20" s="14">
        <f>SUM(DP13:DP19)</f>
        <v>70</v>
      </c>
      <c r="DQ20" s="14">
        <f t="shared" ref="DQ20:DS20" si="160">SUM(DQ13:DQ19)</f>
        <v>174</v>
      </c>
      <c r="DR20" s="14">
        <f t="shared" si="160"/>
        <v>140</v>
      </c>
      <c r="DS20" s="14">
        <f t="shared" si="160"/>
        <v>138</v>
      </c>
      <c r="DT20" s="5">
        <f>SUM(DT13:DT19)</f>
        <v>259</v>
      </c>
      <c r="DU20" s="5">
        <f>SUM(DU13:DU19)</f>
        <v>104</v>
      </c>
      <c r="DV20" s="5">
        <f t="shared" ref="DV20:DX20" si="161">SUM(DV13:DV19)</f>
        <v>208</v>
      </c>
      <c r="DW20" s="5">
        <f t="shared" si="161"/>
        <v>216</v>
      </c>
      <c r="DX20" s="5">
        <f t="shared" si="161"/>
        <v>127</v>
      </c>
      <c r="DY20" s="14">
        <f>SUM(DY13:DY19)</f>
        <v>348</v>
      </c>
      <c r="DZ20" s="14">
        <f>SUM(DZ13:DZ19)</f>
        <v>96</v>
      </c>
      <c r="EA20" s="14">
        <f t="shared" ref="EA20:EC20" si="162">SUM(EA13:EA19)</f>
        <v>260</v>
      </c>
      <c r="EB20" s="14">
        <f t="shared" si="162"/>
        <v>242</v>
      </c>
      <c r="EC20" s="14">
        <f t="shared" si="162"/>
        <v>242</v>
      </c>
      <c r="ED20" s="5">
        <f>SUM(ED13:ED19)</f>
        <v>348</v>
      </c>
      <c r="EE20" s="5">
        <f>SUM(EE13:EE19)</f>
        <v>114</v>
      </c>
      <c r="EF20" s="5">
        <f t="shared" ref="EF20:EH20" si="163">SUM(EF13:EF19)</f>
        <v>252</v>
      </c>
      <c r="EG20" s="5">
        <f t="shared" si="163"/>
        <v>248</v>
      </c>
      <c r="EH20" s="5">
        <f t="shared" si="163"/>
        <v>182</v>
      </c>
    </row>
    <row r="21" spans="1:138" x14ac:dyDescent="0.35">
      <c r="B21" s="33" t="s">
        <v>39</v>
      </c>
      <c r="C21" s="33"/>
      <c r="D21" s="5">
        <f>D20+D11</f>
        <v>542</v>
      </c>
      <c r="E21" s="5">
        <f t="shared" ref="E21:W21" si="164">E20+E11</f>
        <v>757</v>
      </c>
      <c r="F21" s="5">
        <f t="shared" si="164"/>
        <v>365</v>
      </c>
      <c r="G21" s="5">
        <f t="shared" si="164"/>
        <v>462</v>
      </c>
      <c r="H21" s="5">
        <f t="shared" si="164"/>
        <v>424</v>
      </c>
      <c r="I21" s="6">
        <f t="shared" si="164"/>
        <v>580</v>
      </c>
      <c r="J21" s="6">
        <f t="shared" si="164"/>
        <v>660</v>
      </c>
      <c r="K21" s="6">
        <f t="shared" si="164"/>
        <v>508</v>
      </c>
      <c r="L21" s="6">
        <f t="shared" si="164"/>
        <v>550</v>
      </c>
      <c r="M21" s="6">
        <f t="shared" si="164"/>
        <v>513</v>
      </c>
      <c r="N21" s="5">
        <f t="shared" si="164"/>
        <v>617</v>
      </c>
      <c r="O21" s="5">
        <f t="shared" si="164"/>
        <v>618</v>
      </c>
      <c r="P21" s="5">
        <f t="shared" si="164"/>
        <v>437</v>
      </c>
      <c r="Q21" s="5">
        <f t="shared" si="164"/>
        <v>428</v>
      </c>
      <c r="R21" s="5">
        <f t="shared" si="164"/>
        <v>401</v>
      </c>
      <c r="S21" s="6">
        <f t="shared" si="164"/>
        <v>644</v>
      </c>
      <c r="T21" s="6">
        <f t="shared" si="164"/>
        <v>627</v>
      </c>
      <c r="U21" s="6">
        <f t="shared" si="164"/>
        <v>454</v>
      </c>
      <c r="V21" s="6">
        <f t="shared" si="164"/>
        <v>370</v>
      </c>
      <c r="W21" s="6">
        <f t="shared" si="164"/>
        <v>433</v>
      </c>
      <c r="X21" s="5">
        <f t="shared" ref="X21:AB21" si="165">X20+X11</f>
        <v>581</v>
      </c>
      <c r="Y21" s="5">
        <f t="shared" si="165"/>
        <v>711</v>
      </c>
      <c r="Z21" s="5">
        <f t="shared" si="165"/>
        <v>521</v>
      </c>
      <c r="AA21" s="5">
        <f t="shared" si="165"/>
        <v>539</v>
      </c>
      <c r="AB21" s="5">
        <f t="shared" si="165"/>
        <v>680</v>
      </c>
      <c r="AC21" s="14">
        <f t="shared" ref="AC21:AG21" si="166">AC20+AC11</f>
        <v>440</v>
      </c>
      <c r="AD21" s="14">
        <f t="shared" si="166"/>
        <v>693</v>
      </c>
      <c r="AE21" s="14">
        <f t="shared" si="166"/>
        <v>551</v>
      </c>
      <c r="AF21" s="14">
        <f t="shared" si="166"/>
        <v>608</v>
      </c>
      <c r="AG21" s="14">
        <f t="shared" si="166"/>
        <v>507</v>
      </c>
      <c r="AH21" s="5">
        <f t="shared" ref="AH21:AL21" si="167">AH20+AH11</f>
        <v>541</v>
      </c>
      <c r="AI21" s="5">
        <f t="shared" si="167"/>
        <v>676</v>
      </c>
      <c r="AJ21" s="5">
        <f t="shared" si="167"/>
        <v>636</v>
      </c>
      <c r="AK21" s="5">
        <f t="shared" si="167"/>
        <v>596</v>
      </c>
      <c r="AL21" s="5">
        <f t="shared" si="167"/>
        <v>399</v>
      </c>
      <c r="AM21" s="14">
        <f t="shared" ref="AM21:AQ21" si="168">AM20+AM11</f>
        <v>738</v>
      </c>
      <c r="AN21" s="14">
        <f t="shared" si="168"/>
        <v>730</v>
      </c>
      <c r="AO21" s="14">
        <f t="shared" si="168"/>
        <v>521</v>
      </c>
      <c r="AP21" s="14">
        <f t="shared" si="168"/>
        <v>1020</v>
      </c>
      <c r="AQ21" s="14">
        <f t="shared" si="168"/>
        <v>617</v>
      </c>
      <c r="AR21" s="5">
        <f t="shared" ref="AR21:AV21" si="169">AR20+AR11</f>
        <v>1141</v>
      </c>
      <c r="AS21" s="5">
        <f t="shared" si="169"/>
        <v>217</v>
      </c>
      <c r="AT21" s="5">
        <f t="shared" si="169"/>
        <v>574</v>
      </c>
      <c r="AU21" s="5">
        <f t="shared" si="169"/>
        <v>545</v>
      </c>
      <c r="AV21" s="5">
        <f t="shared" si="169"/>
        <v>536</v>
      </c>
      <c r="AW21" s="14">
        <f t="shared" ref="AW21:BA21" si="170">AW20+AW11</f>
        <v>1150</v>
      </c>
      <c r="AX21" s="14">
        <f t="shared" si="170"/>
        <v>246</v>
      </c>
      <c r="AY21" s="14">
        <f t="shared" si="170"/>
        <v>695</v>
      </c>
      <c r="AZ21" s="14">
        <f t="shared" si="170"/>
        <v>561</v>
      </c>
      <c r="BA21" s="14">
        <f t="shared" si="170"/>
        <v>503</v>
      </c>
      <c r="BB21" s="5">
        <f t="shared" ref="BB21:BF21" si="171">BB20+BB11</f>
        <v>1208</v>
      </c>
      <c r="BC21" s="5">
        <f t="shared" si="171"/>
        <v>380</v>
      </c>
      <c r="BD21" s="5">
        <f t="shared" si="171"/>
        <v>567</v>
      </c>
      <c r="BE21" s="5">
        <f t="shared" si="171"/>
        <v>514</v>
      </c>
      <c r="BF21" s="5">
        <f t="shared" si="171"/>
        <v>644</v>
      </c>
      <c r="BG21" s="14">
        <f t="shared" ref="BG21:BK21" si="172">BG20+BG11</f>
        <v>1078</v>
      </c>
      <c r="BH21" s="14">
        <f t="shared" si="172"/>
        <v>433</v>
      </c>
      <c r="BI21" s="14">
        <f t="shared" si="172"/>
        <v>184</v>
      </c>
      <c r="BJ21" s="14">
        <f t="shared" si="172"/>
        <v>0</v>
      </c>
      <c r="BK21" s="14">
        <f t="shared" si="172"/>
        <v>0</v>
      </c>
      <c r="BL21" s="5">
        <f t="shared" ref="BL21:BP21" si="173">BL20+BL11</f>
        <v>1078</v>
      </c>
      <c r="BM21" s="5">
        <f t="shared" si="173"/>
        <v>617</v>
      </c>
      <c r="BN21" s="5">
        <f t="shared" si="173"/>
        <v>348</v>
      </c>
      <c r="BO21" s="5">
        <f t="shared" si="173"/>
        <v>574</v>
      </c>
      <c r="BP21" s="5">
        <f t="shared" si="173"/>
        <v>498</v>
      </c>
      <c r="BQ21" s="14">
        <f t="shared" ref="BQ21:BU21" si="174">BQ20+BQ11</f>
        <v>1154</v>
      </c>
      <c r="BR21" s="14">
        <f t="shared" si="174"/>
        <v>391</v>
      </c>
      <c r="BS21" s="14">
        <f t="shared" si="174"/>
        <v>710</v>
      </c>
      <c r="BT21" s="14">
        <f t="shared" si="174"/>
        <v>626</v>
      </c>
      <c r="BU21" s="14">
        <f t="shared" si="174"/>
        <v>625</v>
      </c>
      <c r="BV21" s="5">
        <f t="shared" ref="BV21:BZ21" si="175">BV20+BV11</f>
        <v>1155</v>
      </c>
      <c r="BW21" s="5">
        <f t="shared" si="175"/>
        <v>489</v>
      </c>
      <c r="BX21" s="5">
        <f t="shared" si="175"/>
        <v>613</v>
      </c>
      <c r="BY21" s="5">
        <f t="shared" si="175"/>
        <v>532</v>
      </c>
      <c r="BZ21" s="5">
        <f t="shared" si="175"/>
        <v>555</v>
      </c>
      <c r="CA21" s="14">
        <f t="shared" ref="CA21:CE21" si="176">CA20+CA11</f>
        <v>1132</v>
      </c>
      <c r="CB21" s="14">
        <f t="shared" si="176"/>
        <v>570</v>
      </c>
      <c r="CC21" s="14">
        <f t="shared" si="176"/>
        <v>600</v>
      </c>
      <c r="CD21" s="14">
        <f t="shared" si="176"/>
        <v>384</v>
      </c>
      <c r="CE21" s="14">
        <f t="shared" si="176"/>
        <v>539</v>
      </c>
      <c r="CF21" s="5">
        <f t="shared" ref="CF21:CJ21" si="177">CF20+CF11</f>
        <v>977</v>
      </c>
      <c r="CG21" s="5">
        <f t="shared" si="177"/>
        <v>786</v>
      </c>
      <c r="CH21" s="5">
        <f t="shared" si="177"/>
        <v>484</v>
      </c>
      <c r="CI21" s="5">
        <f t="shared" si="177"/>
        <v>480</v>
      </c>
      <c r="CJ21" s="5">
        <f t="shared" si="177"/>
        <v>488</v>
      </c>
      <c r="CK21" s="14">
        <f t="shared" ref="CK21:CO21" si="178">CK20+CK11</f>
        <v>969</v>
      </c>
      <c r="CL21" s="14">
        <f t="shared" si="178"/>
        <v>790</v>
      </c>
      <c r="CM21" s="14">
        <f t="shared" si="178"/>
        <v>588</v>
      </c>
      <c r="CN21" s="14">
        <f t="shared" si="178"/>
        <v>504</v>
      </c>
      <c r="CO21" s="14">
        <f t="shared" si="178"/>
        <v>554</v>
      </c>
      <c r="CP21" s="5">
        <f t="shared" ref="CP21:CT21" si="179">CP20+CP11</f>
        <v>919</v>
      </c>
      <c r="CQ21" s="5">
        <f t="shared" si="179"/>
        <v>874</v>
      </c>
      <c r="CR21" s="5">
        <f t="shared" si="179"/>
        <v>517</v>
      </c>
      <c r="CS21" s="5">
        <f t="shared" si="179"/>
        <v>598</v>
      </c>
      <c r="CT21" s="5">
        <f t="shared" si="179"/>
        <v>589</v>
      </c>
      <c r="CU21" s="14">
        <f t="shared" ref="CU21:CY21" si="180">CU20+CU11</f>
        <v>928</v>
      </c>
      <c r="CV21" s="14">
        <f t="shared" si="180"/>
        <v>451</v>
      </c>
      <c r="CW21" s="14">
        <f t="shared" si="180"/>
        <v>514</v>
      </c>
      <c r="CX21" s="14">
        <f t="shared" si="180"/>
        <v>538</v>
      </c>
      <c r="CY21" s="14">
        <f t="shared" si="180"/>
        <v>485</v>
      </c>
      <c r="CZ21" s="5">
        <f t="shared" ref="CZ21:DD21" si="181">CZ20+CZ11</f>
        <v>544</v>
      </c>
      <c r="DA21" s="5">
        <f t="shared" si="181"/>
        <v>427</v>
      </c>
      <c r="DB21" s="5">
        <f t="shared" si="181"/>
        <v>519</v>
      </c>
      <c r="DC21" s="5">
        <f t="shared" si="181"/>
        <v>536</v>
      </c>
      <c r="DD21" s="5">
        <f t="shared" si="181"/>
        <v>565</v>
      </c>
      <c r="DE21" s="14">
        <f t="shared" ref="DE21:DI21" si="182">DE20+DE11</f>
        <v>515</v>
      </c>
      <c r="DF21" s="14">
        <f t="shared" si="182"/>
        <v>452</v>
      </c>
      <c r="DG21" s="14">
        <f t="shared" si="182"/>
        <v>118</v>
      </c>
      <c r="DH21" s="14">
        <f t="shared" si="182"/>
        <v>306</v>
      </c>
      <c r="DI21" s="14">
        <f t="shared" si="182"/>
        <v>189</v>
      </c>
      <c r="DJ21" s="5">
        <f t="shared" ref="DJ21:DN21" si="183">DJ20+DJ11</f>
        <v>632</v>
      </c>
      <c r="DK21" s="5">
        <f t="shared" si="183"/>
        <v>264</v>
      </c>
      <c r="DL21" s="5">
        <f t="shared" si="183"/>
        <v>508</v>
      </c>
      <c r="DM21" s="5">
        <f t="shared" si="183"/>
        <v>464</v>
      </c>
      <c r="DN21" s="5">
        <f t="shared" si="183"/>
        <v>601</v>
      </c>
      <c r="DO21" s="14">
        <f t="shared" ref="DO21:DS21" si="184">DO20+DO11</f>
        <v>495</v>
      </c>
      <c r="DP21" s="14">
        <f t="shared" si="184"/>
        <v>322</v>
      </c>
      <c r="DQ21" s="14">
        <f t="shared" si="184"/>
        <v>594</v>
      </c>
      <c r="DR21" s="14">
        <f t="shared" si="184"/>
        <v>462</v>
      </c>
      <c r="DS21" s="14">
        <f t="shared" si="184"/>
        <v>571</v>
      </c>
      <c r="DT21" s="5">
        <f t="shared" ref="DT21:DX21" si="185">DT20+DT11</f>
        <v>386</v>
      </c>
      <c r="DU21" s="5">
        <f t="shared" si="185"/>
        <v>468</v>
      </c>
      <c r="DV21" s="5">
        <f t="shared" si="185"/>
        <v>686</v>
      </c>
      <c r="DW21" s="5">
        <f t="shared" si="185"/>
        <v>778</v>
      </c>
      <c r="DX21" s="5">
        <f t="shared" si="185"/>
        <v>555</v>
      </c>
      <c r="DY21" s="14">
        <f t="shared" ref="DY21:EC21" si="186">DY20+DY11</f>
        <v>609</v>
      </c>
      <c r="DZ21" s="14">
        <f t="shared" si="186"/>
        <v>376</v>
      </c>
      <c r="EA21" s="14">
        <f t="shared" si="186"/>
        <v>610</v>
      </c>
      <c r="EB21" s="14">
        <f t="shared" si="186"/>
        <v>550</v>
      </c>
      <c r="EC21" s="14">
        <f t="shared" si="186"/>
        <v>615</v>
      </c>
      <c r="ED21" s="5">
        <f t="shared" ref="ED21:EH21" si="187">ED20+ED11</f>
        <v>544</v>
      </c>
      <c r="EE21" s="5">
        <f t="shared" si="187"/>
        <v>450</v>
      </c>
      <c r="EF21" s="5">
        <f t="shared" si="187"/>
        <v>616</v>
      </c>
      <c r="EG21" s="5">
        <f t="shared" si="187"/>
        <v>584</v>
      </c>
      <c r="EH21" s="5">
        <f t="shared" si="187"/>
        <v>531</v>
      </c>
    </row>
    <row r="22" spans="1:138" ht="14.5" customHeight="1" x14ac:dyDescent="0.35"/>
    <row r="23" spans="1:138" x14ac:dyDescent="0.35">
      <c r="C23" t="s">
        <v>44</v>
      </c>
      <c r="D23">
        <f t="shared" ref="D23:AB23" si="188">D13+D14+D17</f>
        <v>130</v>
      </c>
      <c r="E23">
        <f t="shared" si="188"/>
        <v>127</v>
      </c>
      <c r="F23">
        <f t="shared" si="188"/>
        <v>113</v>
      </c>
      <c r="G23">
        <f t="shared" si="188"/>
        <v>160</v>
      </c>
      <c r="H23">
        <f t="shared" si="188"/>
        <v>156</v>
      </c>
      <c r="I23">
        <f t="shared" si="188"/>
        <v>134</v>
      </c>
      <c r="J23">
        <f t="shared" si="188"/>
        <v>80</v>
      </c>
      <c r="K23">
        <f t="shared" si="188"/>
        <v>207</v>
      </c>
      <c r="L23">
        <f t="shared" si="188"/>
        <v>172</v>
      </c>
      <c r="M23">
        <f t="shared" si="188"/>
        <v>147</v>
      </c>
      <c r="N23">
        <f t="shared" si="188"/>
        <v>159</v>
      </c>
      <c r="O23">
        <f t="shared" si="188"/>
        <v>115</v>
      </c>
      <c r="P23">
        <f t="shared" si="188"/>
        <v>111</v>
      </c>
      <c r="Q23">
        <f t="shared" si="188"/>
        <v>128</v>
      </c>
      <c r="R23">
        <f t="shared" si="188"/>
        <v>133</v>
      </c>
      <c r="S23">
        <f t="shared" si="188"/>
        <v>154</v>
      </c>
      <c r="T23">
        <f t="shared" si="188"/>
        <v>98</v>
      </c>
      <c r="U23">
        <f t="shared" si="188"/>
        <v>168</v>
      </c>
      <c r="V23">
        <f t="shared" si="188"/>
        <v>116</v>
      </c>
      <c r="W23">
        <f t="shared" si="188"/>
        <v>121</v>
      </c>
      <c r="X23">
        <f t="shared" si="188"/>
        <v>149</v>
      </c>
      <c r="Y23">
        <f t="shared" si="188"/>
        <v>150</v>
      </c>
      <c r="Z23">
        <f t="shared" si="188"/>
        <v>176</v>
      </c>
      <c r="AA23">
        <f t="shared" si="188"/>
        <v>116</v>
      </c>
      <c r="AB23">
        <f t="shared" si="188"/>
        <v>109</v>
      </c>
      <c r="AD23" t="s">
        <v>44</v>
      </c>
      <c r="AE23">
        <f>AE13+AE14+AE17</f>
        <v>177</v>
      </c>
      <c r="AH23" s="2"/>
      <c r="AI23" s="2" t="s">
        <v>44</v>
      </c>
      <c r="AJ23" s="2">
        <f>AJ13+AJ14+AJ17</f>
        <v>158</v>
      </c>
      <c r="AK23" s="2"/>
      <c r="AL23" s="2"/>
      <c r="AM23" s="2"/>
      <c r="AN23" s="2" t="s">
        <v>44</v>
      </c>
      <c r="AO23" s="2">
        <f>AO13+AO14+AO17</f>
        <v>81</v>
      </c>
      <c r="AP23" s="2"/>
      <c r="AQ23" s="2">
        <f>AQ13+AQ14+AQ17</f>
        <v>136</v>
      </c>
      <c r="AR23" s="2"/>
      <c r="AS23" s="2" t="s">
        <v>44</v>
      </c>
      <c r="AT23" s="2">
        <f>AT13+AT14+AT17</f>
        <v>80</v>
      </c>
      <c r="AU23" s="2"/>
      <c r="AV23" s="2">
        <f>AV13+AV14+AV17</f>
        <v>109</v>
      </c>
      <c r="AW23" s="2" t="s">
        <v>44</v>
      </c>
      <c r="AX23" s="2"/>
      <c r="AY23" s="2">
        <f>AY13+AY14+AY17</f>
        <v>107</v>
      </c>
      <c r="AZ23" s="2"/>
      <c r="BA23" s="2">
        <f>BA13+BA14+BA17</f>
        <v>108</v>
      </c>
      <c r="BB23" s="2"/>
      <c r="BC23" s="2" t="s">
        <v>44</v>
      </c>
      <c r="BD23" s="13">
        <f>BD13+BD14+BD17</f>
        <v>109</v>
      </c>
      <c r="BE23" s="2"/>
      <c r="BF23" s="13">
        <f>BF13+BF14+BF17</f>
        <v>122</v>
      </c>
      <c r="BG23" s="2"/>
      <c r="BH23" s="2" t="s">
        <v>44</v>
      </c>
      <c r="BI23" s="2">
        <f>BI13+BI14+BI17</f>
        <v>44</v>
      </c>
      <c r="BJ23" s="2"/>
      <c r="BK23" s="2">
        <f>BK13+BK14+BK17</f>
        <v>0</v>
      </c>
      <c r="BL23" s="2"/>
      <c r="BM23" s="2" t="s">
        <v>44</v>
      </c>
      <c r="BN23" s="13">
        <f>BN13+BN14+BN17</f>
        <v>40</v>
      </c>
      <c r="BO23" s="2"/>
      <c r="BP23" s="13">
        <f>BP13+BP14+BP17</f>
        <v>30</v>
      </c>
      <c r="BQ23" s="2"/>
      <c r="BR23" s="2" t="s">
        <v>44</v>
      </c>
      <c r="BS23" s="2">
        <f>BS13+BS14+BS17</f>
        <v>96</v>
      </c>
      <c r="BT23" s="2"/>
      <c r="BU23" s="2">
        <f>BU13+BU14+BU17</f>
        <v>126</v>
      </c>
      <c r="BV23" s="2"/>
      <c r="BW23" s="2" t="s">
        <v>44</v>
      </c>
      <c r="BX23" s="2">
        <f>BX13+BX14+BX17</f>
        <v>88</v>
      </c>
      <c r="BY23" s="2"/>
      <c r="BZ23" s="13">
        <f>BZ13+BZ14+BZ17</f>
        <v>126</v>
      </c>
      <c r="CA23" s="2"/>
      <c r="CB23" s="2" t="s">
        <v>44</v>
      </c>
      <c r="CC23" s="13">
        <f>CC13+CC14+CC17</f>
        <v>48</v>
      </c>
      <c r="CD23" s="2"/>
      <c r="CE23" s="2">
        <f>CE13+CE14+CE17</f>
        <v>79</v>
      </c>
      <c r="CF23" s="2"/>
      <c r="CG23" s="2" t="s">
        <v>44</v>
      </c>
      <c r="CH23" s="13">
        <f>CH13+CH14+CH17</f>
        <v>106</v>
      </c>
      <c r="CI23" s="2"/>
      <c r="CJ23" s="2">
        <f>CJ13+CJ14+CJ17</f>
        <v>77</v>
      </c>
      <c r="CK23" s="2"/>
      <c r="CL23" s="2" t="s">
        <v>44</v>
      </c>
      <c r="CM23" s="13">
        <f>CM13+CM14+CM17</f>
        <v>140</v>
      </c>
      <c r="CN23" s="2"/>
      <c r="CO23" s="2">
        <f>CO13+CO14+CO17</f>
        <v>86</v>
      </c>
      <c r="CP23" s="2"/>
      <c r="CQ23" s="2" t="s">
        <v>44</v>
      </c>
      <c r="CR23" s="13">
        <f>CR13+CR14+CR17</f>
        <v>93</v>
      </c>
      <c r="CS23" s="2"/>
      <c r="CT23" s="2">
        <f>CT13+CT14+CT17</f>
        <v>72</v>
      </c>
      <c r="CU23" s="2"/>
      <c r="CV23" s="2" t="s">
        <v>44</v>
      </c>
      <c r="CW23" s="13">
        <f>CW13+CW14+CW17</f>
        <v>120</v>
      </c>
      <c r="CX23" s="2"/>
      <c r="CY23" s="2">
        <f>CY13+CY14+CY17</f>
        <v>65</v>
      </c>
      <c r="CZ23" s="2"/>
      <c r="DA23" s="2" t="s">
        <v>44</v>
      </c>
      <c r="DB23" s="13">
        <f>DB13+DB14+DB17</f>
        <v>102</v>
      </c>
      <c r="DC23" s="2"/>
      <c r="DD23" s="2">
        <f>DD13+DD14+DD17</f>
        <v>68</v>
      </c>
      <c r="DE23" s="2"/>
      <c r="DF23" s="2" t="s">
        <v>44</v>
      </c>
      <c r="DG23" s="13">
        <f>DG13+DG14+DG17</f>
        <v>64</v>
      </c>
      <c r="DH23" s="13">
        <f>DH13+DH14+DH17</f>
        <v>132</v>
      </c>
      <c r="DI23" s="2">
        <f>DI13+DI14+DI17</f>
        <v>115</v>
      </c>
      <c r="DJ23" s="2"/>
      <c r="DK23" s="2" t="s">
        <v>44</v>
      </c>
      <c r="DL23" s="13">
        <f>DL13+DL14+DL17</f>
        <v>112</v>
      </c>
      <c r="DM23" s="13">
        <f>DM13+DM14+DM17</f>
        <v>152</v>
      </c>
      <c r="DN23" s="2">
        <f>DN13+DN14+DN17</f>
        <v>194</v>
      </c>
      <c r="DO23" s="2"/>
      <c r="DP23" s="2" t="s">
        <v>44</v>
      </c>
      <c r="DQ23" s="13">
        <f>DQ13+DQ14+DQ17</f>
        <v>134</v>
      </c>
      <c r="DR23" s="13">
        <f>DR13+DR14+DR17</f>
        <v>112</v>
      </c>
      <c r="DS23" s="2">
        <f>DS13+DS14+DS17</f>
        <v>106</v>
      </c>
      <c r="DT23" s="2"/>
      <c r="DU23" s="2" t="s">
        <v>44</v>
      </c>
      <c r="DV23" s="13">
        <f>DV13+DV14+DV17</f>
        <v>112</v>
      </c>
      <c r="DW23" s="13">
        <f>DW13+DW14+DW17</f>
        <v>128</v>
      </c>
      <c r="DX23" s="2">
        <f>DX13+DX14+DX17</f>
        <v>83</v>
      </c>
      <c r="DY23" s="2"/>
      <c r="DZ23" s="2" t="s">
        <v>44</v>
      </c>
      <c r="EA23" s="13">
        <f>EA13+EA14+EA17</f>
        <v>136</v>
      </c>
      <c r="EB23" s="13">
        <f>EB13+EB14+EB17</f>
        <v>74</v>
      </c>
      <c r="EC23" s="2">
        <f>EC13+EC14+EC17</f>
        <v>74</v>
      </c>
      <c r="ED23" s="2"/>
      <c r="EE23" s="2" t="s">
        <v>44</v>
      </c>
      <c r="EF23" s="13">
        <f>EF13+EF14+EF17</f>
        <v>168</v>
      </c>
      <c r="EG23" s="13">
        <f>EG13+EG14+EG17</f>
        <v>168</v>
      </c>
      <c r="EH23" s="2">
        <f>EH13+EH14+EH17</f>
        <v>120</v>
      </c>
    </row>
    <row r="24" spans="1:138" x14ac:dyDescent="0.35">
      <c r="C24" t="s">
        <v>45</v>
      </c>
      <c r="D24">
        <f t="shared" ref="D24:AB24" si="189">D15+D16+D18+D19</f>
        <v>140</v>
      </c>
      <c r="E24">
        <f t="shared" si="189"/>
        <v>154</v>
      </c>
      <c r="F24">
        <f t="shared" si="189"/>
        <v>98</v>
      </c>
      <c r="G24">
        <f t="shared" si="189"/>
        <v>64</v>
      </c>
      <c r="H24">
        <f t="shared" si="189"/>
        <v>76</v>
      </c>
      <c r="I24">
        <f t="shared" si="189"/>
        <v>128</v>
      </c>
      <c r="J24">
        <f t="shared" si="189"/>
        <v>188</v>
      </c>
      <c r="K24">
        <f t="shared" si="189"/>
        <v>133</v>
      </c>
      <c r="L24">
        <f t="shared" si="189"/>
        <v>120</v>
      </c>
      <c r="M24">
        <f t="shared" si="189"/>
        <v>74</v>
      </c>
      <c r="N24">
        <f t="shared" si="189"/>
        <v>174</v>
      </c>
      <c r="O24">
        <f t="shared" si="189"/>
        <v>201</v>
      </c>
      <c r="P24">
        <f t="shared" si="189"/>
        <v>88</v>
      </c>
      <c r="Q24">
        <f t="shared" si="189"/>
        <v>48</v>
      </c>
      <c r="R24">
        <f t="shared" si="189"/>
        <v>58</v>
      </c>
      <c r="S24">
        <f t="shared" si="189"/>
        <v>164</v>
      </c>
      <c r="T24">
        <f t="shared" si="189"/>
        <v>241</v>
      </c>
      <c r="U24">
        <f t="shared" si="189"/>
        <v>20</v>
      </c>
      <c r="V24">
        <f t="shared" si="189"/>
        <v>72</v>
      </c>
      <c r="W24">
        <f t="shared" si="189"/>
        <v>59</v>
      </c>
      <c r="X24">
        <f t="shared" si="189"/>
        <v>177</v>
      </c>
      <c r="Y24">
        <f t="shared" si="189"/>
        <v>189</v>
      </c>
      <c r="Z24">
        <f t="shared" si="189"/>
        <v>51</v>
      </c>
      <c r="AA24">
        <f t="shared" si="189"/>
        <v>95</v>
      </c>
      <c r="AB24">
        <f t="shared" si="189"/>
        <v>102</v>
      </c>
      <c r="AD24" t="s">
        <v>45</v>
      </c>
      <c r="AE24">
        <f>AE15+AE16+AE18+AE19</f>
        <v>80</v>
      </c>
      <c r="AH24" s="2"/>
      <c r="AI24" s="2" t="s">
        <v>45</v>
      </c>
      <c r="AJ24" s="2">
        <f>AJ15+AJ16+AJ18+AJ19</f>
        <v>168</v>
      </c>
      <c r="AK24" s="2"/>
      <c r="AL24" s="2"/>
      <c r="AM24" s="2"/>
      <c r="AN24" s="2" t="s">
        <v>45</v>
      </c>
      <c r="AO24" s="2">
        <f>AO15+AO16+AO18+AO19</f>
        <v>132</v>
      </c>
      <c r="AP24" s="2"/>
      <c r="AQ24" s="2">
        <f>AQ15+AQ16+AQ18+AQ19</f>
        <v>112</v>
      </c>
      <c r="AR24" s="2"/>
      <c r="AS24" s="2" t="s">
        <v>45</v>
      </c>
      <c r="AT24" s="2">
        <f>AT15+AT16+AT18+AT19</f>
        <v>116</v>
      </c>
      <c r="AU24" s="2"/>
      <c r="AV24" s="2">
        <f>AV15+AV16+AV18+AV19</f>
        <v>62</v>
      </c>
      <c r="AW24" s="2" t="s">
        <v>45</v>
      </c>
      <c r="AX24" s="2"/>
      <c r="AY24" s="2">
        <f>AY15+AY16+AY18+AY19</f>
        <v>84</v>
      </c>
      <c r="AZ24" s="2"/>
      <c r="BA24" s="2">
        <f>BA15+BA16+BA18+BA19</f>
        <v>92</v>
      </c>
      <c r="BB24" s="2"/>
      <c r="BC24" s="2" t="s">
        <v>45</v>
      </c>
      <c r="BD24" s="13">
        <f>BD15+BD16+BD18+BD19</f>
        <v>108</v>
      </c>
      <c r="BE24" s="2"/>
      <c r="BF24" s="13">
        <f>BF15+BF16+BF18+BF19</f>
        <v>69</v>
      </c>
      <c r="BG24" s="2"/>
      <c r="BH24" s="2" t="s">
        <v>45</v>
      </c>
      <c r="BI24" s="2">
        <f>BI15+BI16+BI18+BI19</f>
        <v>42</v>
      </c>
      <c r="BJ24" s="2"/>
      <c r="BK24" s="2">
        <f>BK15+BK16+BK18+BK19</f>
        <v>0</v>
      </c>
      <c r="BL24" s="2"/>
      <c r="BM24" s="2" t="s">
        <v>45</v>
      </c>
      <c r="BN24" s="13">
        <f>BN15+BN16+BN18+BN19</f>
        <v>84</v>
      </c>
      <c r="BO24" s="2"/>
      <c r="BP24" s="13">
        <f>BP15+BP16+BP18+BP19</f>
        <v>48</v>
      </c>
      <c r="BQ24" s="2"/>
      <c r="BR24" s="2" t="s">
        <v>45</v>
      </c>
      <c r="BS24" s="2">
        <f>BS15+BS16+BS18+BS19</f>
        <v>166</v>
      </c>
      <c r="BT24" s="2"/>
      <c r="BU24" s="2">
        <f>BU15+BU16+BU18+BU19</f>
        <v>79</v>
      </c>
      <c r="BV24" s="2"/>
      <c r="BW24" s="2" t="s">
        <v>45</v>
      </c>
      <c r="BX24" s="2">
        <f>BX15+BX16+BX18+BX19</f>
        <v>49</v>
      </c>
      <c r="BY24" s="2"/>
      <c r="BZ24" s="13">
        <f>BZ15+BZ16+BZ18+BZ19</f>
        <v>79</v>
      </c>
      <c r="CA24" s="2"/>
      <c r="CB24" s="2" t="s">
        <v>45</v>
      </c>
      <c r="CC24" s="13">
        <f>CC15+CC16+CC18+CC19</f>
        <v>76</v>
      </c>
      <c r="CD24" s="2"/>
      <c r="CE24" s="2">
        <f>CE15+CE16+CE18+CE19</f>
        <v>115</v>
      </c>
      <c r="CF24" s="2"/>
      <c r="CG24" s="2" t="s">
        <v>45</v>
      </c>
      <c r="CH24" s="13">
        <f>CH15+CH16+CH18+CH19</f>
        <v>56</v>
      </c>
      <c r="CI24" s="2"/>
      <c r="CJ24" s="2">
        <f>CJ15+CJ16+CJ18+CJ19</f>
        <v>68</v>
      </c>
      <c r="CK24" s="2"/>
      <c r="CL24" s="2" t="s">
        <v>45</v>
      </c>
      <c r="CM24" s="13">
        <f>CM15+CM16+CM18+CM19</f>
        <v>112</v>
      </c>
      <c r="CN24" s="2"/>
      <c r="CO24" s="2">
        <f>CO15+CO16+CO18+CO19</f>
        <v>100</v>
      </c>
      <c r="CP24" s="2"/>
      <c r="CQ24" s="2" t="s">
        <v>45</v>
      </c>
      <c r="CR24" s="13">
        <f>CR15+CR16+CR18+CR19</f>
        <v>60</v>
      </c>
      <c r="CS24" s="2"/>
      <c r="CT24" s="2">
        <f>CT15+CT16+CT18+CT19</f>
        <v>105</v>
      </c>
      <c r="CU24" s="2"/>
      <c r="CV24" s="2" t="s">
        <v>45</v>
      </c>
      <c r="CW24" s="13">
        <f>CW15+CW16+CW18+CW19</f>
        <v>86</v>
      </c>
      <c r="CX24" s="2"/>
      <c r="CY24" s="2">
        <f>CY15+CY16+CY18+CY19</f>
        <v>102</v>
      </c>
      <c r="CZ24" s="2"/>
      <c r="DA24" s="2" t="s">
        <v>45</v>
      </c>
      <c r="DB24" s="13">
        <f>DB15+DB16+DB18+DB19</f>
        <v>123</v>
      </c>
      <c r="DC24" s="2"/>
      <c r="DD24" s="2">
        <f>DD15+DD16+DD18+DD19</f>
        <v>87</v>
      </c>
      <c r="DE24" s="2"/>
      <c r="DF24" s="2" t="s">
        <v>45</v>
      </c>
      <c r="DG24" s="13">
        <f>DG15+DG16+DG18+DG19</f>
        <v>26</v>
      </c>
      <c r="DH24" s="13">
        <f>DH15+DH16+DH18+DH19</f>
        <v>76</v>
      </c>
      <c r="DI24" s="2">
        <f>DI15+DI16+DI18+DI19</f>
        <v>74</v>
      </c>
      <c r="DJ24" s="2"/>
      <c r="DK24" s="2" t="s">
        <v>45</v>
      </c>
      <c r="DL24" s="13">
        <f>DL15+DL16+DL18+DL19</f>
        <v>60</v>
      </c>
      <c r="DM24" s="13">
        <f>DM15+DM16+DM18+DM19</f>
        <v>60</v>
      </c>
      <c r="DN24" s="2">
        <f>DN15+DN16+DN18+DN19</f>
        <v>101</v>
      </c>
      <c r="DO24" s="2"/>
      <c r="DP24" s="2" t="s">
        <v>45</v>
      </c>
      <c r="DQ24" s="13">
        <f>DQ15+DQ16+DQ18+DQ19</f>
        <v>40</v>
      </c>
      <c r="DR24" s="13">
        <f>DR15+DR16+DR18+DR19</f>
        <v>28</v>
      </c>
      <c r="DS24" s="2">
        <f>DS15+DS16+DS18+DS19</f>
        <v>32</v>
      </c>
      <c r="DT24" s="2"/>
      <c r="DU24" s="2" t="s">
        <v>45</v>
      </c>
      <c r="DV24" s="13">
        <f>DV15+DV16+DV18+DV19</f>
        <v>96</v>
      </c>
      <c r="DW24" s="13">
        <f>DW15+DW16+DW18+DW19</f>
        <v>88</v>
      </c>
      <c r="DX24" s="2">
        <f>DX15+DX16+DX18+DX19</f>
        <v>44</v>
      </c>
      <c r="DY24" s="2"/>
      <c r="DZ24" s="2" t="s">
        <v>45</v>
      </c>
      <c r="EA24" s="13">
        <f>EA15+EA16+EA18+EA19</f>
        <v>124</v>
      </c>
      <c r="EB24" s="13">
        <f>EB15+EB16+EB18+EB19</f>
        <v>168</v>
      </c>
      <c r="EC24" s="2">
        <f>EC15+EC16+EC18+EC19</f>
        <v>168</v>
      </c>
      <c r="ED24" s="2"/>
      <c r="EE24" s="2" t="s">
        <v>45</v>
      </c>
      <c r="EF24" s="13">
        <f>EF15+EF16+EF18+EF19</f>
        <v>84</v>
      </c>
      <c r="EG24" s="13">
        <f>EG15+EG16+EG18+EG19</f>
        <v>80</v>
      </c>
      <c r="EH24" s="2">
        <f>EH15+EH16+EH18+EH19</f>
        <v>62</v>
      </c>
    </row>
    <row r="25" spans="1:138" x14ac:dyDescent="0.35">
      <c r="B25" s="3">
        <v>42</v>
      </c>
      <c r="C25" s="3"/>
    </row>
    <row r="26" spans="1:138" x14ac:dyDescent="0.35">
      <c r="B26" s="12">
        <v>54</v>
      </c>
      <c r="C26" s="3">
        <v>35</v>
      </c>
    </row>
    <row r="27" spans="1:138" x14ac:dyDescent="0.35">
      <c r="B27" s="12">
        <v>22</v>
      </c>
      <c r="C27" s="3">
        <v>45</v>
      </c>
    </row>
    <row r="28" spans="1:138" x14ac:dyDescent="0.35">
      <c r="B28" s="12">
        <v>70</v>
      </c>
      <c r="C28" s="3">
        <v>40</v>
      </c>
    </row>
    <row r="29" spans="1:138" x14ac:dyDescent="0.35">
      <c r="B29" s="12">
        <v>28</v>
      </c>
      <c r="C29" s="3">
        <v>30</v>
      </c>
    </row>
    <row r="30" spans="1:138" x14ac:dyDescent="0.35">
      <c r="B30" s="12">
        <v>0</v>
      </c>
      <c r="C30" s="3">
        <v>50</v>
      </c>
    </row>
    <row r="31" spans="1:138" x14ac:dyDescent="0.35">
      <c r="B31" s="12">
        <v>20</v>
      </c>
      <c r="C31" s="3">
        <v>40</v>
      </c>
    </row>
    <row r="32" spans="1:138" x14ac:dyDescent="0.35">
      <c r="B32" s="12">
        <v>38</v>
      </c>
      <c r="C32" s="3">
        <v>30</v>
      </c>
    </row>
    <row r="33" spans="2:2" x14ac:dyDescent="0.35">
      <c r="B33" s="12">
        <v>40</v>
      </c>
    </row>
  </sheetData>
  <mergeCells count="30">
    <mergeCell ref="AR2:AV2"/>
    <mergeCell ref="AW2:BA2"/>
    <mergeCell ref="BB2:BF2"/>
    <mergeCell ref="B21:C21"/>
    <mergeCell ref="B11:C11"/>
    <mergeCell ref="B20:C20"/>
    <mergeCell ref="D2:H2"/>
    <mergeCell ref="I2:M2"/>
    <mergeCell ref="AC2:AG2"/>
    <mergeCell ref="AH2:AL2"/>
    <mergeCell ref="AM2:AQ2"/>
    <mergeCell ref="X2:AB2"/>
    <mergeCell ref="N2:R2"/>
    <mergeCell ref="S2:W2"/>
    <mergeCell ref="BG2:BK2"/>
    <mergeCell ref="BL2:BP2"/>
    <mergeCell ref="BQ2:BU2"/>
    <mergeCell ref="BV2:BZ2"/>
    <mergeCell ref="CA2:CE2"/>
    <mergeCell ref="DE2:DI2"/>
    <mergeCell ref="CF2:CJ2"/>
    <mergeCell ref="CK2:CO2"/>
    <mergeCell ref="CP2:CT2"/>
    <mergeCell ref="CU2:CY2"/>
    <mergeCell ref="CZ2:DD2"/>
    <mergeCell ref="ED2:EH2"/>
    <mergeCell ref="DJ2:DN2"/>
    <mergeCell ref="DO2:DS2"/>
    <mergeCell ref="DT2:DX2"/>
    <mergeCell ref="DY2:EC2"/>
  </mergeCells>
  <pageMargins left="0.7" right="0.7" top="0.75" bottom="0.75" header="0.3" footer="0.3"/>
  <headerFooter>
    <oddFooter>&amp;L_x000D_&amp;1#&amp;"Calibri Light"&amp;8&amp;K000000 Classified as Public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645A6-7E84-484B-9D51-B6512879D31C}">
  <dimension ref="A2:DS35"/>
  <sheetViews>
    <sheetView zoomScale="60" zoomScaleNormal="60" workbookViewId="0">
      <pane xSplit="3" ySplit="3" topLeftCell="CU4" activePane="bottomRight" state="frozen"/>
      <selection pane="topRight" activeCell="C1" sqref="C1"/>
      <selection pane="bottomLeft" activeCell="A4" sqref="A4"/>
      <selection pane="bottomRight" activeCell="DU6" sqref="DU6"/>
    </sheetView>
  </sheetViews>
  <sheetFormatPr defaultRowHeight="14.5" x14ac:dyDescent="0.35"/>
  <cols>
    <col min="1" max="1" width="4.1796875" bestFit="1" customWidth="1"/>
    <col min="2" max="2" width="16.6328125" bestFit="1" customWidth="1"/>
    <col min="3" max="3" width="14.453125" bestFit="1" customWidth="1"/>
    <col min="4" max="5" width="9.36328125" hidden="1" customWidth="1"/>
    <col min="6" max="6" width="10.08984375" hidden="1" customWidth="1"/>
    <col min="7" max="7" width="8.7265625" hidden="1" customWidth="1"/>
    <col min="8" max="8" width="9.1796875" hidden="1" customWidth="1"/>
    <col min="9" max="10" width="9.36328125" hidden="1" customWidth="1"/>
    <col min="11" max="11" width="10.08984375" hidden="1" customWidth="1"/>
    <col min="12" max="12" width="8.7265625" hidden="1" customWidth="1"/>
    <col min="13" max="13" width="9.1796875" hidden="1" customWidth="1"/>
    <col min="14" max="15" width="9.36328125" hidden="1" customWidth="1"/>
    <col min="16" max="16" width="10.08984375" hidden="1" customWidth="1"/>
    <col min="17" max="17" width="8.7265625" hidden="1" customWidth="1"/>
    <col min="18" max="18" width="9.1796875" hidden="1" customWidth="1"/>
    <col min="19" max="20" width="9.36328125" hidden="1" customWidth="1"/>
    <col min="21" max="21" width="10.08984375" hidden="1" customWidth="1"/>
    <col min="22" max="22" width="8.7265625" hidden="1" customWidth="1"/>
    <col min="23" max="23" width="9.1796875" hidden="1" customWidth="1"/>
    <col min="24" max="24" width="6.6328125" hidden="1" customWidth="1"/>
    <col min="25" max="25" width="6" hidden="1" customWidth="1"/>
    <col min="26" max="26" width="8" hidden="1" customWidth="1"/>
    <col min="27" max="27" width="0" hidden="1" customWidth="1"/>
    <col min="28" max="28" width="9.1796875" hidden="1" customWidth="1"/>
    <col min="29" max="108" width="0" hidden="1" customWidth="1"/>
  </cols>
  <sheetData>
    <row r="2" spans="1:123" x14ac:dyDescent="0.35">
      <c r="B2" s="7" t="s">
        <v>38</v>
      </c>
      <c r="C2" s="7"/>
      <c r="D2" s="31">
        <v>46055</v>
      </c>
      <c r="E2" s="32"/>
      <c r="F2" s="32"/>
      <c r="G2" s="32"/>
      <c r="H2" s="32"/>
      <c r="I2" s="41">
        <v>46056</v>
      </c>
      <c r="J2" s="42"/>
      <c r="K2" s="42"/>
      <c r="L2" s="42"/>
      <c r="M2" s="42"/>
      <c r="N2" s="31">
        <v>46057</v>
      </c>
      <c r="O2" s="32"/>
      <c r="P2" s="32"/>
      <c r="Q2" s="32"/>
      <c r="R2" s="32"/>
      <c r="S2" s="41">
        <v>46058</v>
      </c>
      <c r="T2" s="42"/>
      <c r="U2" s="42"/>
      <c r="V2" s="42"/>
      <c r="W2" s="42"/>
      <c r="X2" s="38">
        <v>46059</v>
      </c>
      <c r="Y2" s="39"/>
      <c r="Z2" s="39"/>
      <c r="AA2" s="39"/>
      <c r="AB2" s="40"/>
      <c r="AC2" s="41">
        <v>46060</v>
      </c>
      <c r="AD2" s="42"/>
      <c r="AE2" s="42"/>
      <c r="AF2" s="42"/>
      <c r="AG2" s="42"/>
      <c r="AH2" s="38">
        <v>46062</v>
      </c>
      <c r="AI2" s="39"/>
      <c r="AJ2" s="39"/>
      <c r="AK2" s="39"/>
      <c r="AL2" s="40"/>
      <c r="AM2" s="41">
        <v>46063</v>
      </c>
      <c r="AN2" s="42"/>
      <c r="AO2" s="42"/>
      <c r="AP2" s="42"/>
      <c r="AQ2" s="42"/>
      <c r="AR2" s="38">
        <v>46064</v>
      </c>
      <c r="AS2" s="39"/>
      <c r="AT2" s="39"/>
      <c r="AU2" s="39"/>
      <c r="AV2" s="40"/>
      <c r="AW2" s="41">
        <v>46065</v>
      </c>
      <c r="AX2" s="42"/>
      <c r="AY2" s="42"/>
      <c r="AZ2" s="42"/>
      <c r="BA2" s="42"/>
      <c r="BB2" s="38">
        <v>46066</v>
      </c>
      <c r="BC2" s="39"/>
      <c r="BD2" s="39"/>
      <c r="BE2" s="39"/>
      <c r="BF2" s="40"/>
      <c r="BG2" s="41">
        <v>46067</v>
      </c>
      <c r="BH2" s="42"/>
      <c r="BI2" s="42"/>
      <c r="BJ2" s="42"/>
      <c r="BK2" s="42"/>
      <c r="BL2" s="38">
        <v>46069</v>
      </c>
      <c r="BM2" s="39"/>
      <c r="BN2" s="39"/>
      <c r="BO2" s="39"/>
      <c r="BP2" s="40"/>
      <c r="BQ2" s="41">
        <v>46070</v>
      </c>
      <c r="BR2" s="42"/>
      <c r="BS2" s="42"/>
      <c r="BT2" s="42"/>
      <c r="BU2" s="42"/>
      <c r="BV2" s="38">
        <v>46071</v>
      </c>
      <c r="BW2" s="39"/>
      <c r="BX2" s="39"/>
      <c r="BY2" s="39"/>
      <c r="BZ2" s="40"/>
      <c r="CA2" s="41">
        <v>46072</v>
      </c>
      <c r="CB2" s="42"/>
      <c r="CC2" s="42"/>
      <c r="CD2" s="42"/>
      <c r="CE2" s="42"/>
      <c r="CF2" s="38">
        <v>46073</v>
      </c>
      <c r="CG2" s="39"/>
      <c r="CH2" s="39"/>
      <c r="CI2" s="39"/>
      <c r="CJ2" s="40"/>
      <c r="CK2" s="41">
        <v>46074</v>
      </c>
      <c r="CL2" s="42"/>
      <c r="CM2" s="42"/>
      <c r="CN2" s="42"/>
      <c r="CO2" s="42"/>
      <c r="CP2" s="38">
        <v>46076</v>
      </c>
      <c r="CQ2" s="39"/>
      <c r="CR2" s="39"/>
      <c r="CS2" s="39"/>
      <c r="CT2" s="40"/>
      <c r="CU2" s="41">
        <v>46077</v>
      </c>
      <c r="CV2" s="42"/>
      <c r="CW2" s="42"/>
      <c r="CX2" s="42"/>
      <c r="CY2" s="42"/>
      <c r="CZ2" s="38">
        <v>46078</v>
      </c>
      <c r="DA2" s="39"/>
      <c r="DB2" s="39"/>
      <c r="DC2" s="39"/>
      <c r="DD2" s="40"/>
      <c r="DE2" s="41">
        <v>46079</v>
      </c>
      <c r="DF2" s="42"/>
      <c r="DG2" s="42"/>
      <c r="DH2" s="42"/>
      <c r="DI2" s="42"/>
      <c r="DJ2" s="38">
        <v>46080</v>
      </c>
      <c r="DK2" s="39"/>
      <c r="DL2" s="39"/>
      <c r="DM2" s="39"/>
      <c r="DN2" s="40"/>
      <c r="DO2" s="41">
        <v>46081</v>
      </c>
      <c r="DP2" s="42"/>
      <c r="DQ2" s="42"/>
      <c r="DR2" s="42"/>
      <c r="DS2" s="42"/>
    </row>
    <row r="3" spans="1:123" s="1" customFormat="1" ht="43.5" x14ac:dyDescent="0.35">
      <c r="B3" s="4" t="s">
        <v>21</v>
      </c>
      <c r="C3" s="4" t="s">
        <v>22</v>
      </c>
      <c r="D3" s="5" t="s">
        <v>46</v>
      </c>
      <c r="E3" s="5" t="s">
        <v>47</v>
      </c>
      <c r="F3" s="5" t="s">
        <v>48</v>
      </c>
      <c r="G3" s="5" t="s">
        <v>49</v>
      </c>
      <c r="H3" s="5" t="s">
        <v>50</v>
      </c>
      <c r="I3" s="6" t="s">
        <v>51</v>
      </c>
      <c r="J3" s="6" t="s">
        <v>47</v>
      </c>
      <c r="K3" s="6" t="s">
        <v>48</v>
      </c>
      <c r="L3" s="6" t="s">
        <v>49</v>
      </c>
      <c r="M3" s="6" t="s">
        <v>52</v>
      </c>
      <c r="N3" s="5" t="s">
        <v>46</v>
      </c>
      <c r="O3" s="5" t="s">
        <v>47</v>
      </c>
      <c r="P3" s="5" t="s">
        <v>48</v>
      </c>
      <c r="Q3" s="5" t="s">
        <v>49</v>
      </c>
      <c r="R3" s="5" t="s">
        <v>50</v>
      </c>
      <c r="S3" s="6" t="s">
        <v>51</v>
      </c>
      <c r="T3" s="6" t="s">
        <v>47</v>
      </c>
      <c r="U3" s="6" t="s">
        <v>48</v>
      </c>
      <c r="V3" s="6" t="s">
        <v>49</v>
      </c>
      <c r="W3" s="6" t="s">
        <v>52</v>
      </c>
      <c r="X3" s="5" t="s">
        <v>51</v>
      </c>
      <c r="Y3" s="5" t="s">
        <v>47</v>
      </c>
      <c r="Z3" s="5" t="s">
        <v>48</v>
      </c>
      <c r="AA3" s="5" t="s">
        <v>49</v>
      </c>
      <c r="AB3" s="5" t="s">
        <v>52</v>
      </c>
      <c r="AC3" s="6" t="s">
        <v>51</v>
      </c>
      <c r="AD3" s="6" t="s">
        <v>47</v>
      </c>
      <c r="AE3" s="6" t="s">
        <v>48</v>
      </c>
      <c r="AF3" s="6" t="s">
        <v>49</v>
      </c>
      <c r="AG3" s="6" t="s">
        <v>52</v>
      </c>
      <c r="AH3" s="5" t="s">
        <v>51</v>
      </c>
      <c r="AI3" s="5" t="s">
        <v>47</v>
      </c>
      <c r="AJ3" s="5" t="s">
        <v>48</v>
      </c>
      <c r="AK3" s="5" t="s">
        <v>49</v>
      </c>
      <c r="AL3" s="5" t="s">
        <v>52</v>
      </c>
      <c r="AM3" s="6" t="s">
        <v>51</v>
      </c>
      <c r="AN3" s="6" t="s">
        <v>47</v>
      </c>
      <c r="AO3" s="6" t="s">
        <v>48</v>
      </c>
      <c r="AP3" s="6" t="s">
        <v>49</v>
      </c>
      <c r="AQ3" s="6" t="s">
        <v>52</v>
      </c>
      <c r="AR3" s="5" t="s">
        <v>51</v>
      </c>
      <c r="AS3" s="5" t="s">
        <v>47</v>
      </c>
      <c r="AT3" s="5" t="s">
        <v>48</v>
      </c>
      <c r="AU3" s="5" t="s">
        <v>49</v>
      </c>
      <c r="AV3" s="5" t="s">
        <v>52</v>
      </c>
      <c r="AW3" s="6" t="s">
        <v>51</v>
      </c>
      <c r="AX3" s="6" t="s">
        <v>47</v>
      </c>
      <c r="AY3" s="6" t="s">
        <v>48</v>
      </c>
      <c r="AZ3" s="6" t="s">
        <v>49</v>
      </c>
      <c r="BA3" s="6" t="s">
        <v>52</v>
      </c>
      <c r="BB3" s="5" t="s">
        <v>51</v>
      </c>
      <c r="BC3" s="5" t="s">
        <v>47</v>
      </c>
      <c r="BD3" s="5" t="s">
        <v>48</v>
      </c>
      <c r="BE3" s="5" t="s">
        <v>49</v>
      </c>
      <c r="BF3" s="5" t="s">
        <v>52</v>
      </c>
      <c r="BG3" s="6" t="s">
        <v>51</v>
      </c>
      <c r="BH3" s="6" t="s">
        <v>47</v>
      </c>
      <c r="BI3" s="6" t="s">
        <v>48</v>
      </c>
      <c r="BJ3" s="6" t="s">
        <v>49</v>
      </c>
      <c r="BK3" s="6" t="s">
        <v>52</v>
      </c>
      <c r="BL3" s="5" t="s">
        <v>51</v>
      </c>
      <c r="BM3" s="5" t="s">
        <v>47</v>
      </c>
      <c r="BN3" s="5" t="s">
        <v>48</v>
      </c>
      <c r="BO3" s="5" t="s">
        <v>49</v>
      </c>
      <c r="BP3" s="5" t="s">
        <v>52</v>
      </c>
      <c r="BQ3" s="6" t="s">
        <v>51</v>
      </c>
      <c r="BR3" s="6" t="s">
        <v>47</v>
      </c>
      <c r="BS3" s="6" t="s">
        <v>48</v>
      </c>
      <c r="BT3" s="6" t="s">
        <v>49</v>
      </c>
      <c r="BU3" s="6" t="s">
        <v>52</v>
      </c>
      <c r="BV3" s="5" t="s">
        <v>51</v>
      </c>
      <c r="BW3" s="5" t="s">
        <v>47</v>
      </c>
      <c r="BX3" s="5" t="s">
        <v>48</v>
      </c>
      <c r="BY3" s="5" t="s">
        <v>49</v>
      </c>
      <c r="BZ3" s="5" t="s">
        <v>52</v>
      </c>
      <c r="CA3" s="6" t="s">
        <v>51</v>
      </c>
      <c r="CB3" s="6" t="s">
        <v>47</v>
      </c>
      <c r="CC3" s="6" t="s">
        <v>48</v>
      </c>
      <c r="CD3" s="6" t="s">
        <v>49</v>
      </c>
      <c r="CE3" s="6" t="s">
        <v>52</v>
      </c>
      <c r="CF3" s="5" t="s">
        <v>51</v>
      </c>
      <c r="CG3" s="5" t="s">
        <v>47</v>
      </c>
      <c r="CH3" s="5" t="s">
        <v>48</v>
      </c>
      <c r="CI3" s="5" t="s">
        <v>49</v>
      </c>
      <c r="CJ3" s="5" t="s">
        <v>52</v>
      </c>
      <c r="CK3" s="6" t="s">
        <v>51</v>
      </c>
      <c r="CL3" s="6" t="s">
        <v>47</v>
      </c>
      <c r="CM3" s="6" t="s">
        <v>48</v>
      </c>
      <c r="CN3" s="6" t="s">
        <v>49</v>
      </c>
      <c r="CO3" s="6" t="s">
        <v>52</v>
      </c>
      <c r="CP3" s="5" t="s">
        <v>51</v>
      </c>
      <c r="CQ3" s="5" t="s">
        <v>47</v>
      </c>
      <c r="CR3" s="5" t="s">
        <v>48</v>
      </c>
      <c r="CS3" s="5" t="s">
        <v>49</v>
      </c>
      <c r="CT3" s="5" t="s">
        <v>52</v>
      </c>
      <c r="CU3" s="6" t="s">
        <v>51</v>
      </c>
      <c r="CV3" s="6" t="s">
        <v>47</v>
      </c>
      <c r="CW3" s="6" t="s">
        <v>48</v>
      </c>
      <c r="CX3" s="6" t="s">
        <v>49</v>
      </c>
      <c r="CY3" s="6" t="s">
        <v>52</v>
      </c>
      <c r="CZ3" s="5" t="s">
        <v>51</v>
      </c>
      <c r="DA3" s="5" t="s">
        <v>47</v>
      </c>
      <c r="DB3" s="5" t="s">
        <v>48</v>
      </c>
      <c r="DC3" s="5" t="s">
        <v>49</v>
      </c>
      <c r="DD3" s="5" t="s">
        <v>52</v>
      </c>
      <c r="DE3" s="6" t="s">
        <v>51</v>
      </c>
      <c r="DF3" s="6" t="s">
        <v>47</v>
      </c>
      <c r="DG3" s="6" t="s">
        <v>48</v>
      </c>
      <c r="DH3" s="6" t="s">
        <v>49</v>
      </c>
      <c r="DI3" s="6" t="s">
        <v>52</v>
      </c>
      <c r="DJ3" s="5" t="s">
        <v>51</v>
      </c>
      <c r="DK3" s="5" t="s">
        <v>47</v>
      </c>
      <c r="DL3" s="5" t="s">
        <v>48</v>
      </c>
      <c r="DM3" s="5" t="s">
        <v>49</v>
      </c>
      <c r="DN3" s="5" t="s">
        <v>52</v>
      </c>
      <c r="DO3" s="6" t="s">
        <v>51</v>
      </c>
      <c r="DP3" s="6" t="s">
        <v>47</v>
      </c>
      <c r="DQ3" s="6" t="s">
        <v>48</v>
      </c>
      <c r="DR3" s="6" t="s">
        <v>49</v>
      </c>
      <c r="DS3" s="6" t="s">
        <v>52</v>
      </c>
    </row>
    <row r="4" spans="1:123" x14ac:dyDescent="0.35">
      <c r="A4" s="12">
        <v>0</v>
      </c>
      <c r="B4" s="2" t="s">
        <v>0</v>
      </c>
      <c r="C4" s="2" t="s">
        <v>13</v>
      </c>
      <c r="D4" s="3">
        <f t="shared" ref="D4:D10" si="0">A4</f>
        <v>0</v>
      </c>
      <c r="E4" s="3">
        <v>28</v>
      </c>
      <c r="F4" s="3">
        <f>42+28</f>
        <v>70</v>
      </c>
      <c r="G4" s="3">
        <f>70+14</f>
        <v>84</v>
      </c>
      <c r="H4" s="3">
        <v>66</v>
      </c>
      <c r="I4" s="3">
        <f>D4+G4-H4</f>
        <v>18</v>
      </c>
      <c r="J4" s="3">
        <f>E4+F4-G4</f>
        <v>14</v>
      </c>
      <c r="K4" s="3">
        <v>56</v>
      </c>
      <c r="L4" s="3">
        <v>56</v>
      </c>
      <c r="M4" s="3">
        <v>56</v>
      </c>
      <c r="N4" s="3">
        <f>I4+L4-M4</f>
        <v>18</v>
      </c>
      <c r="O4" s="3">
        <f>J4+K4-L4</f>
        <v>14</v>
      </c>
      <c r="P4" s="3">
        <v>70</v>
      </c>
      <c r="Q4" s="3">
        <v>70</v>
      </c>
      <c r="R4" s="3">
        <v>61</v>
      </c>
      <c r="S4" s="3">
        <f>N4+Q4-R4</f>
        <v>27</v>
      </c>
      <c r="T4" s="3">
        <f>O4+P4-Q4</f>
        <v>14</v>
      </c>
      <c r="U4" s="3">
        <v>56</v>
      </c>
      <c r="V4" s="3">
        <v>56</v>
      </c>
      <c r="W4" s="3">
        <v>51</v>
      </c>
      <c r="X4" s="3">
        <f>S4+V4-W4</f>
        <v>32</v>
      </c>
      <c r="Y4" s="3">
        <f>T4+U4-V4</f>
        <v>14</v>
      </c>
      <c r="Z4" s="3">
        <v>56</v>
      </c>
      <c r="AA4" s="3">
        <v>56</v>
      </c>
      <c r="AB4" s="3">
        <v>57</v>
      </c>
      <c r="AC4" s="3">
        <f>X4+AA4-AB4</f>
        <v>31</v>
      </c>
      <c r="AD4" s="3">
        <f>Y4+Z4-AA4</f>
        <v>14</v>
      </c>
      <c r="AE4" s="3">
        <v>56</v>
      </c>
      <c r="AF4" s="3">
        <v>42</v>
      </c>
      <c r="AG4" s="3">
        <v>28</v>
      </c>
      <c r="AH4" s="3">
        <f>AC4+AF4-AG4</f>
        <v>45</v>
      </c>
      <c r="AI4" s="3">
        <f>AD4+AE4-AF4</f>
        <v>28</v>
      </c>
      <c r="AJ4" s="3">
        <v>28</v>
      </c>
      <c r="AK4" s="3">
        <v>14</v>
      </c>
      <c r="AL4" s="3">
        <v>12</v>
      </c>
      <c r="AM4" s="3">
        <f>AH4+AK4-AL4</f>
        <v>47</v>
      </c>
      <c r="AN4" s="3">
        <f>AI4+AJ4-AK4</f>
        <v>42</v>
      </c>
      <c r="AO4" s="3">
        <v>28</v>
      </c>
      <c r="AP4" s="3">
        <v>14</v>
      </c>
      <c r="AQ4" s="3">
        <v>22</v>
      </c>
      <c r="AR4" s="3">
        <f>AM4+AP4-AQ4</f>
        <v>39</v>
      </c>
      <c r="AS4" s="3">
        <f>AN4+AO4-AP4</f>
        <v>56</v>
      </c>
      <c r="AT4" s="3">
        <v>0</v>
      </c>
      <c r="AU4" s="3">
        <v>28</v>
      </c>
      <c r="AV4" s="3">
        <v>15</v>
      </c>
      <c r="AW4" s="3">
        <f>AR4+AU4-AV4</f>
        <v>52</v>
      </c>
      <c r="AX4" s="3">
        <f>AS4+AT4-AU4</f>
        <v>28</v>
      </c>
      <c r="AY4" s="3">
        <v>28</v>
      </c>
      <c r="AZ4" s="3">
        <v>14</v>
      </c>
      <c r="BA4" s="3">
        <v>32</v>
      </c>
      <c r="BB4" s="3">
        <f>AW4+AZ4-BA4</f>
        <v>34</v>
      </c>
      <c r="BC4" s="3">
        <f>AX4+AY4-AZ4</f>
        <v>42</v>
      </c>
      <c r="BD4" s="3">
        <v>14</v>
      </c>
      <c r="BE4" s="3">
        <v>14</v>
      </c>
      <c r="BF4" s="3">
        <v>19</v>
      </c>
      <c r="BG4" s="3">
        <f>BB4+BE4-BF4</f>
        <v>29</v>
      </c>
      <c r="BH4" s="3">
        <f>BC4+BD4-BE4</f>
        <v>42</v>
      </c>
      <c r="BI4" s="17"/>
      <c r="BJ4" s="3"/>
      <c r="BK4" s="3">
        <v>0</v>
      </c>
      <c r="BL4" s="3">
        <f>BG4+BJ4-BK4</f>
        <v>29</v>
      </c>
      <c r="BM4" s="3">
        <f>BH4+BI4-BJ4</f>
        <v>42</v>
      </c>
      <c r="BN4" s="3">
        <v>28</v>
      </c>
      <c r="BO4" s="3">
        <v>28</v>
      </c>
      <c r="BP4" s="3">
        <v>13</v>
      </c>
      <c r="BQ4" s="3">
        <f>BL4+BO4-BP4</f>
        <v>44</v>
      </c>
      <c r="BR4" s="3">
        <f>BM4+BN4-BO4</f>
        <v>42</v>
      </c>
      <c r="BS4" s="3">
        <v>42</v>
      </c>
      <c r="BT4" s="3">
        <v>28</v>
      </c>
      <c r="BU4" s="3">
        <v>44</v>
      </c>
      <c r="BV4" s="3">
        <f>BQ4+BT4-BU4</f>
        <v>28</v>
      </c>
      <c r="BW4" s="3">
        <f>BR4+BS4-BT4</f>
        <v>56</v>
      </c>
      <c r="BX4" s="3">
        <f>84+28</f>
        <v>112</v>
      </c>
      <c r="BY4" s="3">
        <v>84</v>
      </c>
      <c r="BZ4" s="3">
        <v>81</v>
      </c>
      <c r="CA4" s="3">
        <f>BV4+BY4-BZ4</f>
        <v>31</v>
      </c>
      <c r="CB4" s="3">
        <f>BW4+BX4-BY4</f>
        <v>84</v>
      </c>
      <c r="CC4" s="3">
        <v>42</v>
      </c>
      <c r="CD4" s="3">
        <v>98</v>
      </c>
      <c r="CE4" s="3">
        <v>56</v>
      </c>
      <c r="CF4" s="3">
        <f>CA4+CD4-CE4</f>
        <v>73</v>
      </c>
      <c r="CG4" s="3">
        <f>CB4+CC4-CD4</f>
        <v>28</v>
      </c>
      <c r="CH4" s="3">
        <f>56+56</f>
        <v>112</v>
      </c>
      <c r="CI4" s="3">
        <v>84</v>
      </c>
      <c r="CJ4" s="3">
        <v>78</v>
      </c>
      <c r="CK4" s="3">
        <f>CF4+CI4-CJ4</f>
        <v>79</v>
      </c>
      <c r="CL4" s="3">
        <f>CG4+CH4-CI4</f>
        <v>56</v>
      </c>
      <c r="CM4" s="3">
        <v>112</v>
      </c>
      <c r="CN4" s="3">
        <v>56</v>
      </c>
      <c r="CO4" s="3">
        <v>57</v>
      </c>
      <c r="CP4" s="3">
        <f>CK4+CN4-CO4</f>
        <v>78</v>
      </c>
      <c r="CQ4" s="3">
        <f>CL4+CM4-CN4</f>
        <v>112</v>
      </c>
      <c r="CR4" s="3">
        <v>14</v>
      </c>
      <c r="CS4" s="3">
        <v>56</v>
      </c>
      <c r="CT4" s="3">
        <v>62</v>
      </c>
      <c r="CU4" s="3">
        <f>CP4+CS4-CT4</f>
        <v>72</v>
      </c>
      <c r="CV4" s="3">
        <f>CQ4+CR4-CS4</f>
        <v>70</v>
      </c>
      <c r="CW4" s="3">
        <v>42</v>
      </c>
      <c r="CX4" s="3">
        <v>98</v>
      </c>
      <c r="CY4" s="3">
        <v>99</v>
      </c>
      <c r="CZ4" s="3">
        <f>CU4+CX4-CY4</f>
        <v>71</v>
      </c>
      <c r="DA4" s="3">
        <f>CV4+CW4-CX4</f>
        <v>14</v>
      </c>
      <c r="DB4" s="3">
        <v>126</v>
      </c>
      <c r="DC4" s="3">
        <v>84</v>
      </c>
      <c r="DD4" s="3">
        <v>83</v>
      </c>
      <c r="DE4" s="3">
        <f>CZ4+DC4-DD4</f>
        <v>72</v>
      </c>
      <c r="DF4" s="3">
        <f>DA4+DB4-DC4</f>
        <v>56</v>
      </c>
      <c r="DG4" s="3">
        <v>252</v>
      </c>
      <c r="DH4" s="3">
        <v>182</v>
      </c>
      <c r="DI4" s="3">
        <v>153</v>
      </c>
      <c r="DJ4" s="3">
        <f>DE4+DH4-DI4</f>
        <v>101</v>
      </c>
      <c r="DK4" s="3">
        <f>DF4+DG4-DH4</f>
        <v>126</v>
      </c>
      <c r="DL4" s="3">
        <v>34</v>
      </c>
      <c r="DM4" s="3">
        <v>104</v>
      </c>
      <c r="DN4" s="3">
        <v>91</v>
      </c>
      <c r="DO4" s="3">
        <f>DJ4+DM4-DN4</f>
        <v>114</v>
      </c>
      <c r="DP4" s="3">
        <f>DK4+DL4-DM4</f>
        <v>56</v>
      </c>
      <c r="DQ4" s="3">
        <v>28</v>
      </c>
      <c r="DR4" s="3">
        <v>14</v>
      </c>
      <c r="DS4" s="3">
        <v>66</v>
      </c>
    </row>
    <row r="5" spans="1:123" x14ac:dyDescent="0.35">
      <c r="A5" s="12">
        <v>14</v>
      </c>
      <c r="B5" s="2" t="s">
        <v>1</v>
      </c>
      <c r="C5" s="2" t="s">
        <v>14</v>
      </c>
      <c r="D5" s="3">
        <f t="shared" si="0"/>
        <v>14</v>
      </c>
      <c r="E5" s="3">
        <v>14</v>
      </c>
      <c r="F5" s="3">
        <v>0</v>
      </c>
      <c r="G5" s="3">
        <v>14</v>
      </c>
      <c r="H5" s="3">
        <v>7</v>
      </c>
      <c r="I5" s="3">
        <f t="shared" ref="I5:I10" si="1">D5+G5-H5</f>
        <v>21</v>
      </c>
      <c r="J5" s="3">
        <f t="shared" ref="J5:J10" si="2">E5+F5-G5</f>
        <v>0</v>
      </c>
      <c r="K5" s="3">
        <v>14</v>
      </c>
      <c r="L5" s="3">
        <v>0</v>
      </c>
      <c r="M5" s="3">
        <v>1</v>
      </c>
      <c r="N5" s="3">
        <f t="shared" ref="N5:N10" si="3">I5+L5-M5</f>
        <v>20</v>
      </c>
      <c r="O5" s="3">
        <f t="shared" ref="O5:O10" si="4">J5+K5-L5</f>
        <v>14</v>
      </c>
      <c r="P5" s="3">
        <v>0</v>
      </c>
      <c r="Q5" s="3">
        <v>0</v>
      </c>
      <c r="R5" s="3">
        <v>0</v>
      </c>
      <c r="S5" s="3">
        <f t="shared" ref="S5:S10" si="5">N5+Q5-R5</f>
        <v>20</v>
      </c>
      <c r="T5" s="3">
        <f t="shared" ref="T5:T7" si="6">O5+P5-Q5</f>
        <v>14</v>
      </c>
      <c r="U5" s="3">
        <v>0</v>
      </c>
      <c r="V5" s="3">
        <v>0</v>
      </c>
      <c r="W5" s="3">
        <v>2</v>
      </c>
      <c r="X5" s="3">
        <f t="shared" ref="X5:X10" si="7">S5+V5-W5</f>
        <v>18</v>
      </c>
      <c r="Y5" s="3">
        <f t="shared" ref="Y5:Y7" si="8">T5+U5-V5</f>
        <v>14</v>
      </c>
      <c r="Z5" s="3"/>
      <c r="AA5" s="3">
        <v>0</v>
      </c>
      <c r="AB5" s="3">
        <v>5</v>
      </c>
      <c r="AC5" s="3">
        <f t="shared" ref="AC5:AC10" si="9">X5+AA5-AB5</f>
        <v>13</v>
      </c>
      <c r="AD5" s="3">
        <f t="shared" ref="AD5:AD7" si="10">Y5+Z5-AA5</f>
        <v>14</v>
      </c>
      <c r="AE5" s="3">
        <v>0</v>
      </c>
      <c r="AF5" s="3">
        <v>0</v>
      </c>
      <c r="AG5" s="3">
        <v>0</v>
      </c>
      <c r="AH5" s="3">
        <f t="shared" ref="AH5:AH10" si="11">AC5+AF5-AG5</f>
        <v>13</v>
      </c>
      <c r="AI5" s="3">
        <f t="shared" ref="AI5:AI7" si="12">AD5+AE5-AF5</f>
        <v>14</v>
      </c>
      <c r="AJ5" s="3">
        <v>0</v>
      </c>
      <c r="AK5" s="3">
        <v>0</v>
      </c>
      <c r="AL5" s="3">
        <v>0</v>
      </c>
      <c r="AM5" s="3">
        <f t="shared" ref="AM5:AM10" si="13">AH5+AK5-AL5</f>
        <v>13</v>
      </c>
      <c r="AN5" s="3">
        <f t="shared" ref="AN5:AN7" si="14">AI5+AJ5-AK5</f>
        <v>14</v>
      </c>
      <c r="AO5" s="3">
        <v>0</v>
      </c>
      <c r="AP5" s="3">
        <v>14</v>
      </c>
      <c r="AQ5" s="3">
        <v>5</v>
      </c>
      <c r="AR5" s="3">
        <f t="shared" ref="AR5:AR10" si="15">AM5+AP5-AQ5</f>
        <v>22</v>
      </c>
      <c r="AS5" s="3">
        <f t="shared" ref="AS5:AS7" si="16">AN5+AO5-AP5</f>
        <v>0</v>
      </c>
      <c r="AT5" s="3">
        <v>0</v>
      </c>
      <c r="AU5" s="3">
        <v>0</v>
      </c>
      <c r="AV5" s="3">
        <v>1</v>
      </c>
      <c r="AW5" s="3">
        <f t="shared" ref="AW5:AW10" si="17">AR5+AU5-AV5</f>
        <v>21</v>
      </c>
      <c r="AX5" s="3">
        <f t="shared" ref="AX5:AX7" si="18">AS5+AT5-AU5</f>
        <v>0</v>
      </c>
      <c r="AY5" s="3">
        <v>28</v>
      </c>
      <c r="AZ5" s="3">
        <v>0</v>
      </c>
      <c r="BA5" s="3">
        <v>5</v>
      </c>
      <c r="BB5" s="3">
        <f t="shared" ref="BB5:BB10" si="19">AW5+AZ5-BA5</f>
        <v>16</v>
      </c>
      <c r="BC5" s="3">
        <f t="shared" ref="BC5:BC9" si="20">AX5+AY5-AZ5</f>
        <v>28</v>
      </c>
      <c r="BD5" s="3">
        <v>0</v>
      </c>
      <c r="BE5" s="3">
        <v>0</v>
      </c>
      <c r="BF5" s="3">
        <v>16</v>
      </c>
      <c r="BG5" s="3">
        <f t="shared" ref="BG5:BG10" si="21">BB5+BE5-BF5</f>
        <v>0</v>
      </c>
      <c r="BH5" s="3">
        <f t="shared" ref="BH5:BH8" si="22">BC5+BD5-BE5</f>
        <v>28</v>
      </c>
      <c r="BI5" s="17"/>
      <c r="BJ5" s="3"/>
      <c r="BK5" s="3">
        <v>0</v>
      </c>
      <c r="BL5" s="3">
        <f t="shared" ref="BL5:BL10" si="23">BG5+BJ5-BK5</f>
        <v>0</v>
      </c>
      <c r="BM5" s="3">
        <f t="shared" ref="BM5:BM10" si="24">BH5+BI5-BJ5</f>
        <v>28</v>
      </c>
      <c r="BN5" s="3">
        <v>0</v>
      </c>
      <c r="BO5" s="3">
        <v>14</v>
      </c>
      <c r="BP5" s="3">
        <v>6</v>
      </c>
      <c r="BQ5" s="3">
        <f t="shared" ref="BQ5:BQ10" si="25">BL5+BO5-BP5</f>
        <v>8</v>
      </c>
      <c r="BR5" s="3">
        <f t="shared" ref="BR5:BR10" si="26">BM5+BN5-BO5</f>
        <v>14</v>
      </c>
      <c r="BS5" s="3">
        <v>14</v>
      </c>
      <c r="BT5" s="3">
        <v>0</v>
      </c>
      <c r="BU5" s="3">
        <v>0</v>
      </c>
      <c r="BV5" s="3">
        <f t="shared" ref="BV5:BV10" si="27">BQ5+BT5-BU5</f>
        <v>8</v>
      </c>
      <c r="BW5" s="3">
        <f t="shared" ref="BW5:BW10" si="28">BR5+BS5-BT5</f>
        <v>28</v>
      </c>
      <c r="BX5" s="3">
        <v>0</v>
      </c>
      <c r="BY5" s="3">
        <v>0</v>
      </c>
      <c r="BZ5" s="3">
        <v>1</v>
      </c>
      <c r="CA5" s="3">
        <f t="shared" ref="CA5:CA10" si="29">BV5+BY5-BZ5</f>
        <v>7</v>
      </c>
      <c r="CB5" s="3">
        <f t="shared" ref="CB5:CB10" si="30">BW5+BX5-BY5</f>
        <v>28</v>
      </c>
      <c r="CC5" s="3">
        <v>0</v>
      </c>
      <c r="CD5" s="3">
        <v>14</v>
      </c>
      <c r="CE5" s="3">
        <v>1</v>
      </c>
      <c r="CF5" s="3">
        <f t="shared" ref="CF5:CF10" si="31">CA5+CD5-CE5</f>
        <v>20</v>
      </c>
      <c r="CG5" s="3">
        <f t="shared" ref="CG5:CG10" si="32">CB5+CC5-CD5</f>
        <v>14</v>
      </c>
      <c r="CH5" s="3">
        <v>14</v>
      </c>
      <c r="CI5" s="3">
        <v>14</v>
      </c>
      <c r="CJ5" s="3">
        <v>6</v>
      </c>
      <c r="CK5" s="3">
        <f t="shared" ref="CK5:CK10" si="33">CF5+CI5-CJ5</f>
        <v>28</v>
      </c>
      <c r="CL5" s="3">
        <f t="shared" ref="CL5:CL10" si="34">CG5+CH5-CI5</f>
        <v>14</v>
      </c>
      <c r="CM5" s="3"/>
      <c r="CN5" s="3">
        <v>0</v>
      </c>
      <c r="CO5" s="3">
        <v>9</v>
      </c>
      <c r="CP5" s="3">
        <f t="shared" ref="CP5:CP10" si="35">CK5+CN5-CO5</f>
        <v>19</v>
      </c>
      <c r="CQ5" s="3">
        <f t="shared" ref="CQ5:CQ10" si="36">CL5+CM5-CN5</f>
        <v>14</v>
      </c>
      <c r="CR5" s="3">
        <v>14</v>
      </c>
      <c r="CS5" s="3">
        <v>14</v>
      </c>
      <c r="CT5" s="3">
        <v>8</v>
      </c>
      <c r="CU5" s="3">
        <f t="shared" ref="CU5:CU10" si="37">CP5+CS5-CT5</f>
        <v>25</v>
      </c>
      <c r="CV5" s="3">
        <f t="shared" ref="CV5:CV10" si="38">CQ5+CR5-CS5</f>
        <v>14</v>
      </c>
      <c r="CW5" s="3">
        <v>28</v>
      </c>
      <c r="CX5" s="3">
        <v>14</v>
      </c>
      <c r="CY5" s="3">
        <v>19</v>
      </c>
      <c r="CZ5" s="3">
        <f t="shared" ref="CZ5:CZ10" si="39">CU5+CX5-CY5</f>
        <v>20</v>
      </c>
      <c r="DA5" s="3">
        <f t="shared" ref="DA5:DA10" si="40">CV5+CW5-CX5</f>
        <v>28</v>
      </c>
      <c r="DB5" s="3"/>
      <c r="DC5" s="3">
        <v>0</v>
      </c>
      <c r="DD5" s="3">
        <v>5</v>
      </c>
      <c r="DE5" s="3">
        <f t="shared" ref="DE5:DE10" si="41">CZ5+DC5-DD5</f>
        <v>15</v>
      </c>
      <c r="DF5" s="3">
        <f t="shared" ref="DF5:DF10" si="42">DA5+DB5-DC5</f>
        <v>28</v>
      </c>
      <c r="DG5" s="3"/>
      <c r="DH5" s="3">
        <v>14</v>
      </c>
      <c r="DI5" s="3">
        <v>6</v>
      </c>
      <c r="DJ5" s="3">
        <f t="shared" ref="DJ5:DJ10" si="43">DE5+DH5-DI5</f>
        <v>23</v>
      </c>
      <c r="DK5" s="3">
        <f t="shared" ref="DK5:DK10" si="44">DF5+DG5-DH5</f>
        <v>14</v>
      </c>
      <c r="DL5" s="3"/>
      <c r="DM5" s="3">
        <v>14</v>
      </c>
      <c r="DN5" s="3">
        <v>6</v>
      </c>
      <c r="DO5" s="3">
        <f t="shared" ref="DO5:DO10" si="45">DJ5+DM5-DN5</f>
        <v>31</v>
      </c>
      <c r="DP5" s="3">
        <f t="shared" ref="DP5:DP10" si="46">DK5+DL5-DM5</f>
        <v>0</v>
      </c>
      <c r="DQ5" s="3"/>
      <c r="DR5" s="3">
        <v>0</v>
      </c>
      <c r="DS5" s="3">
        <v>17</v>
      </c>
    </row>
    <row r="6" spans="1:123" x14ac:dyDescent="0.35">
      <c r="A6" s="12">
        <v>0</v>
      </c>
      <c r="B6" s="2" t="s">
        <v>2</v>
      </c>
      <c r="C6" s="2" t="s">
        <v>15</v>
      </c>
      <c r="D6" s="3">
        <f t="shared" si="0"/>
        <v>0</v>
      </c>
      <c r="E6" s="3">
        <v>140</v>
      </c>
      <c r="F6" s="3">
        <f>112+14</f>
        <v>126</v>
      </c>
      <c r="G6" s="3">
        <v>196</v>
      </c>
      <c r="H6" s="3">
        <v>172</v>
      </c>
      <c r="I6" s="3">
        <f t="shared" si="1"/>
        <v>24</v>
      </c>
      <c r="J6" s="3">
        <f t="shared" si="2"/>
        <v>70</v>
      </c>
      <c r="K6" s="3">
        <f>112+70</f>
        <v>182</v>
      </c>
      <c r="L6" s="3">
        <v>182</v>
      </c>
      <c r="M6" s="3">
        <v>215</v>
      </c>
      <c r="N6" s="3">
        <f t="shared" si="3"/>
        <v>-9</v>
      </c>
      <c r="O6" s="3">
        <f t="shared" si="4"/>
        <v>70</v>
      </c>
      <c r="P6" s="3">
        <v>252</v>
      </c>
      <c r="Q6" s="3">
        <v>224</v>
      </c>
      <c r="R6" s="3">
        <v>239</v>
      </c>
      <c r="S6" s="3">
        <f t="shared" si="5"/>
        <v>-24</v>
      </c>
      <c r="T6" s="3">
        <f t="shared" si="6"/>
        <v>98</v>
      </c>
      <c r="U6" s="3">
        <f>126+28</f>
        <v>154</v>
      </c>
      <c r="V6" s="3">
        <v>224</v>
      </c>
      <c r="W6" s="3">
        <v>214</v>
      </c>
      <c r="X6" s="3">
        <f t="shared" si="7"/>
        <v>-14</v>
      </c>
      <c r="Y6" s="3">
        <f t="shared" si="8"/>
        <v>28</v>
      </c>
      <c r="Z6" s="3">
        <f>28+182</f>
        <v>210</v>
      </c>
      <c r="AA6" s="3">
        <v>210</v>
      </c>
      <c r="AB6" s="3">
        <v>195</v>
      </c>
      <c r="AC6" s="3">
        <f t="shared" si="9"/>
        <v>1</v>
      </c>
      <c r="AD6" s="3">
        <f t="shared" si="10"/>
        <v>28</v>
      </c>
      <c r="AE6" s="3">
        <v>224</v>
      </c>
      <c r="AF6" s="3">
        <v>140</v>
      </c>
      <c r="AG6" s="3">
        <v>131</v>
      </c>
      <c r="AH6" s="3">
        <f t="shared" si="11"/>
        <v>10</v>
      </c>
      <c r="AI6" s="3">
        <f t="shared" si="12"/>
        <v>112</v>
      </c>
      <c r="AJ6" s="3">
        <v>168</v>
      </c>
      <c r="AK6" s="3">
        <v>140</v>
      </c>
      <c r="AL6" s="3">
        <v>133</v>
      </c>
      <c r="AM6" s="3">
        <f t="shared" si="13"/>
        <v>17</v>
      </c>
      <c r="AN6" s="3">
        <f t="shared" si="14"/>
        <v>140</v>
      </c>
      <c r="AO6" s="3">
        <v>196</v>
      </c>
      <c r="AP6" s="3">
        <v>140</v>
      </c>
      <c r="AQ6" s="3">
        <v>160</v>
      </c>
      <c r="AR6" s="3">
        <f t="shared" si="15"/>
        <v>-3</v>
      </c>
      <c r="AS6" s="3">
        <f t="shared" si="16"/>
        <v>196</v>
      </c>
      <c r="AT6" s="3">
        <f>196+52</f>
        <v>248</v>
      </c>
      <c r="AU6" s="3">
        <v>248</v>
      </c>
      <c r="AV6" s="3">
        <v>177</v>
      </c>
      <c r="AW6" s="3">
        <f t="shared" si="17"/>
        <v>68</v>
      </c>
      <c r="AX6" s="3">
        <f t="shared" si="18"/>
        <v>196</v>
      </c>
      <c r="AY6" s="3">
        <v>126</v>
      </c>
      <c r="AZ6" s="3">
        <v>112</v>
      </c>
      <c r="BA6" s="3">
        <v>100</v>
      </c>
      <c r="BB6" s="3">
        <f t="shared" si="19"/>
        <v>80</v>
      </c>
      <c r="BC6" s="3">
        <f t="shared" si="20"/>
        <v>210</v>
      </c>
      <c r="BD6" s="3">
        <v>84</v>
      </c>
      <c r="BE6" s="3">
        <v>126</v>
      </c>
      <c r="BF6" s="3">
        <v>149</v>
      </c>
      <c r="BG6" s="3">
        <f t="shared" si="21"/>
        <v>57</v>
      </c>
      <c r="BH6" s="3">
        <f t="shared" si="22"/>
        <v>168</v>
      </c>
      <c r="BI6" s="17"/>
      <c r="BJ6" s="3"/>
      <c r="BK6" s="3">
        <v>0</v>
      </c>
      <c r="BL6" s="3">
        <f t="shared" si="23"/>
        <v>57</v>
      </c>
      <c r="BM6" s="3">
        <f t="shared" si="24"/>
        <v>168</v>
      </c>
      <c r="BN6" s="3">
        <v>294</v>
      </c>
      <c r="BO6" s="3">
        <v>182</v>
      </c>
      <c r="BP6" s="3">
        <v>148</v>
      </c>
      <c r="BQ6" s="3">
        <f t="shared" si="25"/>
        <v>91</v>
      </c>
      <c r="BR6" s="3">
        <f t="shared" si="26"/>
        <v>280</v>
      </c>
      <c r="BS6" s="3">
        <v>154</v>
      </c>
      <c r="BT6" s="3">
        <v>196</v>
      </c>
      <c r="BU6" s="3">
        <v>169</v>
      </c>
      <c r="BV6" s="3">
        <f t="shared" si="27"/>
        <v>118</v>
      </c>
      <c r="BW6" s="3">
        <f t="shared" si="28"/>
        <v>238</v>
      </c>
      <c r="BX6" s="3">
        <f>224+42</f>
        <v>266</v>
      </c>
      <c r="BY6" s="3">
        <v>182</v>
      </c>
      <c r="BZ6" s="3">
        <v>155</v>
      </c>
      <c r="CA6" s="3">
        <f t="shared" si="29"/>
        <v>145</v>
      </c>
      <c r="CB6" s="3">
        <f t="shared" si="30"/>
        <v>322</v>
      </c>
      <c r="CC6" s="3">
        <v>210</v>
      </c>
      <c r="CD6" s="3">
        <f>168+28</f>
        <v>196</v>
      </c>
      <c r="CE6" s="3">
        <v>244</v>
      </c>
      <c r="CF6" s="3">
        <f t="shared" si="31"/>
        <v>97</v>
      </c>
      <c r="CG6" s="3">
        <f t="shared" si="32"/>
        <v>336</v>
      </c>
      <c r="CH6" s="3">
        <f>56+84</f>
        <v>140</v>
      </c>
      <c r="CI6" s="3">
        <v>140</v>
      </c>
      <c r="CJ6" s="3">
        <v>176</v>
      </c>
      <c r="CK6" s="3">
        <f t="shared" si="33"/>
        <v>61</v>
      </c>
      <c r="CL6" s="3">
        <f t="shared" si="34"/>
        <v>336</v>
      </c>
      <c r="CM6" s="3">
        <v>154</v>
      </c>
      <c r="CN6" s="3">
        <v>168</v>
      </c>
      <c r="CO6" s="3">
        <v>153</v>
      </c>
      <c r="CP6" s="3">
        <f t="shared" si="35"/>
        <v>76</v>
      </c>
      <c r="CQ6" s="3">
        <f t="shared" si="36"/>
        <v>322</v>
      </c>
      <c r="CR6" s="3">
        <v>112</v>
      </c>
      <c r="CS6" s="3">
        <v>150</v>
      </c>
      <c r="CT6" s="3">
        <v>201</v>
      </c>
      <c r="CU6" s="3">
        <f t="shared" si="37"/>
        <v>25</v>
      </c>
      <c r="CV6" s="3">
        <f t="shared" si="38"/>
        <v>284</v>
      </c>
      <c r="CW6" s="3">
        <f>98+84</f>
        <v>182</v>
      </c>
      <c r="CX6" s="3">
        <v>266</v>
      </c>
      <c r="CY6" s="3">
        <v>196</v>
      </c>
      <c r="CZ6" s="3">
        <f t="shared" si="39"/>
        <v>95</v>
      </c>
      <c r="DA6" s="3">
        <f t="shared" si="40"/>
        <v>200</v>
      </c>
      <c r="DB6" s="3">
        <v>308</v>
      </c>
      <c r="DC6" s="3">
        <v>196</v>
      </c>
      <c r="DD6" s="3">
        <v>131</v>
      </c>
      <c r="DE6" s="3">
        <f t="shared" si="41"/>
        <v>160</v>
      </c>
      <c r="DF6" s="3">
        <f t="shared" si="42"/>
        <v>312</v>
      </c>
      <c r="DG6" s="3">
        <v>108</v>
      </c>
      <c r="DH6" s="3">
        <v>168</v>
      </c>
      <c r="DI6" s="3">
        <v>276</v>
      </c>
      <c r="DJ6" s="3">
        <f t="shared" si="43"/>
        <v>52</v>
      </c>
      <c r="DK6" s="3">
        <f t="shared" si="44"/>
        <v>252</v>
      </c>
      <c r="DL6" s="3">
        <v>224</v>
      </c>
      <c r="DM6" s="3">
        <v>364</v>
      </c>
      <c r="DN6" s="3">
        <v>309</v>
      </c>
      <c r="DO6" s="3">
        <f t="shared" si="45"/>
        <v>107</v>
      </c>
      <c r="DP6" s="3">
        <f t="shared" si="46"/>
        <v>112</v>
      </c>
      <c r="DQ6" s="3">
        <f>140+26+18</f>
        <v>184</v>
      </c>
      <c r="DR6" s="3">
        <v>170</v>
      </c>
      <c r="DS6" s="3">
        <v>204</v>
      </c>
    </row>
    <row r="7" spans="1:123" x14ac:dyDescent="0.35">
      <c r="A7" s="12">
        <v>26</v>
      </c>
      <c r="B7" s="2" t="s">
        <v>3</v>
      </c>
      <c r="C7" s="2" t="s">
        <v>16</v>
      </c>
      <c r="D7" s="3">
        <f t="shared" si="0"/>
        <v>26</v>
      </c>
      <c r="E7" s="3">
        <v>28</v>
      </c>
      <c r="F7" s="3">
        <v>14</v>
      </c>
      <c r="G7" s="3">
        <v>28</v>
      </c>
      <c r="H7" s="3">
        <v>17</v>
      </c>
      <c r="I7" s="3">
        <f t="shared" si="1"/>
        <v>37</v>
      </c>
      <c r="J7" s="3">
        <f t="shared" si="2"/>
        <v>14</v>
      </c>
      <c r="K7" s="3">
        <v>28</v>
      </c>
      <c r="L7" s="3">
        <v>14</v>
      </c>
      <c r="M7" s="3">
        <v>18</v>
      </c>
      <c r="N7" s="3">
        <f t="shared" si="3"/>
        <v>33</v>
      </c>
      <c r="O7" s="3">
        <f t="shared" si="4"/>
        <v>28</v>
      </c>
      <c r="P7" s="3">
        <v>0</v>
      </c>
      <c r="Q7" s="3">
        <v>0</v>
      </c>
      <c r="R7" s="3">
        <v>13</v>
      </c>
      <c r="S7" s="3">
        <f t="shared" si="5"/>
        <v>20</v>
      </c>
      <c r="T7" s="3">
        <f t="shared" si="6"/>
        <v>28</v>
      </c>
      <c r="U7" s="3">
        <v>0</v>
      </c>
      <c r="V7" s="3">
        <v>14</v>
      </c>
      <c r="W7" s="3">
        <v>11</v>
      </c>
      <c r="X7" s="3">
        <f t="shared" si="7"/>
        <v>23</v>
      </c>
      <c r="Y7" s="3">
        <f t="shared" si="8"/>
        <v>14</v>
      </c>
      <c r="Z7" s="3">
        <v>14</v>
      </c>
      <c r="AA7" s="3">
        <v>28</v>
      </c>
      <c r="AB7" s="3">
        <v>25</v>
      </c>
      <c r="AC7" s="3">
        <f t="shared" si="9"/>
        <v>26</v>
      </c>
      <c r="AD7" s="3">
        <f t="shared" si="10"/>
        <v>0</v>
      </c>
      <c r="AE7" s="3">
        <v>42</v>
      </c>
      <c r="AF7" s="3">
        <v>14</v>
      </c>
      <c r="AG7" s="3">
        <v>18</v>
      </c>
      <c r="AH7" s="3">
        <f t="shared" si="11"/>
        <v>22</v>
      </c>
      <c r="AI7" s="3">
        <f t="shared" si="12"/>
        <v>28</v>
      </c>
      <c r="AJ7" s="3">
        <v>14</v>
      </c>
      <c r="AK7" s="3">
        <v>14</v>
      </c>
      <c r="AL7" s="3">
        <v>7</v>
      </c>
      <c r="AM7" s="3">
        <f t="shared" si="13"/>
        <v>29</v>
      </c>
      <c r="AN7" s="3">
        <f t="shared" si="14"/>
        <v>28</v>
      </c>
      <c r="AO7" s="3">
        <v>0</v>
      </c>
      <c r="AP7" s="3">
        <v>0</v>
      </c>
      <c r="AQ7" s="3">
        <v>6</v>
      </c>
      <c r="AR7" s="3">
        <f t="shared" si="15"/>
        <v>23</v>
      </c>
      <c r="AS7" s="3">
        <f t="shared" si="16"/>
        <v>28</v>
      </c>
      <c r="AT7" s="3">
        <v>14</v>
      </c>
      <c r="AU7" s="3">
        <v>14</v>
      </c>
      <c r="AV7" s="3">
        <v>0</v>
      </c>
      <c r="AW7" s="3">
        <f t="shared" si="17"/>
        <v>37</v>
      </c>
      <c r="AX7" s="3">
        <f t="shared" si="18"/>
        <v>28</v>
      </c>
      <c r="AY7" s="3">
        <v>28</v>
      </c>
      <c r="AZ7" s="3">
        <v>14</v>
      </c>
      <c r="BA7" s="3">
        <v>12</v>
      </c>
      <c r="BB7" s="3">
        <f t="shared" si="19"/>
        <v>39</v>
      </c>
      <c r="BC7" s="3">
        <f t="shared" si="20"/>
        <v>42</v>
      </c>
      <c r="BD7" s="3">
        <v>0</v>
      </c>
      <c r="BE7" s="3">
        <v>28</v>
      </c>
      <c r="BF7" s="3">
        <v>27</v>
      </c>
      <c r="BG7" s="3">
        <f t="shared" si="21"/>
        <v>40</v>
      </c>
      <c r="BH7" s="3">
        <f t="shared" si="22"/>
        <v>14</v>
      </c>
      <c r="BI7" s="17"/>
      <c r="BJ7" s="3"/>
      <c r="BK7" s="3">
        <v>0</v>
      </c>
      <c r="BL7" s="3">
        <f t="shared" si="23"/>
        <v>40</v>
      </c>
      <c r="BM7" s="3">
        <f t="shared" si="24"/>
        <v>14</v>
      </c>
      <c r="BN7" s="3">
        <v>42</v>
      </c>
      <c r="BO7" s="3">
        <v>28</v>
      </c>
      <c r="BP7" s="3">
        <v>23</v>
      </c>
      <c r="BQ7" s="3">
        <f t="shared" si="25"/>
        <v>45</v>
      </c>
      <c r="BR7" s="3">
        <f t="shared" si="26"/>
        <v>28</v>
      </c>
      <c r="BS7" s="3">
        <v>42</v>
      </c>
      <c r="BT7" s="3">
        <v>28</v>
      </c>
      <c r="BU7" s="3">
        <v>30</v>
      </c>
      <c r="BV7" s="3">
        <f t="shared" si="27"/>
        <v>43</v>
      </c>
      <c r="BW7" s="3">
        <f t="shared" si="28"/>
        <v>42</v>
      </c>
      <c r="BX7" s="3">
        <v>14</v>
      </c>
      <c r="BY7" s="3">
        <v>42</v>
      </c>
      <c r="BZ7" s="3">
        <v>42</v>
      </c>
      <c r="CA7" s="3">
        <f t="shared" si="29"/>
        <v>43</v>
      </c>
      <c r="CB7" s="3">
        <f t="shared" si="30"/>
        <v>14</v>
      </c>
      <c r="CC7" s="3">
        <v>42</v>
      </c>
      <c r="CD7" s="3">
        <v>14</v>
      </c>
      <c r="CE7" s="3">
        <v>10</v>
      </c>
      <c r="CF7" s="3">
        <f t="shared" si="31"/>
        <v>47</v>
      </c>
      <c r="CG7" s="3">
        <f t="shared" si="32"/>
        <v>42</v>
      </c>
      <c r="CH7" s="3">
        <v>0</v>
      </c>
      <c r="CI7" s="3">
        <v>14</v>
      </c>
      <c r="CJ7" s="3">
        <v>16</v>
      </c>
      <c r="CK7" s="3">
        <f t="shared" si="33"/>
        <v>45</v>
      </c>
      <c r="CL7" s="3">
        <f t="shared" si="34"/>
        <v>28</v>
      </c>
      <c r="CM7" s="3">
        <v>14</v>
      </c>
      <c r="CN7" s="3">
        <v>14</v>
      </c>
      <c r="CO7" s="3">
        <v>18</v>
      </c>
      <c r="CP7" s="3">
        <f t="shared" si="35"/>
        <v>41</v>
      </c>
      <c r="CQ7" s="3">
        <f t="shared" si="36"/>
        <v>28</v>
      </c>
      <c r="CR7" s="3">
        <v>14</v>
      </c>
      <c r="CS7" s="3">
        <v>0</v>
      </c>
      <c r="CT7" s="3">
        <v>23</v>
      </c>
      <c r="CU7" s="3">
        <f t="shared" si="37"/>
        <v>18</v>
      </c>
      <c r="CV7" s="3">
        <f t="shared" si="38"/>
        <v>42</v>
      </c>
      <c r="CW7" s="3">
        <v>42</v>
      </c>
      <c r="CX7" s="3">
        <v>28</v>
      </c>
      <c r="CY7" s="3">
        <v>26</v>
      </c>
      <c r="CZ7" s="3">
        <f t="shared" si="39"/>
        <v>20</v>
      </c>
      <c r="DA7" s="3">
        <f t="shared" si="40"/>
        <v>56</v>
      </c>
      <c r="DB7" s="3"/>
      <c r="DC7" s="3">
        <v>28</v>
      </c>
      <c r="DD7" s="3">
        <v>8</v>
      </c>
      <c r="DE7" s="3">
        <f t="shared" si="41"/>
        <v>40</v>
      </c>
      <c r="DF7" s="3">
        <f t="shared" si="42"/>
        <v>28</v>
      </c>
      <c r="DG7" s="3">
        <v>42</v>
      </c>
      <c r="DH7" s="3">
        <v>56</v>
      </c>
      <c r="DI7" s="3">
        <v>38</v>
      </c>
      <c r="DJ7" s="3">
        <f t="shared" si="43"/>
        <v>58</v>
      </c>
      <c r="DK7" s="3">
        <f t="shared" si="44"/>
        <v>14</v>
      </c>
      <c r="DL7" s="3">
        <v>42</v>
      </c>
      <c r="DM7" s="3">
        <v>14</v>
      </c>
      <c r="DN7" s="3">
        <v>24</v>
      </c>
      <c r="DO7" s="3">
        <f t="shared" si="45"/>
        <v>48</v>
      </c>
      <c r="DP7" s="3">
        <f t="shared" si="46"/>
        <v>42</v>
      </c>
      <c r="DQ7" s="3">
        <v>14</v>
      </c>
      <c r="DR7" s="3">
        <v>0</v>
      </c>
      <c r="DS7" s="3">
        <v>6</v>
      </c>
    </row>
    <row r="8" spans="1:123" x14ac:dyDescent="0.35">
      <c r="A8" s="12">
        <v>14</v>
      </c>
      <c r="B8" s="2" t="s">
        <v>5</v>
      </c>
      <c r="C8" s="2" t="s">
        <v>18</v>
      </c>
      <c r="D8" s="3">
        <f t="shared" si="0"/>
        <v>14</v>
      </c>
      <c r="E8" s="3">
        <v>14</v>
      </c>
      <c r="F8" s="3">
        <v>0</v>
      </c>
      <c r="G8" s="3">
        <v>0</v>
      </c>
      <c r="H8" s="3">
        <v>8</v>
      </c>
      <c r="I8" s="3">
        <f t="shared" si="1"/>
        <v>6</v>
      </c>
      <c r="J8" s="3">
        <f t="shared" si="2"/>
        <v>14</v>
      </c>
      <c r="K8" s="3">
        <v>0</v>
      </c>
      <c r="L8" s="3">
        <v>14</v>
      </c>
      <c r="M8" s="3">
        <v>4</v>
      </c>
      <c r="N8" s="3">
        <f t="shared" si="3"/>
        <v>16</v>
      </c>
      <c r="O8" s="3">
        <v>14</v>
      </c>
      <c r="P8" s="3">
        <v>0</v>
      </c>
      <c r="Q8" s="3">
        <v>0</v>
      </c>
      <c r="R8" s="3">
        <v>1</v>
      </c>
      <c r="S8" s="3">
        <f t="shared" si="5"/>
        <v>15</v>
      </c>
      <c r="T8" s="3">
        <v>14</v>
      </c>
      <c r="U8" s="3">
        <v>0</v>
      </c>
      <c r="V8" s="3">
        <v>0</v>
      </c>
      <c r="W8" s="3">
        <v>1</v>
      </c>
      <c r="X8" s="3">
        <f t="shared" si="7"/>
        <v>14</v>
      </c>
      <c r="Y8" s="3">
        <v>14</v>
      </c>
      <c r="Z8" s="3"/>
      <c r="AA8" s="3">
        <v>0</v>
      </c>
      <c r="AB8" s="3">
        <v>0</v>
      </c>
      <c r="AC8" s="3">
        <f t="shared" si="9"/>
        <v>14</v>
      </c>
      <c r="AD8" s="3">
        <v>14</v>
      </c>
      <c r="AE8" s="3">
        <v>0</v>
      </c>
      <c r="AF8" s="3">
        <v>0</v>
      </c>
      <c r="AG8" s="3">
        <v>0</v>
      </c>
      <c r="AH8" s="3">
        <f t="shared" si="11"/>
        <v>14</v>
      </c>
      <c r="AI8" s="3">
        <v>14</v>
      </c>
      <c r="AJ8" s="3">
        <v>0</v>
      </c>
      <c r="AK8" s="3">
        <v>0</v>
      </c>
      <c r="AL8" s="3">
        <v>0</v>
      </c>
      <c r="AM8" s="3">
        <f t="shared" si="13"/>
        <v>14</v>
      </c>
      <c r="AN8" s="3">
        <v>14</v>
      </c>
      <c r="AO8" s="3">
        <v>0</v>
      </c>
      <c r="AP8" s="3">
        <v>0</v>
      </c>
      <c r="AQ8" s="3">
        <v>0</v>
      </c>
      <c r="AR8" s="3">
        <f t="shared" si="15"/>
        <v>14</v>
      </c>
      <c r="AS8" s="3">
        <v>14</v>
      </c>
      <c r="AT8" s="3">
        <v>0</v>
      </c>
      <c r="AU8" s="3">
        <v>0</v>
      </c>
      <c r="AV8" s="3">
        <v>0</v>
      </c>
      <c r="AW8" s="3">
        <f t="shared" si="17"/>
        <v>14</v>
      </c>
      <c r="AX8" s="3">
        <v>14</v>
      </c>
      <c r="AY8" s="3">
        <v>0</v>
      </c>
      <c r="AZ8" s="3">
        <v>14</v>
      </c>
      <c r="BA8" s="3">
        <v>0</v>
      </c>
      <c r="BB8" s="3">
        <f t="shared" si="19"/>
        <v>28</v>
      </c>
      <c r="BC8" s="3">
        <f t="shared" si="20"/>
        <v>0</v>
      </c>
      <c r="BD8" s="3">
        <v>28</v>
      </c>
      <c r="BE8" s="3">
        <v>0</v>
      </c>
      <c r="BF8" s="3">
        <v>0</v>
      </c>
      <c r="BG8" s="3">
        <f t="shared" si="21"/>
        <v>28</v>
      </c>
      <c r="BH8" s="3">
        <f t="shared" si="22"/>
        <v>28</v>
      </c>
      <c r="BI8" s="17"/>
      <c r="BJ8" s="3"/>
      <c r="BK8" s="3">
        <v>0</v>
      </c>
      <c r="BL8" s="3">
        <f t="shared" si="23"/>
        <v>28</v>
      </c>
      <c r="BM8" s="3">
        <f t="shared" si="24"/>
        <v>28</v>
      </c>
      <c r="BN8" s="3">
        <v>0</v>
      </c>
      <c r="BO8" s="3">
        <v>0</v>
      </c>
      <c r="BP8" s="3">
        <v>0</v>
      </c>
      <c r="BQ8" s="3">
        <f t="shared" si="25"/>
        <v>28</v>
      </c>
      <c r="BR8" s="3">
        <f t="shared" si="26"/>
        <v>28</v>
      </c>
      <c r="BS8" s="3">
        <v>0</v>
      </c>
      <c r="BT8" s="3">
        <v>0</v>
      </c>
      <c r="BU8" s="3">
        <v>0</v>
      </c>
      <c r="BV8" s="3">
        <f t="shared" si="27"/>
        <v>28</v>
      </c>
      <c r="BW8" s="3">
        <f t="shared" si="28"/>
        <v>28</v>
      </c>
      <c r="BX8" s="3"/>
      <c r="BY8" s="3">
        <v>0</v>
      </c>
      <c r="BZ8" s="3">
        <v>0</v>
      </c>
      <c r="CA8" s="3">
        <f t="shared" si="29"/>
        <v>28</v>
      </c>
      <c r="CB8" s="3">
        <f t="shared" si="30"/>
        <v>28</v>
      </c>
      <c r="CC8" s="3">
        <v>0</v>
      </c>
      <c r="CD8" s="3">
        <v>0</v>
      </c>
      <c r="CE8" s="3">
        <v>0</v>
      </c>
      <c r="CF8" s="3">
        <f t="shared" si="31"/>
        <v>28</v>
      </c>
      <c r="CG8" s="3">
        <f t="shared" si="32"/>
        <v>28</v>
      </c>
      <c r="CH8" s="3">
        <v>0</v>
      </c>
      <c r="CI8" s="3">
        <v>0</v>
      </c>
      <c r="CJ8" s="3">
        <v>0</v>
      </c>
      <c r="CK8" s="3">
        <f t="shared" si="33"/>
        <v>28</v>
      </c>
      <c r="CL8" s="3">
        <f t="shared" si="34"/>
        <v>28</v>
      </c>
      <c r="CM8" s="3">
        <v>0</v>
      </c>
      <c r="CN8" s="3">
        <v>0</v>
      </c>
      <c r="CO8" s="3">
        <v>0</v>
      </c>
      <c r="CP8" s="3">
        <f t="shared" si="35"/>
        <v>28</v>
      </c>
      <c r="CQ8" s="3">
        <f t="shared" si="36"/>
        <v>28</v>
      </c>
      <c r="CR8" s="3">
        <v>0</v>
      </c>
      <c r="CS8" s="3">
        <v>0</v>
      </c>
      <c r="CT8" s="3">
        <v>0</v>
      </c>
      <c r="CU8" s="3">
        <f t="shared" si="37"/>
        <v>28</v>
      </c>
      <c r="CV8" s="3">
        <f t="shared" si="38"/>
        <v>28</v>
      </c>
      <c r="CW8" s="3">
        <v>0</v>
      </c>
      <c r="CX8" s="3">
        <v>0</v>
      </c>
      <c r="CY8" s="3">
        <v>0</v>
      </c>
      <c r="CZ8" s="3">
        <f t="shared" si="39"/>
        <v>28</v>
      </c>
      <c r="DA8" s="3">
        <f t="shared" si="40"/>
        <v>28</v>
      </c>
      <c r="DB8" s="3"/>
      <c r="DC8" s="3">
        <v>0</v>
      </c>
      <c r="DD8" s="3">
        <v>0</v>
      </c>
      <c r="DE8" s="3">
        <f t="shared" si="41"/>
        <v>28</v>
      </c>
      <c r="DF8" s="3">
        <f t="shared" si="42"/>
        <v>28</v>
      </c>
      <c r="DG8" s="3">
        <v>0</v>
      </c>
      <c r="DH8" s="3">
        <v>0</v>
      </c>
      <c r="DI8" s="3">
        <v>0</v>
      </c>
      <c r="DJ8" s="3">
        <f t="shared" si="43"/>
        <v>28</v>
      </c>
      <c r="DK8" s="3">
        <f t="shared" si="44"/>
        <v>28</v>
      </c>
      <c r="DL8" s="3"/>
      <c r="DM8" s="3">
        <v>0</v>
      </c>
      <c r="DN8" s="3">
        <v>0</v>
      </c>
      <c r="DO8" s="3">
        <f t="shared" si="45"/>
        <v>28</v>
      </c>
      <c r="DP8" s="3">
        <f t="shared" si="46"/>
        <v>28</v>
      </c>
      <c r="DQ8" s="3">
        <v>0</v>
      </c>
      <c r="DR8" s="3">
        <v>14</v>
      </c>
      <c r="DS8" s="3">
        <v>5</v>
      </c>
    </row>
    <row r="9" spans="1:123" x14ac:dyDescent="0.35">
      <c r="A9" s="12">
        <v>0</v>
      </c>
      <c r="B9" s="2" t="s">
        <v>6</v>
      </c>
      <c r="C9" s="2" t="s">
        <v>19</v>
      </c>
      <c r="D9" s="3">
        <f t="shared" si="0"/>
        <v>0</v>
      </c>
      <c r="E9" s="3">
        <v>28</v>
      </c>
      <c r="F9" s="3">
        <f>28+28</f>
        <v>56</v>
      </c>
      <c r="G9" s="3">
        <v>56</v>
      </c>
      <c r="H9" s="3">
        <v>46</v>
      </c>
      <c r="I9" s="3">
        <f t="shared" si="1"/>
        <v>10</v>
      </c>
      <c r="J9" s="3">
        <f t="shared" si="2"/>
        <v>28</v>
      </c>
      <c r="K9" s="3">
        <v>56</v>
      </c>
      <c r="L9" s="3">
        <v>56</v>
      </c>
      <c r="M9" s="3">
        <v>35</v>
      </c>
      <c r="N9" s="3">
        <f t="shared" si="3"/>
        <v>31</v>
      </c>
      <c r="O9" s="3">
        <f t="shared" si="4"/>
        <v>28</v>
      </c>
      <c r="P9" s="3">
        <v>28</v>
      </c>
      <c r="Q9" s="3">
        <v>42</v>
      </c>
      <c r="R9" s="3">
        <v>51</v>
      </c>
      <c r="S9" s="3">
        <f t="shared" si="5"/>
        <v>22</v>
      </c>
      <c r="T9" s="3">
        <f t="shared" ref="T9:T10" si="47">O9+P9-Q9</f>
        <v>14</v>
      </c>
      <c r="U9" s="3">
        <v>56</v>
      </c>
      <c r="V9" s="3">
        <v>56</v>
      </c>
      <c r="W9" s="3">
        <v>31</v>
      </c>
      <c r="X9" s="3">
        <f t="shared" si="7"/>
        <v>47</v>
      </c>
      <c r="Y9" s="3">
        <f t="shared" ref="Y9:Y10" si="48">T9+U9-V9</f>
        <v>14</v>
      </c>
      <c r="Z9" s="3">
        <v>14</v>
      </c>
      <c r="AA9" s="3">
        <v>14</v>
      </c>
      <c r="AB9" s="3">
        <v>26</v>
      </c>
      <c r="AC9" s="3">
        <f t="shared" si="9"/>
        <v>35</v>
      </c>
      <c r="AD9" s="3">
        <f t="shared" ref="AD9:AD10" si="49">Y9+Z9-AA9</f>
        <v>14</v>
      </c>
      <c r="AE9" s="3">
        <v>42</v>
      </c>
      <c r="AF9" s="3">
        <v>28</v>
      </c>
      <c r="AG9" s="3">
        <v>35</v>
      </c>
      <c r="AH9" s="3">
        <f t="shared" si="11"/>
        <v>28</v>
      </c>
      <c r="AI9" s="3">
        <f t="shared" ref="AI9:AI10" si="50">AD9+AE9-AF9</f>
        <v>28</v>
      </c>
      <c r="AJ9" s="3">
        <v>56</v>
      </c>
      <c r="AK9" s="3">
        <v>28</v>
      </c>
      <c r="AL9" s="3">
        <v>33</v>
      </c>
      <c r="AM9" s="3">
        <f t="shared" si="13"/>
        <v>23</v>
      </c>
      <c r="AN9" s="3">
        <f t="shared" ref="AN9:AN10" si="51">AI9+AJ9-AK9</f>
        <v>56</v>
      </c>
      <c r="AO9" s="3">
        <v>14</v>
      </c>
      <c r="AP9" s="3">
        <v>28</v>
      </c>
      <c r="AQ9" s="3">
        <v>65</v>
      </c>
      <c r="AR9" s="3">
        <f t="shared" si="15"/>
        <v>-14</v>
      </c>
      <c r="AS9" s="3">
        <f t="shared" ref="AS9:AS10" si="52">AN9+AO9-AP9</f>
        <v>42</v>
      </c>
      <c r="AT9" s="3">
        <f>42+56</f>
        <v>98</v>
      </c>
      <c r="AU9" s="3">
        <v>98</v>
      </c>
      <c r="AV9" s="3">
        <v>57</v>
      </c>
      <c r="AW9" s="3">
        <f t="shared" si="17"/>
        <v>27</v>
      </c>
      <c r="AX9" s="3">
        <f t="shared" ref="AX9:AX10" si="53">AS9+AT9-AU9</f>
        <v>42</v>
      </c>
      <c r="AY9" s="3">
        <v>42</v>
      </c>
      <c r="AZ9" s="3">
        <v>56</v>
      </c>
      <c r="BA9" s="3">
        <v>72</v>
      </c>
      <c r="BB9" s="3">
        <f t="shared" si="19"/>
        <v>11</v>
      </c>
      <c r="BC9" s="3">
        <f t="shared" si="20"/>
        <v>28</v>
      </c>
      <c r="BD9" s="3">
        <v>70</v>
      </c>
      <c r="BE9" s="3">
        <v>56</v>
      </c>
      <c r="BF9" s="3">
        <v>13</v>
      </c>
      <c r="BG9" s="3">
        <f t="shared" si="21"/>
        <v>54</v>
      </c>
      <c r="BH9" s="3">
        <f t="shared" ref="BH9:BH10" si="54">BC9+BD9-BE9</f>
        <v>42</v>
      </c>
      <c r="BI9" s="17"/>
      <c r="BJ9" s="3"/>
      <c r="BK9" s="3">
        <v>0</v>
      </c>
      <c r="BL9" s="3">
        <f t="shared" si="23"/>
        <v>54</v>
      </c>
      <c r="BM9" s="3">
        <f t="shared" si="24"/>
        <v>42</v>
      </c>
      <c r="BN9" s="3">
        <v>28</v>
      </c>
      <c r="BO9" s="3">
        <v>28</v>
      </c>
      <c r="BP9" s="3">
        <v>39</v>
      </c>
      <c r="BQ9" s="3">
        <f t="shared" si="25"/>
        <v>43</v>
      </c>
      <c r="BR9" s="3">
        <f t="shared" si="26"/>
        <v>42</v>
      </c>
      <c r="BS9" s="3">
        <v>28</v>
      </c>
      <c r="BT9" s="3">
        <v>56</v>
      </c>
      <c r="BU9" s="3">
        <v>45</v>
      </c>
      <c r="BV9" s="3">
        <f t="shared" si="27"/>
        <v>54</v>
      </c>
      <c r="BW9" s="3">
        <f t="shared" si="28"/>
        <v>14</v>
      </c>
      <c r="BX9" s="3">
        <v>70</v>
      </c>
      <c r="BY9" s="3">
        <v>42</v>
      </c>
      <c r="BZ9" s="3">
        <v>66</v>
      </c>
      <c r="CA9" s="3">
        <f t="shared" si="29"/>
        <v>30</v>
      </c>
      <c r="CB9" s="3">
        <f t="shared" si="30"/>
        <v>42</v>
      </c>
      <c r="CC9" s="3">
        <v>98</v>
      </c>
      <c r="CD9" s="3">
        <v>98</v>
      </c>
      <c r="CE9" s="3">
        <v>85</v>
      </c>
      <c r="CF9" s="3">
        <f t="shared" si="31"/>
        <v>43</v>
      </c>
      <c r="CG9" s="3">
        <f t="shared" si="32"/>
        <v>42</v>
      </c>
      <c r="CH9" s="3">
        <v>84</v>
      </c>
      <c r="CI9" s="3">
        <v>42</v>
      </c>
      <c r="CJ9" s="3">
        <v>31</v>
      </c>
      <c r="CK9" s="3">
        <f t="shared" si="33"/>
        <v>54</v>
      </c>
      <c r="CL9" s="3">
        <f t="shared" si="34"/>
        <v>84</v>
      </c>
      <c r="CM9" s="3">
        <v>42</v>
      </c>
      <c r="CN9" s="3">
        <v>70</v>
      </c>
      <c r="CO9" s="3">
        <v>74</v>
      </c>
      <c r="CP9" s="3">
        <f t="shared" si="35"/>
        <v>50</v>
      </c>
      <c r="CQ9" s="3">
        <f t="shared" si="36"/>
        <v>56</v>
      </c>
      <c r="CR9" s="3">
        <v>42</v>
      </c>
      <c r="CS9" s="3">
        <v>42</v>
      </c>
      <c r="CT9" s="3">
        <v>19</v>
      </c>
      <c r="CU9" s="3">
        <f t="shared" si="37"/>
        <v>73</v>
      </c>
      <c r="CV9" s="3">
        <v>42</v>
      </c>
      <c r="CW9" s="3">
        <v>0</v>
      </c>
      <c r="CX9" s="3">
        <v>0</v>
      </c>
      <c r="CY9" s="3">
        <v>8</v>
      </c>
      <c r="CZ9" s="3">
        <f t="shared" si="39"/>
        <v>65</v>
      </c>
      <c r="DA9" s="3">
        <f t="shared" si="40"/>
        <v>42</v>
      </c>
      <c r="DB9" s="3"/>
      <c r="DC9" s="3">
        <v>0</v>
      </c>
      <c r="DD9" s="3">
        <v>0</v>
      </c>
      <c r="DE9" s="3">
        <f t="shared" si="41"/>
        <v>65</v>
      </c>
      <c r="DF9" s="3">
        <f t="shared" si="42"/>
        <v>42</v>
      </c>
      <c r="DG9" s="3">
        <v>0</v>
      </c>
      <c r="DH9" s="3">
        <v>0</v>
      </c>
      <c r="DI9" s="3">
        <v>9</v>
      </c>
      <c r="DJ9" s="3">
        <f t="shared" si="43"/>
        <v>56</v>
      </c>
      <c r="DK9" s="3">
        <f t="shared" si="44"/>
        <v>42</v>
      </c>
      <c r="DL9" s="3">
        <v>28</v>
      </c>
      <c r="DM9" s="3">
        <v>28</v>
      </c>
      <c r="DN9" s="3">
        <v>26</v>
      </c>
      <c r="DO9" s="3">
        <f t="shared" si="45"/>
        <v>58</v>
      </c>
      <c r="DP9" s="3">
        <f t="shared" si="46"/>
        <v>42</v>
      </c>
      <c r="DQ9" s="3">
        <v>0</v>
      </c>
      <c r="DR9" s="3">
        <v>0</v>
      </c>
      <c r="DS9" s="3">
        <v>39</v>
      </c>
    </row>
    <row r="10" spans="1:123" x14ac:dyDescent="0.35">
      <c r="A10" s="12">
        <v>0</v>
      </c>
      <c r="B10" s="2" t="s">
        <v>7</v>
      </c>
      <c r="C10" s="2" t="s">
        <v>20</v>
      </c>
      <c r="D10" s="3">
        <f t="shared" si="0"/>
        <v>0</v>
      </c>
      <c r="E10" s="3">
        <v>14</v>
      </c>
      <c r="F10" s="3">
        <v>42</v>
      </c>
      <c r="G10" s="3">
        <v>14</v>
      </c>
      <c r="H10" s="3">
        <v>18</v>
      </c>
      <c r="I10" s="3">
        <f t="shared" si="1"/>
        <v>-4</v>
      </c>
      <c r="J10" s="3">
        <f t="shared" si="2"/>
        <v>42</v>
      </c>
      <c r="K10" s="3">
        <v>0</v>
      </c>
      <c r="L10" s="3">
        <v>14</v>
      </c>
      <c r="M10" s="3">
        <v>17</v>
      </c>
      <c r="N10" s="3">
        <f t="shared" si="3"/>
        <v>-7</v>
      </c>
      <c r="O10" s="3">
        <f t="shared" si="4"/>
        <v>28</v>
      </c>
      <c r="P10" s="3">
        <v>14</v>
      </c>
      <c r="Q10" s="3">
        <v>14</v>
      </c>
      <c r="R10" s="3">
        <v>12</v>
      </c>
      <c r="S10" s="3">
        <f t="shared" si="5"/>
        <v>-5</v>
      </c>
      <c r="T10" s="3">
        <f t="shared" si="47"/>
        <v>28</v>
      </c>
      <c r="U10" s="3">
        <v>0</v>
      </c>
      <c r="V10" s="3">
        <v>14</v>
      </c>
      <c r="W10" s="3">
        <v>13</v>
      </c>
      <c r="X10" s="3">
        <f t="shared" si="7"/>
        <v>-4</v>
      </c>
      <c r="Y10" s="3">
        <f t="shared" si="48"/>
        <v>14</v>
      </c>
      <c r="Z10" s="3">
        <v>28</v>
      </c>
      <c r="AA10" s="3">
        <v>42</v>
      </c>
      <c r="AB10" s="3">
        <v>41</v>
      </c>
      <c r="AC10" s="3">
        <f t="shared" si="9"/>
        <v>-3</v>
      </c>
      <c r="AD10" s="3">
        <f t="shared" si="49"/>
        <v>0</v>
      </c>
      <c r="AE10" s="3">
        <v>42</v>
      </c>
      <c r="AF10" s="3">
        <v>28</v>
      </c>
      <c r="AG10" s="3">
        <v>9</v>
      </c>
      <c r="AH10" s="3">
        <f t="shared" si="11"/>
        <v>16</v>
      </c>
      <c r="AI10" s="3">
        <f t="shared" si="50"/>
        <v>14</v>
      </c>
      <c r="AJ10" s="3">
        <v>42</v>
      </c>
      <c r="AK10" s="3">
        <v>14</v>
      </c>
      <c r="AL10" s="3">
        <v>29</v>
      </c>
      <c r="AM10" s="3">
        <f t="shared" si="13"/>
        <v>1</v>
      </c>
      <c r="AN10" s="3">
        <f t="shared" si="51"/>
        <v>42</v>
      </c>
      <c r="AO10" s="3"/>
      <c r="AP10" s="3">
        <v>28</v>
      </c>
      <c r="AQ10" s="3">
        <v>26</v>
      </c>
      <c r="AR10" s="3">
        <f t="shared" si="15"/>
        <v>3</v>
      </c>
      <c r="AS10" s="3">
        <f t="shared" si="52"/>
        <v>14</v>
      </c>
      <c r="AT10" s="3">
        <f>38+42</f>
        <v>80</v>
      </c>
      <c r="AU10" s="3">
        <v>52</v>
      </c>
      <c r="AV10" s="3">
        <v>24</v>
      </c>
      <c r="AW10" s="3">
        <f t="shared" si="17"/>
        <v>31</v>
      </c>
      <c r="AX10" s="3">
        <f t="shared" si="53"/>
        <v>42</v>
      </c>
      <c r="AY10" s="3">
        <v>0</v>
      </c>
      <c r="AZ10" s="3">
        <v>14</v>
      </c>
      <c r="BA10" s="3">
        <v>18</v>
      </c>
      <c r="BB10" s="3">
        <f t="shared" si="19"/>
        <v>27</v>
      </c>
      <c r="BC10" s="3">
        <v>14</v>
      </c>
      <c r="BD10" s="3">
        <v>56</v>
      </c>
      <c r="BE10" s="3">
        <v>28</v>
      </c>
      <c r="BF10" s="3">
        <v>19</v>
      </c>
      <c r="BG10" s="3">
        <f t="shared" si="21"/>
        <v>36</v>
      </c>
      <c r="BH10" s="3">
        <f t="shared" si="54"/>
        <v>42</v>
      </c>
      <c r="BI10" s="17"/>
      <c r="BJ10" s="3"/>
      <c r="BK10" s="3">
        <v>0</v>
      </c>
      <c r="BL10" s="3">
        <f t="shared" si="23"/>
        <v>36</v>
      </c>
      <c r="BM10" s="3">
        <f t="shared" si="24"/>
        <v>42</v>
      </c>
      <c r="BN10" s="3">
        <v>0</v>
      </c>
      <c r="BO10" s="3">
        <v>14</v>
      </c>
      <c r="BP10" s="3">
        <v>6</v>
      </c>
      <c r="BQ10" s="3">
        <f t="shared" si="25"/>
        <v>44</v>
      </c>
      <c r="BR10" s="3">
        <f t="shared" si="26"/>
        <v>28</v>
      </c>
      <c r="BS10" s="3">
        <v>28</v>
      </c>
      <c r="BT10" s="3">
        <v>14</v>
      </c>
      <c r="BU10" s="3">
        <v>21</v>
      </c>
      <c r="BV10" s="3">
        <f t="shared" si="27"/>
        <v>37</v>
      </c>
      <c r="BW10" s="3">
        <f t="shared" si="28"/>
        <v>42</v>
      </c>
      <c r="BX10" s="3">
        <v>14</v>
      </c>
      <c r="BY10" s="3">
        <v>14</v>
      </c>
      <c r="BZ10" s="3">
        <v>10</v>
      </c>
      <c r="CA10" s="3">
        <f t="shared" si="29"/>
        <v>41</v>
      </c>
      <c r="CB10" s="3">
        <f t="shared" si="30"/>
        <v>42</v>
      </c>
      <c r="CC10" s="3">
        <v>14</v>
      </c>
      <c r="CD10" s="3">
        <v>28</v>
      </c>
      <c r="CE10" s="3">
        <v>10</v>
      </c>
      <c r="CF10" s="3">
        <f t="shared" si="31"/>
        <v>59</v>
      </c>
      <c r="CG10" s="3">
        <f t="shared" si="32"/>
        <v>28</v>
      </c>
      <c r="CH10" s="3">
        <v>14</v>
      </c>
      <c r="CI10" s="3">
        <v>0</v>
      </c>
      <c r="CJ10" s="3">
        <v>12</v>
      </c>
      <c r="CK10" s="3">
        <f t="shared" si="33"/>
        <v>47</v>
      </c>
      <c r="CL10" s="3">
        <f t="shared" si="34"/>
        <v>42</v>
      </c>
      <c r="CM10" s="3">
        <v>0</v>
      </c>
      <c r="CN10" s="3">
        <v>0</v>
      </c>
      <c r="CO10" s="3">
        <v>2</v>
      </c>
      <c r="CP10" s="3">
        <f t="shared" si="35"/>
        <v>45</v>
      </c>
      <c r="CQ10" s="3">
        <f t="shared" si="36"/>
        <v>42</v>
      </c>
      <c r="CR10" s="3">
        <v>14</v>
      </c>
      <c r="CS10" s="3">
        <v>14</v>
      </c>
      <c r="CT10" s="3">
        <v>2</v>
      </c>
      <c r="CU10" s="3">
        <f t="shared" si="37"/>
        <v>57</v>
      </c>
      <c r="CV10" s="3">
        <f t="shared" si="38"/>
        <v>42</v>
      </c>
      <c r="CW10" s="3">
        <v>0</v>
      </c>
      <c r="CX10" s="3">
        <v>0</v>
      </c>
      <c r="CY10" s="3">
        <v>0</v>
      </c>
      <c r="CZ10" s="3">
        <f t="shared" si="39"/>
        <v>57</v>
      </c>
      <c r="DA10" s="3">
        <f t="shared" si="40"/>
        <v>42</v>
      </c>
      <c r="DB10" s="3"/>
      <c r="DC10" s="3">
        <v>0</v>
      </c>
      <c r="DD10" s="3">
        <v>0</v>
      </c>
      <c r="DE10" s="3">
        <f t="shared" si="41"/>
        <v>57</v>
      </c>
      <c r="DF10" s="3">
        <f t="shared" si="42"/>
        <v>42</v>
      </c>
      <c r="DG10" s="3">
        <v>0</v>
      </c>
      <c r="DH10" s="3">
        <v>0</v>
      </c>
      <c r="DI10" s="3">
        <v>5</v>
      </c>
      <c r="DJ10" s="3">
        <f t="shared" si="43"/>
        <v>52</v>
      </c>
      <c r="DK10" s="3">
        <f t="shared" si="44"/>
        <v>42</v>
      </c>
      <c r="DL10" s="3"/>
      <c r="DM10" s="3">
        <v>14</v>
      </c>
      <c r="DN10" s="3">
        <v>11</v>
      </c>
      <c r="DO10" s="3">
        <f t="shared" si="45"/>
        <v>55</v>
      </c>
      <c r="DP10" s="3">
        <f t="shared" si="46"/>
        <v>28</v>
      </c>
      <c r="DQ10" s="3">
        <v>31</v>
      </c>
      <c r="DR10" s="3">
        <v>45</v>
      </c>
      <c r="DS10" s="3">
        <v>7</v>
      </c>
    </row>
    <row r="11" spans="1:123" x14ac:dyDescent="0.35">
      <c r="B11" s="33" t="s">
        <v>32</v>
      </c>
      <c r="C11" s="33"/>
      <c r="D11" s="5">
        <f t="shared" ref="D11:W11" si="55">SUM(D4:D10)</f>
        <v>54</v>
      </c>
      <c r="E11" s="5">
        <f t="shared" si="55"/>
        <v>266</v>
      </c>
      <c r="F11" s="5">
        <f t="shared" si="55"/>
        <v>308</v>
      </c>
      <c r="G11" s="5">
        <f t="shared" si="55"/>
        <v>392</v>
      </c>
      <c r="H11" s="5">
        <f t="shared" si="55"/>
        <v>334</v>
      </c>
      <c r="I11" s="6">
        <f t="shared" si="55"/>
        <v>112</v>
      </c>
      <c r="J11" s="6">
        <f t="shared" si="55"/>
        <v>182</v>
      </c>
      <c r="K11" s="6">
        <f t="shared" si="55"/>
        <v>336</v>
      </c>
      <c r="L11" s="6">
        <f t="shared" si="55"/>
        <v>336</v>
      </c>
      <c r="M11" s="6">
        <f t="shared" si="55"/>
        <v>346</v>
      </c>
      <c r="N11" s="5">
        <f t="shared" si="55"/>
        <v>102</v>
      </c>
      <c r="O11" s="5">
        <f t="shared" si="55"/>
        <v>196</v>
      </c>
      <c r="P11" s="5">
        <f t="shared" si="55"/>
        <v>364</v>
      </c>
      <c r="Q11" s="5">
        <f t="shared" si="55"/>
        <v>350</v>
      </c>
      <c r="R11" s="5">
        <f t="shared" si="55"/>
        <v>377</v>
      </c>
      <c r="S11" s="6">
        <f t="shared" si="55"/>
        <v>75</v>
      </c>
      <c r="T11" s="6">
        <f t="shared" si="55"/>
        <v>210</v>
      </c>
      <c r="U11" s="6">
        <f t="shared" si="55"/>
        <v>266</v>
      </c>
      <c r="V11" s="6">
        <f t="shared" si="55"/>
        <v>364</v>
      </c>
      <c r="W11" s="6">
        <f t="shared" si="55"/>
        <v>323</v>
      </c>
      <c r="X11" s="5">
        <f t="shared" ref="X11:AB11" si="56">SUM(X4:X10)</f>
        <v>116</v>
      </c>
      <c r="Y11" s="5">
        <f t="shared" si="56"/>
        <v>112</v>
      </c>
      <c r="Z11" s="5">
        <f t="shared" si="56"/>
        <v>322</v>
      </c>
      <c r="AA11" s="5">
        <f t="shared" si="56"/>
        <v>350</v>
      </c>
      <c r="AB11" s="5">
        <f t="shared" si="56"/>
        <v>349</v>
      </c>
      <c r="AC11" s="6">
        <f t="shared" ref="AC11:AG11" si="57">SUM(AC4:AC10)</f>
        <v>117</v>
      </c>
      <c r="AD11" s="6">
        <f t="shared" si="57"/>
        <v>84</v>
      </c>
      <c r="AE11" s="6">
        <f t="shared" si="57"/>
        <v>406</v>
      </c>
      <c r="AF11" s="6">
        <f t="shared" si="57"/>
        <v>252</v>
      </c>
      <c r="AG11" s="6">
        <f t="shared" si="57"/>
        <v>221</v>
      </c>
      <c r="AH11" s="5">
        <f t="shared" ref="AH11:AL11" si="58">SUM(AH4:AH10)</f>
        <v>148</v>
      </c>
      <c r="AI11" s="5">
        <f t="shared" si="58"/>
        <v>238</v>
      </c>
      <c r="AJ11" s="5">
        <f t="shared" si="58"/>
        <v>308</v>
      </c>
      <c r="AK11" s="5">
        <f t="shared" si="58"/>
        <v>210</v>
      </c>
      <c r="AL11" s="5">
        <f t="shared" si="58"/>
        <v>214</v>
      </c>
      <c r="AM11" s="6">
        <f t="shared" ref="AM11:AQ11" si="59">SUM(AM4:AM10)</f>
        <v>144</v>
      </c>
      <c r="AN11" s="6">
        <f t="shared" si="59"/>
        <v>336</v>
      </c>
      <c r="AO11" s="6">
        <f t="shared" si="59"/>
        <v>238</v>
      </c>
      <c r="AP11" s="6">
        <f t="shared" si="59"/>
        <v>224</v>
      </c>
      <c r="AQ11" s="6">
        <f t="shared" si="59"/>
        <v>284</v>
      </c>
      <c r="AR11" s="5">
        <f t="shared" ref="AR11:AV11" si="60">SUM(AR4:AR10)</f>
        <v>84</v>
      </c>
      <c r="AS11" s="5">
        <f t="shared" si="60"/>
        <v>350</v>
      </c>
      <c r="AT11" s="5">
        <f t="shared" si="60"/>
        <v>440</v>
      </c>
      <c r="AU11" s="5">
        <f t="shared" si="60"/>
        <v>440</v>
      </c>
      <c r="AV11" s="5">
        <f t="shared" si="60"/>
        <v>274</v>
      </c>
      <c r="AW11" s="6">
        <f t="shared" ref="AW11:BA11" si="61">SUM(AW4:AW10)</f>
        <v>250</v>
      </c>
      <c r="AX11" s="6">
        <f t="shared" si="61"/>
        <v>350</v>
      </c>
      <c r="AY11" s="6">
        <f t="shared" si="61"/>
        <v>252</v>
      </c>
      <c r="AZ11" s="6">
        <f t="shared" si="61"/>
        <v>224</v>
      </c>
      <c r="BA11" s="6">
        <f t="shared" si="61"/>
        <v>239</v>
      </c>
      <c r="BB11" s="5">
        <f t="shared" ref="BB11:BF11" si="62">SUM(BB4:BB10)</f>
        <v>235</v>
      </c>
      <c r="BC11" s="5">
        <f t="shared" si="62"/>
        <v>364</v>
      </c>
      <c r="BD11" s="5">
        <f t="shared" si="62"/>
        <v>252</v>
      </c>
      <c r="BE11" s="5">
        <f t="shared" si="62"/>
        <v>252</v>
      </c>
      <c r="BF11" s="5">
        <f t="shared" si="62"/>
        <v>243</v>
      </c>
      <c r="BG11" s="6">
        <f t="shared" ref="BG11:BK11" si="63">SUM(BG4:BG10)</f>
        <v>244</v>
      </c>
      <c r="BH11" s="6">
        <f t="shared" si="63"/>
        <v>364</v>
      </c>
      <c r="BI11" s="6">
        <f t="shared" si="63"/>
        <v>0</v>
      </c>
      <c r="BJ11" s="6">
        <f t="shared" si="63"/>
        <v>0</v>
      </c>
      <c r="BK11" s="6">
        <f t="shared" si="63"/>
        <v>0</v>
      </c>
      <c r="BL11" s="5">
        <f t="shared" ref="BL11:BP11" si="64">SUM(BL4:BL10)</f>
        <v>244</v>
      </c>
      <c r="BM11" s="5">
        <f t="shared" si="64"/>
        <v>364</v>
      </c>
      <c r="BN11" s="5">
        <f t="shared" si="64"/>
        <v>392</v>
      </c>
      <c r="BO11" s="5">
        <f t="shared" si="64"/>
        <v>294</v>
      </c>
      <c r="BP11" s="5">
        <f t="shared" si="64"/>
        <v>235</v>
      </c>
      <c r="BQ11" s="6">
        <f t="shared" ref="BQ11:BU11" si="65">SUM(BQ4:BQ10)</f>
        <v>303</v>
      </c>
      <c r="BR11" s="6">
        <f t="shared" si="65"/>
        <v>462</v>
      </c>
      <c r="BS11" s="6">
        <f t="shared" si="65"/>
        <v>308</v>
      </c>
      <c r="BT11" s="6">
        <f t="shared" si="65"/>
        <v>322</v>
      </c>
      <c r="BU11" s="6">
        <f t="shared" si="65"/>
        <v>309</v>
      </c>
      <c r="BV11" s="5">
        <f t="shared" ref="BV11:BZ11" si="66">SUM(BV4:BV10)</f>
        <v>316</v>
      </c>
      <c r="BW11" s="5">
        <f t="shared" si="66"/>
        <v>448</v>
      </c>
      <c r="BX11" s="5">
        <f t="shared" si="66"/>
        <v>476</v>
      </c>
      <c r="BY11" s="5">
        <f t="shared" si="66"/>
        <v>364</v>
      </c>
      <c r="BZ11" s="5">
        <f t="shared" si="66"/>
        <v>355</v>
      </c>
      <c r="CA11" s="6">
        <f t="shared" ref="CA11:CE11" si="67">SUM(CA4:CA10)</f>
        <v>325</v>
      </c>
      <c r="CB11" s="6">
        <f t="shared" si="67"/>
        <v>560</v>
      </c>
      <c r="CC11" s="6">
        <f t="shared" si="67"/>
        <v>406</v>
      </c>
      <c r="CD11" s="6">
        <f t="shared" si="67"/>
        <v>448</v>
      </c>
      <c r="CE11" s="6">
        <f t="shared" si="67"/>
        <v>406</v>
      </c>
      <c r="CF11" s="5">
        <f t="shared" ref="CF11:CJ11" si="68">SUM(CF4:CF10)</f>
        <v>367</v>
      </c>
      <c r="CG11" s="5">
        <f t="shared" si="68"/>
        <v>518</v>
      </c>
      <c r="CH11" s="5">
        <f t="shared" si="68"/>
        <v>364</v>
      </c>
      <c r="CI11" s="5">
        <f t="shared" si="68"/>
        <v>294</v>
      </c>
      <c r="CJ11" s="5">
        <f t="shared" si="68"/>
        <v>319</v>
      </c>
      <c r="CK11" s="6">
        <f t="shared" ref="CK11:CO11" si="69">SUM(CK4:CK10)</f>
        <v>342</v>
      </c>
      <c r="CL11" s="6">
        <f t="shared" si="69"/>
        <v>588</v>
      </c>
      <c r="CM11" s="6">
        <f t="shared" si="69"/>
        <v>322</v>
      </c>
      <c r="CN11" s="6">
        <f t="shared" si="69"/>
        <v>308</v>
      </c>
      <c r="CO11" s="6">
        <f t="shared" si="69"/>
        <v>313</v>
      </c>
      <c r="CP11" s="5">
        <f t="shared" ref="CP11:CT11" si="70">SUM(CP4:CP10)</f>
        <v>337</v>
      </c>
      <c r="CQ11" s="5">
        <f t="shared" si="70"/>
        <v>602</v>
      </c>
      <c r="CR11" s="5">
        <f t="shared" si="70"/>
        <v>210</v>
      </c>
      <c r="CS11" s="5">
        <f t="shared" si="70"/>
        <v>276</v>
      </c>
      <c r="CT11" s="5">
        <f t="shared" si="70"/>
        <v>315</v>
      </c>
      <c r="CU11" s="6">
        <f t="shared" ref="CU11:CY11" si="71">SUM(CU4:CU10)</f>
        <v>298</v>
      </c>
      <c r="CV11" s="6">
        <f t="shared" si="71"/>
        <v>522</v>
      </c>
      <c r="CW11" s="6">
        <f t="shared" si="71"/>
        <v>294</v>
      </c>
      <c r="CX11" s="6">
        <f t="shared" si="71"/>
        <v>406</v>
      </c>
      <c r="CY11" s="6">
        <f t="shared" si="71"/>
        <v>348</v>
      </c>
      <c r="CZ11" s="5">
        <f t="shared" ref="CZ11:DD11" si="72">SUM(CZ4:CZ10)</f>
        <v>356</v>
      </c>
      <c r="DA11" s="5">
        <f t="shared" si="72"/>
        <v>410</v>
      </c>
      <c r="DB11" s="5">
        <f t="shared" si="72"/>
        <v>434</v>
      </c>
      <c r="DC11" s="5">
        <f t="shared" si="72"/>
        <v>308</v>
      </c>
      <c r="DD11" s="5">
        <f t="shared" si="72"/>
        <v>227</v>
      </c>
      <c r="DE11" s="6">
        <f t="shared" ref="DE11:DI11" si="73">SUM(DE4:DE10)</f>
        <v>437</v>
      </c>
      <c r="DF11" s="6">
        <f t="shared" si="73"/>
        <v>536</v>
      </c>
      <c r="DG11" s="6">
        <f t="shared" si="73"/>
        <v>402</v>
      </c>
      <c r="DH11" s="6">
        <f t="shared" si="73"/>
        <v>420</v>
      </c>
      <c r="DI11" s="6">
        <f t="shared" si="73"/>
        <v>487</v>
      </c>
      <c r="DJ11" s="5">
        <f t="shared" ref="DJ11:DN11" si="74">SUM(DJ4:DJ10)</f>
        <v>370</v>
      </c>
      <c r="DK11" s="5">
        <f t="shared" si="74"/>
        <v>518</v>
      </c>
      <c r="DL11" s="5">
        <f t="shared" si="74"/>
        <v>328</v>
      </c>
      <c r="DM11" s="5">
        <f t="shared" si="74"/>
        <v>538</v>
      </c>
      <c r="DN11" s="5">
        <f t="shared" si="74"/>
        <v>467</v>
      </c>
      <c r="DO11" s="6">
        <f t="shared" ref="DO11:DS11" si="75">SUM(DO4:DO10)</f>
        <v>441</v>
      </c>
      <c r="DP11" s="6">
        <f t="shared" si="75"/>
        <v>308</v>
      </c>
      <c r="DQ11" s="6">
        <f t="shared" si="75"/>
        <v>257</v>
      </c>
      <c r="DR11" s="6">
        <f t="shared" si="75"/>
        <v>243</v>
      </c>
      <c r="DS11" s="6">
        <f t="shared" si="75"/>
        <v>344</v>
      </c>
    </row>
    <row r="12" spans="1:123" s="1" customFormat="1" ht="43.5" x14ac:dyDescent="0.35">
      <c r="B12" s="4" t="s">
        <v>21</v>
      </c>
      <c r="C12" s="4" t="s">
        <v>22</v>
      </c>
      <c r="D12" s="5" t="s">
        <v>46</v>
      </c>
      <c r="E12" s="5" t="s">
        <v>47</v>
      </c>
      <c r="F12" s="5" t="s">
        <v>48</v>
      </c>
      <c r="G12" s="5" t="s">
        <v>49</v>
      </c>
      <c r="H12" s="5" t="s">
        <v>50</v>
      </c>
      <c r="I12" s="6" t="s">
        <v>51</v>
      </c>
      <c r="J12" s="6" t="s">
        <v>47</v>
      </c>
      <c r="K12" s="6" t="s">
        <v>48</v>
      </c>
      <c r="L12" s="6" t="s">
        <v>49</v>
      </c>
      <c r="M12" s="6" t="s">
        <v>52</v>
      </c>
      <c r="N12" s="5" t="s">
        <v>46</v>
      </c>
      <c r="O12" s="5" t="s">
        <v>47</v>
      </c>
      <c r="P12" s="5" t="s">
        <v>48</v>
      </c>
      <c r="Q12" s="5" t="s">
        <v>49</v>
      </c>
      <c r="R12" s="5" t="s">
        <v>50</v>
      </c>
      <c r="S12" s="6" t="s">
        <v>51</v>
      </c>
      <c r="T12" s="6" t="s">
        <v>47</v>
      </c>
      <c r="U12" s="6" t="s">
        <v>48</v>
      </c>
      <c r="V12" s="6" t="s">
        <v>49</v>
      </c>
      <c r="W12" s="6" t="s">
        <v>52</v>
      </c>
      <c r="X12" s="5" t="s">
        <v>51</v>
      </c>
      <c r="Y12" s="5" t="s">
        <v>47</v>
      </c>
      <c r="Z12" s="5" t="s">
        <v>48</v>
      </c>
      <c r="AA12" s="5" t="s">
        <v>49</v>
      </c>
      <c r="AB12" s="5" t="s">
        <v>52</v>
      </c>
      <c r="AC12" s="6" t="s">
        <v>51</v>
      </c>
      <c r="AD12" s="6" t="s">
        <v>47</v>
      </c>
      <c r="AE12" s="6" t="s">
        <v>48</v>
      </c>
      <c r="AF12" s="6" t="s">
        <v>49</v>
      </c>
      <c r="AG12" s="6" t="s">
        <v>52</v>
      </c>
      <c r="AH12" s="5" t="s">
        <v>51</v>
      </c>
      <c r="AI12" s="5" t="s">
        <v>47</v>
      </c>
      <c r="AJ12" s="5" t="s">
        <v>48</v>
      </c>
      <c r="AK12" s="5" t="s">
        <v>49</v>
      </c>
      <c r="AL12" s="5" t="s">
        <v>52</v>
      </c>
      <c r="AM12" s="6" t="s">
        <v>51</v>
      </c>
      <c r="AN12" s="6" t="s">
        <v>47</v>
      </c>
      <c r="AO12" s="6" t="s">
        <v>48</v>
      </c>
      <c r="AP12" s="6" t="s">
        <v>49</v>
      </c>
      <c r="AQ12" s="6" t="s">
        <v>52</v>
      </c>
      <c r="AR12" s="5" t="s">
        <v>51</v>
      </c>
      <c r="AS12" s="5" t="s">
        <v>47</v>
      </c>
      <c r="AT12" s="5" t="s">
        <v>48</v>
      </c>
      <c r="AU12" s="5" t="s">
        <v>49</v>
      </c>
      <c r="AV12" s="5" t="s">
        <v>52</v>
      </c>
      <c r="AW12" s="6" t="s">
        <v>51</v>
      </c>
      <c r="AX12" s="6" t="s">
        <v>47</v>
      </c>
      <c r="AY12" s="6" t="s">
        <v>48</v>
      </c>
      <c r="AZ12" s="6" t="s">
        <v>49</v>
      </c>
      <c r="BA12" s="6" t="s">
        <v>52</v>
      </c>
      <c r="BB12" s="5" t="s">
        <v>51</v>
      </c>
      <c r="BC12" s="5" t="s">
        <v>47</v>
      </c>
      <c r="BD12" s="5" t="s">
        <v>48</v>
      </c>
      <c r="BE12" s="5" t="s">
        <v>49</v>
      </c>
      <c r="BF12" s="5" t="s">
        <v>52</v>
      </c>
      <c r="BG12" s="6" t="s">
        <v>51</v>
      </c>
      <c r="BH12" s="6" t="s">
        <v>47</v>
      </c>
      <c r="BI12" s="6" t="s">
        <v>48</v>
      </c>
      <c r="BJ12" s="6" t="s">
        <v>49</v>
      </c>
      <c r="BK12" s="6" t="s">
        <v>52</v>
      </c>
      <c r="BL12" s="5" t="s">
        <v>51</v>
      </c>
      <c r="BM12" s="5" t="s">
        <v>47</v>
      </c>
      <c r="BN12" s="5" t="s">
        <v>48</v>
      </c>
      <c r="BO12" s="5" t="s">
        <v>49</v>
      </c>
      <c r="BP12" s="5" t="s">
        <v>52</v>
      </c>
      <c r="BQ12" s="6" t="s">
        <v>51</v>
      </c>
      <c r="BR12" s="6" t="s">
        <v>47</v>
      </c>
      <c r="BS12" s="6" t="s">
        <v>48</v>
      </c>
      <c r="BT12" s="6" t="s">
        <v>49</v>
      </c>
      <c r="BU12" s="6" t="s">
        <v>52</v>
      </c>
      <c r="BV12" s="5" t="s">
        <v>51</v>
      </c>
      <c r="BW12" s="5" t="s">
        <v>47</v>
      </c>
      <c r="BX12" s="5" t="s">
        <v>48</v>
      </c>
      <c r="BY12" s="5" t="s">
        <v>49</v>
      </c>
      <c r="BZ12" s="5" t="s">
        <v>52</v>
      </c>
      <c r="CA12" s="6" t="s">
        <v>51</v>
      </c>
      <c r="CB12" s="6" t="s">
        <v>47</v>
      </c>
      <c r="CC12" s="6" t="s">
        <v>48</v>
      </c>
      <c r="CD12" s="6" t="s">
        <v>49</v>
      </c>
      <c r="CE12" s="6" t="s">
        <v>52</v>
      </c>
      <c r="CF12" s="5" t="s">
        <v>51</v>
      </c>
      <c r="CG12" s="5" t="s">
        <v>47</v>
      </c>
      <c r="CH12" s="5" t="s">
        <v>48</v>
      </c>
      <c r="CI12" s="5" t="s">
        <v>49</v>
      </c>
      <c r="CJ12" s="5" t="s">
        <v>52</v>
      </c>
      <c r="CK12" s="6" t="s">
        <v>51</v>
      </c>
      <c r="CL12" s="6" t="s">
        <v>47</v>
      </c>
      <c r="CM12" s="6" t="s">
        <v>48</v>
      </c>
      <c r="CN12" s="6" t="s">
        <v>49</v>
      </c>
      <c r="CO12" s="6" t="s">
        <v>52</v>
      </c>
      <c r="CP12" s="5" t="s">
        <v>51</v>
      </c>
      <c r="CQ12" s="5" t="s">
        <v>47</v>
      </c>
      <c r="CR12" s="5" t="s">
        <v>48</v>
      </c>
      <c r="CS12" s="5" t="s">
        <v>49</v>
      </c>
      <c r="CT12" s="5" t="s">
        <v>52</v>
      </c>
      <c r="CU12" s="6" t="s">
        <v>51</v>
      </c>
      <c r="CV12" s="6" t="s">
        <v>47</v>
      </c>
      <c r="CW12" s="6" t="s">
        <v>48</v>
      </c>
      <c r="CX12" s="6" t="s">
        <v>49</v>
      </c>
      <c r="CY12" s="6" t="s">
        <v>52</v>
      </c>
      <c r="CZ12" s="5" t="s">
        <v>51</v>
      </c>
      <c r="DA12" s="5" t="s">
        <v>47</v>
      </c>
      <c r="DB12" s="5" t="s">
        <v>48</v>
      </c>
      <c r="DC12" s="5" t="s">
        <v>49</v>
      </c>
      <c r="DD12" s="5" t="s">
        <v>52</v>
      </c>
      <c r="DE12" s="6" t="s">
        <v>51</v>
      </c>
      <c r="DF12" s="6" t="s">
        <v>47</v>
      </c>
      <c r="DG12" s="6" t="s">
        <v>48</v>
      </c>
      <c r="DH12" s="6" t="s">
        <v>49</v>
      </c>
      <c r="DI12" s="6" t="s">
        <v>52</v>
      </c>
      <c r="DJ12" s="5" t="s">
        <v>51</v>
      </c>
      <c r="DK12" s="5" t="s">
        <v>47</v>
      </c>
      <c r="DL12" s="5" t="s">
        <v>48</v>
      </c>
      <c r="DM12" s="5" t="s">
        <v>49</v>
      </c>
      <c r="DN12" s="5" t="s">
        <v>52</v>
      </c>
      <c r="DO12" s="6" t="s">
        <v>51</v>
      </c>
      <c r="DP12" s="6" t="s">
        <v>47</v>
      </c>
      <c r="DQ12" s="6" t="s">
        <v>48</v>
      </c>
      <c r="DR12" s="6" t="s">
        <v>49</v>
      </c>
      <c r="DS12" s="6" t="s">
        <v>52</v>
      </c>
    </row>
    <row r="13" spans="1:123" x14ac:dyDescent="0.35">
      <c r="A13" s="3">
        <v>91</v>
      </c>
      <c r="B13" s="2" t="s">
        <v>26</v>
      </c>
      <c r="C13" s="2" t="s">
        <v>25</v>
      </c>
      <c r="D13" s="3">
        <f t="shared" ref="D13:D19" si="76">A13</f>
        <v>91</v>
      </c>
      <c r="E13" s="3">
        <v>0</v>
      </c>
      <c r="F13" s="3">
        <f>84+16</f>
        <v>100</v>
      </c>
      <c r="G13" s="3">
        <v>76</v>
      </c>
      <c r="H13" s="3">
        <v>101</v>
      </c>
      <c r="I13" s="3">
        <f>D13+G13-H13</f>
        <v>66</v>
      </c>
      <c r="J13" s="3">
        <f t="shared" ref="J13:J19" si="77">E13+F13-G13</f>
        <v>24</v>
      </c>
      <c r="K13" s="3">
        <f>64+76</f>
        <v>140</v>
      </c>
      <c r="L13" s="3">
        <v>132</v>
      </c>
      <c r="M13" s="3">
        <v>118</v>
      </c>
      <c r="N13" s="3">
        <f>I13+L13-M13</f>
        <v>80</v>
      </c>
      <c r="O13" s="3">
        <f t="shared" ref="O13:O19" si="78">J13+K13-L13</f>
        <v>32</v>
      </c>
      <c r="P13" s="3">
        <v>104</v>
      </c>
      <c r="Q13" s="3">
        <v>96</v>
      </c>
      <c r="R13" s="3">
        <v>68</v>
      </c>
      <c r="S13" s="3">
        <f>N13+Q13-R13</f>
        <v>108</v>
      </c>
      <c r="T13" s="3">
        <f t="shared" ref="T13:T19" si="79">O13+P13-Q13</f>
        <v>40</v>
      </c>
      <c r="U13" s="3">
        <f>44+36</f>
        <v>80</v>
      </c>
      <c r="V13" s="3">
        <v>76</v>
      </c>
      <c r="W13" s="3">
        <v>62</v>
      </c>
      <c r="X13" s="3">
        <f>S13+V13-W13</f>
        <v>122</v>
      </c>
      <c r="Y13" s="3">
        <f t="shared" ref="Y13:Y19" si="80">T13+U13-V13</f>
        <v>44</v>
      </c>
      <c r="Z13" s="3">
        <v>44</v>
      </c>
      <c r="AA13" s="3">
        <v>60</v>
      </c>
      <c r="AB13" s="3">
        <v>31</v>
      </c>
      <c r="AC13" s="3">
        <f>X13+AA13-AB13</f>
        <v>151</v>
      </c>
      <c r="AD13" s="3">
        <f t="shared" ref="AD13:AD19" si="81">Y13+Z13-AA13</f>
        <v>28</v>
      </c>
      <c r="AE13" s="3">
        <v>40</v>
      </c>
      <c r="AF13" s="3">
        <v>28</v>
      </c>
      <c r="AG13" s="3">
        <v>116</v>
      </c>
      <c r="AH13" s="3">
        <f>AC13+AF13-AG13</f>
        <v>63</v>
      </c>
      <c r="AI13" s="3">
        <f t="shared" ref="AI13:AI19" si="82">AD13+AE13-AF13</f>
        <v>40</v>
      </c>
      <c r="AJ13" s="3">
        <v>76</v>
      </c>
      <c r="AK13" s="3">
        <v>100</v>
      </c>
      <c r="AL13" s="3">
        <v>101</v>
      </c>
      <c r="AM13" s="3">
        <f>AH13+AK13-AL13</f>
        <v>62</v>
      </c>
      <c r="AN13" s="3">
        <f t="shared" ref="AN13:AN19" si="83">AI13+AJ13-AK13</f>
        <v>16</v>
      </c>
      <c r="AO13" s="3">
        <v>92</v>
      </c>
      <c r="AP13" s="3">
        <v>92</v>
      </c>
      <c r="AQ13" s="3">
        <v>92</v>
      </c>
      <c r="AR13" s="3">
        <f>AM13+AP13-AQ13</f>
        <v>62</v>
      </c>
      <c r="AS13" s="3">
        <f t="shared" ref="AS13:AS19" si="84">AN13+AO13-AP13</f>
        <v>16</v>
      </c>
      <c r="AT13" s="3">
        <f>92+16</f>
        <v>108</v>
      </c>
      <c r="AU13" s="3">
        <v>108</v>
      </c>
      <c r="AV13" s="3">
        <v>106</v>
      </c>
      <c r="AW13" s="3">
        <f>AR13+AU13-AV13</f>
        <v>64</v>
      </c>
      <c r="AX13" s="3">
        <f t="shared" ref="AX13:AX19" si="85">AS13+AT13-AU13</f>
        <v>16</v>
      </c>
      <c r="AY13" s="3">
        <f>92+16+72</f>
        <v>180</v>
      </c>
      <c r="AZ13" s="3">
        <v>124</v>
      </c>
      <c r="BA13" s="3">
        <v>116</v>
      </c>
      <c r="BB13" s="3">
        <f>AW13+AZ13-BA13</f>
        <v>72</v>
      </c>
      <c r="BC13" s="3">
        <f t="shared" ref="BC13:BC19" si="86">AX13+AY13-AZ13</f>
        <v>72</v>
      </c>
      <c r="BD13" s="3">
        <v>92</v>
      </c>
      <c r="BE13" s="3">
        <v>120</v>
      </c>
      <c r="BF13" s="3">
        <v>135</v>
      </c>
      <c r="BG13" s="3">
        <f>BB13+BE13-BF13</f>
        <v>57</v>
      </c>
      <c r="BH13" s="3">
        <f t="shared" ref="BH13:BH19" si="87">BC13+BD13-BE13</f>
        <v>44</v>
      </c>
      <c r="BI13" s="3">
        <f>116+28</f>
        <v>144</v>
      </c>
      <c r="BJ13" s="3">
        <v>72</v>
      </c>
      <c r="BK13" s="3">
        <v>47</v>
      </c>
      <c r="BL13" s="3">
        <f>BG13+BJ13-BK13</f>
        <v>82</v>
      </c>
      <c r="BM13" s="3">
        <f t="shared" ref="BM13:BM19" si="88">BH13+BI13-BJ13</f>
        <v>116</v>
      </c>
      <c r="BN13" s="3">
        <v>82</v>
      </c>
      <c r="BO13" s="3">
        <v>76</v>
      </c>
      <c r="BP13" s="3">
        <v>81</v>
      </c>
      <c r="BQ13" s="3">
        <f>BL13+BO13-BP13</f>
        <v>77</v>
      </c>
      <c r="BR13" s="3">
        <f t="shared" ref="BR13:BR19" si="89">BM13+BN13-BO13</f>
        <v>122</v>
      </c>
      <c r="BS13" s="3">
        <v>58</v>
      </c>
      <c r="BT13" s="3">
        <v>148</v>
      </c>
      <c r="BU13" s="3">
        <v>95</v>
      </c>
      <c r="BV13" s="3">
        <f>BQ13+BT13-BU13</f>
        <v>130</v>
      </c>
      <c r="BW13" s="3">
        <f t="shared" ref="BW13:BW19" si="90">BR13+BS13-BT13</f>
        <v>32</v>
      </c>
      <c r="BX13" s="3">
        <v>73</v>
      </c>
      <c r="BY13" s="3">
        <v>84</v>
      </c>
      <c r="BZ13" s="3">
        <v>109</v>
      </c>
      <c r="CA13" s="3">
        <f>BV13+BY13-BZ13</f>
        <v>105</v>
      </c>
      <c r="CB13" s="3">
        <f t="shared" ref="CB13:CB19" si="91">BW13+BX13-BY13</f>
        <v>21</v>
      </c>
      <c r="CC13" s="3">
        <v>141</v>
      </c>
      <c r="CD13" s="3">
        <v>88</v>
      </c>
      <c r="CE13" s="3">
        <v>101</v>
      </c>
      <c r="CF13" s="3">
        <f>CA13+CD13-CE13</f>
        <v>92</v>
      </c>
      <c r="CG13" s="3">
        <f t="shared" ref="CG13:CG19" si="92">CB13+CC13-CD13</f>
        <v>74</v>
      </c>
      <c r="CH13" s="3">
        <f>84+52+12</f>
        <v>148</v>
      </c>
      <c r="CI13" s="3">
        <v>92</v>
      </c>
      <c r="CJ13" s="3">
        <v>124</v>
      </c>
      <c r="CK13" s="3">
        <f>CF13+CI13-CJ13</f>
        <v>60</v>
      </c>
      <c r="CL13" s="3">
        <f t="shared" ref="CL13:CL19" si="93">CG13+CH13-CI13</f>
        <v>130</v>
      </c>
      <c r="CM13" s="3">
        <v>38</v>
      </c>
      <c r="CN13" s="3">
        <v>76</v>
      </c>
      <c r="CO13" s="3">
        <v>81</v>
      </c>
      <c r="CP13" s="3">
        <f>CK13+CN13-CO13</f>
        <v>55</v>
      </c>
      <c r="CQ13" s="3">
        <f t="shared" ref="CQ13:CQ19" si="94">CL13+CM13-CN13</f>
        <v>92</v>
      </c>
      <c r="CR13" s="3">
        <v>98</v>
      </c>
      <c r="CS13" s="3">
        <v>124</v>
      </c>
      <c r="CT13" s="3">
        <v>98</v>
      </c>
      <c r="CU13" s="3">
        <f>CP13+CS13-CT13</f>
        <v>81</v>
      </c>
      <c r="CV13" s="3">
        <f t="shared" ref="CV13:CV19" si="95">CQ13+CR13-CS13</f>
        <v>66</v>
      </c>
      <c r="CW13" s="3">
        <v>70</v>
      </c>
      <c r="CX13" s="3">
        <v>80</v>
      </c>
      <c r="CY13" s="3">
        <v>115</v>
      </c>
      <c r="CZ13" s="3">
        <f>CU13+CX13-CY13</f>
        <v>46</v>
      </c>
      <c r="DA13" s="3">
        <f t="shared" ref="DA13:DA19" si="96">CV13+CW13-CX13</f>
        <v>56</v>
      </c>
      <c r="DB13" s="3">
        <v>126</v>
      </c>
      <c r="DC13" s="3">
        <v>0</v>
      </c>
      <c r="DD13" s="3">
        <v>44</v>
      </c>
      <c r="DE13" s="3">
        <f>CZ13+DC13-DD13</f>
        <v>2</v>
      </c>
      <c r="DF13" s="3">
        <f t="shared" ref="DF13:DF19" si="97">DA13+DB13-DC13</f>
        <v>182</v>
      </c>
      <c r="DG13" s="3">
        <v>31</v>
      </c>
      <c r="DH13" s="3">
        <v>52</v>
      </c>
      <c r="DI13" s="3">
        <v>93</v>
      </c>
      <c r="DJ13" s="3">
        <f>DE13+DH13-DI13</f>
        <v>-39</v>
      </c>
      <c r="DK13" s="3">
        <f t="shared" ref="DK13:DK19" si="98">DF13+DG13-DH13</f>
        <v>161</v>
      </c>
      <c r="DL13" s="3">
        <f>24+98</f>
        <v>122</v>
      </c>
      <c r="DM13" s="3">
        <v>224</v>
      </c>
      <c r="DN13" s="3">
        <v>95</v>
      </c>
      <c r="DO13" s="3">
        <f>DJ13+DM13-DN13</f>
        <v>90</v>
      </c>
      <c r="DP13" s="3">
        <f t="shared" ref="DP13:DP19" si="99">DK13+DL13-DM13</f>
        <v>59</v>
      </c>
      <c r="DQ13" s="3">
        <v>74</v>
      </c>
      <c r="DR13" s="3">
        <v>0</v>
      </c>
      <c r="DS13" s="3">
        <v>44</v>
      </c>
    </row>
    <row r="14" spans="1:123" x14ac:dyDescent="0.35">
      <c r="A14" s="3">
        <v>82</v>
      </c>
      <c r="B14" s="2" t="s">
        <v>8</v>
      </c>
      <c r="C14" s="2" t="s">
        <v>27</v>
      </c>
      <c r="D14" s="3">
        <f t="shared" si="76"/>
        <v>82</v>
      </c>
      <c r="E14" s="3">
        <v>12</v>
      </c>
      <c r="F14" s="3">
        <v>0</v>
      </c>
      <c r="G14" s="3">
        <v>0</v>
      </c>
      <c r="H14" s="3">
        <v>0</v>
      </c>
      <c r="I14" s="3">
        <f t="shared" ref="I14:I19" si="100">D14+G14-H14</f>
        <v>82</v>
      </c>
      <c r="J14" s="3">
        <f t="shared" si="77"/>
        <v>12</v>
      </c>
      <c r="K14" s="3">
        <v>0</v>
      </c>
      <c r="L14" s="3">
        <v>0</v>
      </c>
      <c r="M14" s="3">
        <v>12</v>
      </c>
      <c r="N14" s="3">
        <f t="shared" ref="N14:N19" si="101">I14+L14-M14</f>
        <v>70</v>
      </c>
      <c r="O14" s="3">
        <f t="shared" si="78"/>
        <v>12</v>
      </c>
      <c r="P14" s="3">
        <v>16</v>
      </c>
      <c r="Q14" s="3">
        <v>12</v>
      </c>
      <c r="R14" s="3">
        <v>0</v>
      </c>
      <c r="S14" s="3">
        <f t="shared" ref="S14:S19" si="102">N14+Q14-R14</f>
        <v>82</v>
      </c>
      <c r="T14" s="3">
        <f t="shared" si="79"/>
        <v>16</v>
      </c>
      <c r="U14" s="3">
        <v>0</v>
      </c>
      <c r="V14" s="3">
        <v>0</v>
      </c>
      <c r="W14" s="3">
        <v>8</v>
      </c>
      <c r="X14" s="3">
        <f t="shared" ref="X14:X19" si="103">S14+V14-W14</f>
        <v>74</v>
      </c>
      <c r="Y14" s="3">
        <f t="shared" si="80"/>
        <v>16</v>
      </c>
      <c r="Z14" s="3"/>
      <c r="AA14" s="3">
        <v>0</v>
      </c>
      <c r="AB14" s="3">
        <v>8</v>
      </c>
      <c r="AC14" s="3">
        <f t="shared" ref="AC14:AC19" si="104">X14+AA14-AB14</f>
        <v>66</v>
      </c>
      <c r="AD14" s="3">
        <f t="shared" si="81"/>
        <v>16</v>
      </c>
      <c r="AE14" s="3">
        <v>0</v>
      </c>
      <c r="AF14" s="3">
        <v>16</v>
      </c>
      <c r="AG14" s="3">
        <v>14</v>
      </c>
      <c r="AH14" s="3">
        <f t="shared" ref="AH14:AH19" si="105">AC14+AF14-AG14</f>
        <v>68</v>
      </c>
      <c r="AI14" s="3">
        <f t="shared" si="82"/>
        <v>0</v>
      </c>
      <c r="AJ14" s="3">
        <v>32</v>
      </c>
      <c r="AK14" s="3">
        <v>16</v>
      </c>
      <c r="AL14" s="3">
        <v>38</v>
      </c>
      <c r="AM14" s="3">
        <f t="shared" ref="AM14:AM19" si="106">AH14+AK14-AL14</f>
        <v>46</v>
      </c>
      <c r="AN14" s="3">
        <f t="shared" si="83"/>
        <v>16</v>
      </c>
      <c r="AO14" s="3"/>
      <c r="AP14" s="3">
        <v>16</v>
      </c>
      <c r="AQ14" s="3">
        <v>1</v>
      </c>
      <c r="AR14" s="3">
        <f t="shared" ref="AR14:AR19" si="107">AM14+AP14-AQ14</f>
        <v>61</v>
      </c>
      <c r="AS14" s="3">
        <f t="shared" si="84"/>
        <v>0</v>
      </c>
      <c r="AT14" s="3"/>
      <c r="AU14" s="3">
        <v>0</v>
      </c>
      <c r="AV14" s="3">
        <v>0</v>
      </c>
      <c r="AW14" s="3">
        <f t="shared" ref="AW14:AW19" si="108">AR14+AU14-AV14</f>
        <v>61</v>
      </c>
      <c r="AX14" s="3">
        <f t="shared" si="85"/>
        <v>0</v>
      </c>
      <c r="AY14" s="3">
        <v>12</v>
      </c>
      <c r="AZ14" s="3">
        <v>0</v>
      </c>
      <c r="BA14" s="3">
        <v>0</v>
      </c>
      <c r="BB14" s="3">
        <f t="shared" ref="BB14:BB19" si="109">AW14+AZ14-BA14</f>
        <v>61</v>
      </c>
      <c r="BC14" s="3">
        <f t="shared" si="86"/>
        <v>12</v>
      </c>
      <c r="BD14" s="3">
        <v>32</v>
      </c>
      <c r="BE14" s="3">
        <v>12</v>
      </c>
      <c r="BF14" s="3">
        <v>27</v>
      </c>
      <c r="BG14" s="3">
        <f t="shared" ref="BG14:BG19" si="110">BB14+BE14-BF14</f>
        <v>46</v>
      </c>
      <c r="BH14" s="3">
        <f t="shared" si="87"/>
        <v>32</v>
      </c>
      <c r="BI14" s="3">
        <v>16</v>
      </c>
      <c r="BJ14" s="3">
        <v>16</v>
      </c>
      <c r="BK14" s="3">
        <v>6</v>
      </c>
      <c r="BL14" s="3">
        <f t="shared" ref="BL14:BL19" si="111">BG14+BJ14-BK14</f>
        <v>56</v>
      </c>
      <c r="BM14" s="3">
        <f t="shared" si="88"/>
        <v>32</v>
      </c>
      <c r="BN14" s="3">
        <v>16</v>
      </c>
      <c r="BO14" s="3">
        <v>32</v>
      </c>
      <c r="BP14" s="3">
        <v>22</v>
      </c>
      <c r="BQ14" s="3">
        <f t="shared" ref="BQ14:BQ19" si="112">BL14+BO14-BP14</f>
        <v>66</v>
      </c>
      <c r="BR14" s="3">
        <f t="shared" si="89"/>
        <v>16</v>
      </c>
      <c r="BS14" s="3">
        <v>16</v>
      </c>
      <c r="BT14" s="3">
        <v>32</v>
      </c>
      <c r="BU14" s="3">
        <v>15</v>
      </c>
      <c r="BV14" s="3">
        <f t="shared" ref="BV14:BV19" si="113">BQ14+BT14-BU14</f>
        <v>83</v>
      </c>
      <c r="BW14" s="3">
        <f t="shared" si="90"/>
        <v>0</v>
      </c>
      <c r="BX14" s="3">
        <v>40</v>
      </c>
      <c r="BY14" s="3">
        <v>28</v>
      </c>
      <c r="BZ14" s="3">
        <v>49</v>
      </c>
      <c r="CA14" s="3">
        <f t="shared" ref="CA14:CA19" si="114">BV14+BY14-BZ14</f>
        <v>62</v>
      </c>
      <c r="CB14" s="3">
        <f t="shared" si="91"/>
        <v>12</v>
      </c>
      <c r="CC14" s="3">
        <v>16</v>
      </c>
      <c r="CD14" s="3">
        <v>28</v>
      </c>
      <c r="CE14" s="3">
        <v>24</v>
      </c>
      <c r="CF14" s="3">
        <f t="shared" ref="CF14:CF19" si="115">CA14+CD14-CE14</f>
        <v>66</v>
      </c>
      <c r="CG14" s="3">
        <f t="shared" si="92"/>
        <v>0</v>
      </c>
      <c r="CH14" s="3">
        <f>16+20</f>
        <v>36</v>
      </c>
      <c r="CI14" s="3">
        <v>16</v>
      </c>
      <c r="CJ14" s="3">
        <v>32</v>
      </c>
      <c r="CK14" s="3">
        <f t="shared" ref="CK14:CK19" si="116">CF14+CI14-CJ14</f>
        <v>50</v>
      </c>
      <c r="CL14" s="3">
        <f t="shared" si="93"/>
        <v>20</v>
      </c>
      <c r="CM14" s="3">
        <v>0</v>
      </c>
      <c r="CN14" s="3">
        <v>16</v>
      </c>
      <c r="CO14" s="3">
        <v>31</v>
      </c>
      <c r="CP14" s="3">
        <f t="shared" ref="CP14:CP19" si="117">CK14+CN14-CO14</f>
        <v>35</v>
      </c>
      <c r="CQ14" s="3">
        <f t="shared" si="94"/>
        <v>4</v>
      </c>
      <c r="CR14" s="3">
        <v>24</v>
      </c>
      <c r="CS14" s="3">
        <v>24</v>
      </c>
      <c r="CT14" s="3">
        <v>21</v>
      </c>
      <c r="CU14" s="3">
        <f t="shared" ref="CU14:CU19" si="118">CP14+CS14-CT14</f>
        <v>38</v>
      </c>
      <c r="CV14" s="3">
        <f t="shared" si="95"/>
        <v>4</v>
      </c>
      <c r="CW14" s="3">
        <v>12</v>
      </c>
      <c r="CX14" s="3">
        <v>16</v>
      </c>
      <c r="CY14" s="3">
        <v>22</v>
      </c>
      <c r="CZ14" s="3">
        <f t="shared" ref="CZ14:CZ19" si="119">CU14+CX14-CY14</f>
        <v>32</v>
      </c>
      <c r="DA14" s="3">
        <f t="shared" si="96"/>
        <v>0</v>
      </c>
      <c r="DB14" s="3">
        <v>4</v>
      </c>
      <c r="DC14" s="3">
        <v>0</v>
      </c>
      <c r="DD14" s="3">
        <v>0</v>
      </c>
      <c r="DE14" s="3">
        <f t="shared" ref="DE14:DE19" si="120">CZ14+DC14-DD14</f>
        <v>32</v>
      </c>
      <c r="DF14" s="3">
        <f t="shared" si="97"/>
        <v>4</v>
      </c>
      <c r="DG14" s="3">
        <v>32</v>
      </c>
      <c r="DH14" s="3">
        <v>0</v>
      </c>
      <c r="DI14" s="3">
        <v>0</v>
      </c>
      <c r="DJ14" s="3">
        <f t="shared" ref="DJ14:DJ19" si="121">DE14+DH14-DI14</f>
        <v>32</v>
      </c>
      <c r="DK14" s="3">
        <f t="shared" si="98"/>
        <v>36</v>
      </c>
      <c r="DL14" s="3"/>
      <c r="DM14" s="3">
        <v>0</v>
      </c>
      <c r="DN14" s="3">
        <v>4</v>
      </c>
      <c r="DO14" s="3">
        <f t="shared" ref="DO14:DO19" si="122">DJ14+DM14-DN14</f>
        <v>28</v>
      </c>
      <c r="DP14" s="3">
        <f t="shared" si="99"/>
        <v>36</v>
      </c>
      <c r="DQ14" s="3"/>
      <c r="DR14" s="3">
        <v>0</v>
      </c>
      <c r="DS14" s="3">
        <v>4</v>
      </c>
    </row>
    <row r="15" spans="1:123" x14ac:dyDescent="0.35">
      <c r="A15" s="15">
        <v>97</v>
      </c>
      <c r="B15" s="2" t="s">
        <v>9</v>
      </c>
      <c r="C15" s="2" t="s">
        <v>40</v>
      </c>
      <c r="D15" s="3">
        <f t="shared" si="76"/>
        <v>97</v>
      </c>
      <c r="E15" s="3">
        <v>4</v>
      </c>
      <c r="F15" s="3">
        <v>32</v>
      </c>
      <c r="G15" s="3">
        <v>16</v>
      </c>
      <c r="H15" s="3">
        <v>48</v>
      </c>
      <c r="I15" s="3">
        <f t="shared" si="100"/>
        <v>65</v>
      </c>
      <c r="J15" s="3">
        <f t="shared" si="77"/>
        <v>20</v>
      </c>
      <c r="K15" s="3">
        <v>32</v>
      </c>
      <c r="L15" s="3">
        <v>32</v>
      </c>
      <c r="M15" s="3">
        <v>33</v>
      </c>
      <c r="N15" s="3">
        <f t="shared" si="101"/>
        <v>64</v>
      </c>
      <c r="O15" s="3">
        <f t="shared" si="78"/>
        <v>20</v>
      </c>
      <c r="P15" s="3">
        <v>28</v>
      </c>
      <c r="Q15" s="3">
        <v>32</v>
      </c>
      <c r="R15" s="3">
        <v>11</v>
      </c>
      <c r="S15" s="3">
        <f t="shared" si="102"/>
        <v>85</v>
      </c>
      <c r="T15" s="3">
        <f t="shared" si="79"/>
        <v>16</v>
      </c>
      <c r="U15" s="3">
        <v>0</v>
      </c>
      <c r="V15" s="3">
        <v>16</v>
      </c>
      <c r="W15" s="3">
        <v>25</v>
      </c>
      <c r="X15" s="3">
        <f t="shared" si="103"/>
        <v>76</v>
      </c>
      <c r="Y15" s="3">
        <f t="shared" si="80"/>
        <v>0</v>
      </c>
      <c r="Z15" s="3">
        <v>28</v>
      </c>
      <c r="AA15" s="3">
        <v>16</v>
      </c>
      <c r="AB15" s="3">
        <v>0</v>
      </c>
      <c r="AC15" s="3">
        <f t="shared" si="104"/>
        <v>92</v>
      </c>
      <c r="AD15" s="3">
        <f t="shared" si="81"/>
        <v>12</v>
      </c>
      <c r="AE15" s="3">
        <v>32</v>
      </c>
      <c r="AF15" s="3">
        <v>12</v>
      </c>
      <c r="AG15" s="3">
        <v>34</v>
      </c>
      <c r="AH15" s="3">
        <f t="shared" si="105"/>
        <v>70</v>
      </c>
      <c r="AI15" s="3">
        <f t="shared" si="82"/>
        <v>32</v>
      </c>
      <c r="AJ15" s="3">
        <v>0</v>
      </c>
      <c r="AK15" s="3">
        <v>16</v>
      </c>
      <c r="AL15" s="3">
        <v>60</v>
      </c>
      <c r="AM15" s="3">
        <f t="shared" si="106"/>
        <v>26</v>
      </c>
      <c r="AN15" s="3">
        <f t="shared" si="83"/>
        <v>16</v>
      </c>
      <c r="AO15" s="3">
        <v>48</v>
      </c>
      <c r="AP15" s="3">
        <v>32</v>
      </c>
      <c r="AQ15" s="3">
        <v>27</v>
      </c>
      <c r="AR15" s="3">
        <f t="shared" si="107"/>
        <v>31</v>
      </c>
      <c r="AS15" s="3">
        <f t="shared" si="84"/>
        <v>32</v>
      </c>
      <c r="AT15" s="3">
        <v>28</v>
      </c>
      <c r="AU15" s="3">
        <v>44</v>
      </c>
      <c r="AV15" s="3">
        <v>29</v>
      </c>
      <c r="AW15" s="3">
        <f t="shared" si="108"/>
        <v>46</v>
      </c>
      <c r="AX15" s="3">
        <f t="shared" si="85"/>
        <v>16</v>
      </c>
      <c r="AY15" s="3">
        <v>56</v>
      </c>
      <c r="AZ15" s="3">
        <v>32</v>
      </c>
      <c r="BA15" s="3">
        <v>2</v>
      </c>
      <c r="BB15" s="3">
        <f t="shared" si="109"/>
        <v>76</v>
      </c>
      <c r="BC15" s="3">
        <f t="shared" si="86"/>
        <v>40</v>
      </c>
      <c r="BD15" s="3">
        <v>24</v>
      </c>
      <c r="BE15" s="3">
        <v>40</v>
      </c>
      <c r="BF15" s="3">
        <v>40</v>
      </c>
      <c r="BG15" s="3">
        <f t="shared" si="110"/>
        <v>76</v>
      </c>
      <c r="BH15" s="3">
        <f t="shared" si="87"/>
        <v>24</v>
      </c>
      <c r="BI15" s="3">
        <v>19</v>
      </c>
      <c r="BJ15" s="3">
        <v>16</v>
      </c>
      <c r="BK15" s="3">
        <v>31</v>
      </c>
      <c r="BL15" s="3">
        <f t="shared" si="111"/>
        <v>61</v>
      </c>
      <c r="BM15" s="3">
        <f t="shared" si="88"/>
        <v>27</v>
      </c>
      <c r="BN15" s="3">
        <v>49</v>
      </c>
      <c r="BO15" s="3">
        <v>48</v>
      </c>
      <c r="BP15" s="3">
        <v>33</v>
      </c>
      <c r="BQ15" s="3">
        <f t="shared" si="112"/>
        <v>76</v>
      </c>
      <c r="BR15" s="3">
        <f t="shared" si="89"/>
        <v>28</v>
      </c>
      <c r="BS15" s="3">
        <v>74</v>
      </c>
      <c r="BT15" s="3">
        <v>56</v>
      </c>
      <c r="BU15" s="3">
        <v>31</v>
      </c>
      <c r="BV15" s="3">
        <f t="shared" si="113"/>
        <v>101</v>
      </c>
      <c r="BW15" s="3">
        <f t="shared" si="90"/>
        <v>46</v>
      </c>
      <c r="BX15" s="3">
        <v>36</v>
      </c>
      <c r="BY15" s="3">
        <v>24</v>
      </c>
      <c r="BZ15" s="3">
        <v>67</v>
      </c>
      <c r="CA15" s="3">
        <f t="shared" si="114"/>
        <v>58</v>
      </c>
      <c r="CB15" s="3">
        <f t="shared" si="91"/>
        <v>58</v>
      </c>
      <c r="CC15" s="3">
        <v>38</v>
      </c>
      <c r="CD15" s="3">
        <v>32</v>
      </c>
      <c r="CE15" s="3">
        <v>39</v>
      </c>
      <c r="CF15" s="3">
        <f t="shared" si="115"/>
        <v>51</v>
      </c>
      <c r="CG15" s="3">
        <f t="shared" si="92"/>
        <v>64</v>
      </c>
      <c r="CH15" s="3">
        <v>16</v>
      </c>
      <c r="CI15" s="3">
        <v>28</v>
      </c>
      <c r="CJ15" s="3">
        <v>44</v>
      </c>
      <c r="CK15" s="3">
        <f t="shared" si="116"/>
        <v>35</v>
      </c>
      <c r="CL15" s="3">
        <f t="shared" si="93"/>
        <v>52</v>
      </c>
      <c r="CM15" s="3">
        <v>44</v>
      </c>
      <c r="CN15" s="3">
        <v>32</v>
      </c>
      <c r="CO15" s="3">
        <v>7</v>
      </c>
      <c r="CP15" s="3">
        <f t="shared" si="117"/>
        <v>60</v>
      </c>
      <c r="CQ15" s="3">
        <f t="shared" si="94"/>
        <v>64</v>
      </c>
      <c r="CR15" s="3">
        <v>16</v>
      </c>
      <c r="CS15" s="3">
        <v>32</v>
      </c>
      <c r="CT15" s="3">
        <v>56</v>
      </c>
      <c r="CU15" s="3">
        <f t="shared" si="118"/>
        <v>36</v>
      </c>
      <c r="CV15" s="3">
        <f t="shared" si="95"/>
        <v>48</v>
      </c>
      <c r="CW15" s="3">
        <v>36</v>
      </c>
      <c r="CX15" s="3">
        <v>28</v>
      </c>
      <c r="CY15" s="3">
        <v>46</v>
      </c>
      <c r="CZ15" s="3">
        <f t="shared" si="119"/>
        <v>18</v>
      </c>
      <c r="DA15" s="3">
        <f t="shared" si="96"/>
        <v>56</v>
      </c>
      <c r="DB15" s="3">
        <v>28</v>
      </c>
      <c r="DC15" s="3">
        <v>32</v>
      </c>
      <c r="DD15" s="3">
        <v>8</v>
      </c>
      <c r="DE15" s="3">
        <f t="shared" si="120"/>
        <v>42</v>
      </c>
      <c r="DF15" s="3">
        <f t="shared" si="97"/>
        <v>52</v>
      </c>
      <c r="DG15" s="3">
        <f>32+46</f>
        <v>78</v>
      </c>
      <c r="DH15" s="3">
        <v>16</v>
      </c>
      <c r="DI15" s="3">
        <v>27</v>
      </c>
      <c r="DJ15" s="3">
        <f t="shared" si="121"/>
        <v>31</v>
      </c>
      <c r="DK15" s="3">
        <f t="shared" si="98"/>
        <v>114</v>
      </c>
      <c r="DL15" s="3">
        <v>12</v>
      </c>
      <c r="DM15" s="3">
        <v>76</v>
      </c>
      <c r="DN15" s="3">
        <v>76</v>
      </c>
      <c r="DO15" s="3">
        <f t="shared" si="122"/>
        <v>31</v>
      </c>
      <c r="DP15" s="3">
        <f t="shared" si="99"/>
        <v>50</v>
      </c>
      <c r="DQ15" s="3">
        <v>24</v>
      </c>
      <c r="DR15" s="3">
        <v>0</v>
      </c>
      <c r="DS15" s="3">
        <v>18</v>
      </c>
    </row>
    <row r="16" spans="1:123" x14ac:dyDescent="0.35">
      <c r="A16" s="15">
        <v>63</v>
      </c>
      <c r="B16" s="2" t="s">
        <v>24</v>
      </c>
      <c r="C16" s="2" t="s">
        <v>28</v>
      </c>
      <c r="D16" s="3">
        <f t="shared" si="76"/>
        <v>63</v>
      </c>
      <c r="E16" s="3">
        <v>12</v>
      </c>
      <c r="F16" s="3">
        <f>0+12</f>
        <v>12</v>
      </c>
      <c r="G16" s="3">
        <v>12</v>
      </c>
      <c r="H16" s="3">
        <v>11</v>
      </c>
      <c r="I16" s="3">
        <f t="shared" si="100"/>
        <v>64</v>
      </c>
      <c r="J16" s="3">
        <f t="shared" si="77"/>
        <v>12</v>
      </c>
      <c r="K16" s="3">
        <v>12</v>
      </c>
      <c r="L16" s="3">
        <v>12</v>
      </c>
      <c r="M16" s="3">
        <v>20</v>
      </c>
      <c r="N16" s="3">
        <f t="shared" si="101"/>
        <v>56</v>
      </c>
      <c r="O16" s="3">
        <f t="shared" si="78"/>
        <v>12</v>
      </c>
      <c r="P16" s="3">
        <v>0</v>
      </c>
      <c r="Q16" s="3">
        <v>0</v>
      </c>
      <c r="R16" s="3">
        <v>8</v>
      </c>
      <c r="S16" s="3">
        <f t="shared" si="102"/>
        <v>48</v>
      </c>
      <c r="T16" s="3">
        <f t="shared" si="79"/>
        <v>12</v>
      </c>
      <c r="U16" s="3">
        <v>0</v>
      </c>
      <c r="V16" s="3">
        <v>12</v>
      </c>
      <c r="W16" s="3">
        <v>23</v>
      </c>
      <c r="X16" s="3">
        <f t="shared" si="103"/>
        <v>37</v>
      </c>
      <c r="Y16" s="3">
        <f t="shared" si="80"/>
        <v>0</v>
      </c>
      <c r="Z16" s="3"/>
      <c r="AA16" s="3">
        <v>0</v>
      </c>
      <c r="AB16" s="3">
        <v>0</v>
      </c>
      <c r="AC16" s="3">
        <f t="shared" si="104"/>
        <v>37</v>
      </c>
      <c r="AD16" s="3">
        <f t="shared" si="81"/>
        <v>0</v>
      </c>
      <c r="AE16" s="3">
        <v>12</v>
      </c>
      <c r="AF16" s="3">
        <v>0</v>
      </c>
      <c r="AG16" s="3">
        <v>2</v>
      </c>
      <c r="AH16" s="3">
        <f t="shared" si="105"/>
        <v>35</v>
      </c>
      <c r="AI16" s="3">
        <f t="shared" si="82"/>
        <v>12</v>
      </c>
      <c r="AJ16" s="3">
        <v>20</v>
      </c>
      <c r="AK16" s="3">
        <v>32</v>
      </c>
      <c r="AL16" s="3">
        <v>11</v>
      </c>
      <c r="AM16" s="3">
        <f t="shared" si="106"/>
        <v>56</v>
      </c>
      <c r="AN16" s="3">
        <f t="shared" si="83"/>
        <v>0</v>
      </c>
      <c r="AO16" s="3"/>
      <c r="AP16" s="3">
        <v>0</v>
      </c>
      <c r="AQ16" s="3">
        <v>0</v>
      </c>
      <c r="AR16" s="3">
        <f t="shared" si="107"/>
        <v>56</v>
      </c>
      <c r="AS16" s="3">
        <f t="shared" si="84"/>
        <v>0</v>
      </c>
      <c r="AT16" s="3"/>
      <c r="AU16" s="3">
        <v>0</v>
      </c>
      <c r="AV16" s="3">
        <v>0</v>
      </c>
      <c r="AW16" s="3">
        <f t="shared" si="108"/>
        <v>56</v>
      </c>
      <c r="AX16" s="3">
        <f t="shared" si="85"/>
        <v>0</v>
      </c>
      <c r="AY16" s="3"/>
      <c r="AZ16" s="3">
        <v>0</v>
      </c>
      <c r="BA16" s="3">
        <v>0</v>
      </c>
      <c r="BB16" s="3">
        <f t="shared" si="109"/>
        <v>56</v>
      </c>
      <c r="BC16" s="3">
        <f t="shared" si="86"/>
        <v>0</v>
      </c>
      <c r="BD16" s="3">
        <v>16</v>
      </c>
      <c r="BE16" s="3">
        <v>16</v>
      </c>
      <c r="BF16" s="3">
        <v>16</v>
      </c>
      <c r="BG16" s="3">
        <f t="shared" si="110"/>
        <v>56</v>
      </c>
      <c r="BH16" s="3">
        <f t="shared" si="87"/>
        <v>0</v>
      </c>
      <c r="BI16" s="3">
        <v>22</v>
      </c>
      <c r="BJ16" s="3">
        <v>16</v>
      </c>
      <c r="BK16" s="3">
        <v>26</v>
      </c>
      <c r="BL16" s="3">
        <f t="shared" si="111"/>
        <v>46</v>
      </c>
      <c r="BM16" s="3">
        <f t="shared" si="88"/>
        <v>6</v>
      </c>
      <c r="BN16" s="3">
        <v>26</v>
      </c>
      <c r="BO16" s="3">
        <v>16</v>
      </c>
      <c r="BP16" s="3">
        <v>6</v>
      </c>
      <c r="BQ16" s="3">
        <f t="shared" si="112"/>
        <v>56</v>
      </c>
      <c r="BR16" s="3">
        <f t="shared" si="89"/>
        <v>16</v>
      </c>
      <c r="BS16" s="3"/>
      <c r="BT16" s="3">
        <v>0</v>
      </c>
      <c r="BU16" s="3">
        <v>2</v>
      </c>
      <c r="BV16" s="3">
        <f t="shared" si="113"/>
        <v>54</v>
      </c>
      <c r="BW16" s="3">
        <f t="shared" si="90"/>
        <v>16</v>
      </c>
      <c r="BX16" s="3">
        <v>32</v>
      </c>
      <c r="BY16" s="3">
        <v>28</v>
      </c>
      <c r="BZ16" s="3">
        <v>14</v>
      </c>
      <c r="CA16" s="3">
        <f t="shared" si="114"/>
        <v>68</v>
      </c>
      <c r="CB16" s="3">
        <f t="shared" si="91"/>
        <v>20</v>
      </c>
      <c r="CC16" s="3"/>
      <c r="CD16" s="3">
        <v>16</v>
      </c>
      <c r="CE16" s="3">
        <v>23</v>
      </c>
      <c r="CF16" s="3">
        <f t="shared" si="115"/>
        <v>61</v>
      </c>
      <c r="CG16" s="3">
        <f t="shared" si="92"/>
        <v>4</v>
      </c>
      <c r="CH16" s="3">
        <v>40</v>
      </c>
      <c r="CI16" s="3">
        <v>16</v>
      </c>
      <c r="CJ16" s="3">
        <v>32</v>
      </c>
      <c r="CK16" s="3">
        <f t="shared" si="116"/>
        <v>45</v>
      </c>
      <c r="CL16" s="3">
        <f t="shared" si="93"/>
        <v>28</v>
      </c>
      <c r="CM16" s="3">
        <v>20</v>
      </c>
      <c r="CN16" s="3">
        <v>32</v>
      </c>
      <c r="CO16" s="3">
        <v>32</v>
      </c>
      <c r="CP16" s="3">
        <f t="shared" si="117"/>
        <v>45</v>
      </c>
      <c r="CQ16" s="3">
        <f t="shared" si="94"/>
        <v>16</v>
      </c>
      <c r="CR16" s="3">
        <v>0</v>
      </c>
      <c r="CS16" s="3">
        <v>16</v>
      </c>
      <c r="CT16" s="3">
        <v>4</v>
      </c>
      <c r="CU16" s="3">
        <f t="shared" si="118"/>
        <v>57</v>
      </c>
      <c r="CV16" s="3">
        <f t="shared" si="95"/>
        <v>0</v>
      </c>
      <c r="CW16" s="3">
        <v>36</v>
      </c>
      <c r="CX16" s="3">
        <v>16</v>
      </c>
      <c r="CY16" s="3">
        <v>36</v>
      </c>
      <c r="CZ16" s="3">
        <f t="shared" si="119"/>
        <v>37</v>
      </c>
      <c r="DA16" s="3">
        <f t="shared" si="96"/>
        <v>20</v>
      </c>
      <c r="DB16" s="3">
        <v>12</v>
      </c>
      <c r="DC16" s="3">
        <v>0</v>
      </c>
      <c r="DD16" s="3">
        <v>10</v>
      </c>
      <c r="DE16" s="3">
        <f t="shared" si="120"/>
        <v>27</v>
      </c>
      <c r="DF16" s="3">
        <f t="shared" si="97"/>
        <v>32</v>
      </c>
      <c r="DG16" s="3">
        <v>12</v>
      </c>
      <c r="DH16" s="3">
        <v>0</v>
      </c>
      <c r="DI16" s="3">
        <v>0</v>
      </c>
      <c r="DJ16" s="3">
        <f t="shared" si="121"/>
        <v>27</v>
      </c>
      <c r="DK16" s="3">
        <f t="shared" si="98"/>
        <v>44</v>
      </c>
      <c r="DL16" s="3"/>
      <c r="DM16" s="3">
        <v>28</v>
      </c>
      <c r="DN16" s="3">
        <v>28</v>
      </c>
      <c r="DO16" s="3">
        <f t="shared" si="122"/>
        <v>27</v>
      </c>
      <c r="DP16" s="3">
        <f t="shared" si="99"/>
        <v>16</v>
      </c>
      <c r="DQ16" s="3"/>
      <c r="DR16" s="3">
        <v>0</v>
      </c>
      <c r="DS16" s="3">
        <v>5</v>
      </c>
    </row>
    <row r="17" spans="1:123" x14ac:dyDescent="0.35">
      <c r="A17" s="3">
        <v>36</v>
      </c>
      <c r="B17" s="2" t="s">
        <v>10</v>
      </c>
      <c r="C17" s="2" t="s">
        <v>41</v>
      </c>
      <c r="D17" s="3">
        <f t="shared" si="76"/>
        <v>36</v>
      </c>
      <c r="E17" s="3">
        <v>16</v>
      </c>
      <c r="F17" s="3">
        <v>16</v>
      </c>
      <c r="G17" s="3">
        <v>32</v>
      </c>
      <c r="H17" s="3">
        <v>35</v>
      </c>
      <c r="I17" s="3">
        <f t="shared" si="100"/>
        <v>33</v>
      </c>
      <c r="J17" s="3">
        <f t="shared" si="77"/>
        <v>0</v>
      </c>
      <c r="K17" s="3">
        <v>0</v>
      </c>
      <c r="L17" s="3">
        <v>0</v>
      </c>
      <c r="M17" s="3">
        <v>9</v>
      </c>
      <c r="N17" s="3">
        <f t="shared" si="101"/>
        <v>24</v>
      </c>
      <c r="O17" s="3">
        <f t="shared" si="78"/>
        <v>0</v>
      </c>
      <c r="P17" s="3">
        <v>0</v>
      </c>
      <c r="Q17" s="3">
        <v>0</v>
      </c>
      <c r="R17" s="3">
        <v>0</v>
      </c>
      <c r="S17" s="3">
        <f t="shared" si="102"/>
        <v>24</v>
      </c>
      <c r="T17" s="3">
        <f t="shared" si="79"/>
        <v>0</v>
      </c>
      <c r="U17" s="3">
        <v>0</v>
      </c>
      <c r="V17" s="3">
        <v>0</v>
      </c>
      <c r="W17" s="3">
        <v>0</v>
      </c>
      <c r="X17" s="3">
        <f t="shared" si="103"/>
        <v>24</v>
      </c>
      <c r="Y17" s="3">
        <f t="shared" si="80"/>
        <v>0</v>
      </c>
      <c r="Z17" s="3"/>
      <c r="AA17" s="3">
        <v>0</v>
      </c>
      <c r="AB17" s="3">
        <v>0</v>
      </c>
      <c r="AC17" s="3">
        <f t="shared" si="104"/>
        <v>24</v>
      </c>
      <c r="AD17" s="3">
        <f t="shared" si="81"/>
        <v>0</v>
      </c>
      <c r="AE17" s="3">
        <v>0</v>
      </c>
      <c r="AF17" s="3">
        <v>0</v>
      </c>
      <c r="AG17" s="3">
        <v>0</v>
      </c>
      <c r="AH17" s="3">
        <f t="shared" si="105"/>
        <v>24</v>
      </c>
      <c r="AI17" s="3">
        <f t="shared" si="82"/>
        <v>0</v>
      </c>
      <c r="AJ17" s="3">
        <v>10</v>
      </c>
      <c r="AK17" s="3">
        <v>10</v>
      </c>
      <c r="AL17" s="3">
        <v>2</v>
      </c>
      <c r="AM17" s="3">
        <f t="shared" si="106"/>
        <v>32</v>
      </c>
      <c r="AN17" s="3">
        <f t="shared" si="83"/>
        <v>0</v>
      </c>
      <c r="AO17" s="3"/>
      <c r="AP17" s="3">
        <v>0</v>
      </c>
      <c r="AQ17" s="3">
        <v>0</v>
      </c>
      <c r="AR17" s="3">
        <f t="shared" si="107"/>
        <v>32</v>
      </c>
      <c r="AS17" s="3">
        <f t="shared" si="84"/>
        <v>0</v>
      </c>
      <c r="AT17" s="3"/>
      <c r="AU17" s="3">
        <v>0</v>
      </c>
      <c r="AV17" s="3">
        <v>0</v>
      </c>
      <c r="AW17" s="3">
        <f t="shared" si="108"/>
        <v>32</v>
      </c>
      <c r="AX17" s="3">
        <f t="shared" si="85"/>
        <v>0</v>
      </c>
      <c r="AY17" s="3"/>
      <c r="AZ17" s="3">
        <v>0</v>
      </c>
      <c r="BA17" s="3">
        <v>0</v>
      </c>
      <c r="BB17" s="3">
        <f t="shared" si="109"/>
        <v>32</v>
      </c>
      <c r="BC17" s="3">
        <f t="shared" si="86"/>
        <v>0</v>
      </c>
      <c r="BD17" s="3">
        <v>0</v>
      </c>
      <c r="BE17" s="3">
        <v>0</v>
      </c>
      <c r="BF17" s="3">
        <v>0</v>
      </c>
      <c r="BG17" s="3">
        <f t="shared" si="110"/>
        <v>32</v>
      </c>
      <c r="BH17" s="3">
        <f t="shared" si="87"/>
        <v>0</v>
      </c>
      <c r="BI17" s="3">
        <v>0</v>
      </c>
      <c r="BJ17" s="3">
        <v>0</v>
      </c>
      <c r="BK17" s="3">
        <v>0</v>
      </c>
      <c r="BL17" s="3">
        <f t="shared" si="111"/>
        <v>32</v>
      </c>
      <c r="BM17" s="3">
        <f t="shared" si="88"/>
        <v>0</v>
      </c>
      <c r="BN17" s="3">
        <v>0</v>
      </c>
      <c r="BO17" s="3">
        <v>0</v>
      </c>
      <c r="BP17" s="3">
        <v>0</v>
      </c>
      <c r="BQ17" s="3">
        <f t="shared" si="112"/>
        <v>32</v>
      </c>
      <c r="BR17" s="3">
        <f t="shared" si="89"/>
        <v>0</v>
      </c>
      <c r="BS17" s="3"/>
      <c r="BT17" s="3">
        <v>0</v>
      </c>
      <c r="BU17" s="3">
        <v>0</v>
      </c>
      <c r="BV17" s="3">
        <f t="shared" si="113"/>
        <v>32</v>
      </c>
      <c r="BW17" s="3">
        <f t="shared" si="90"/>
        <v>0</v>
      </c>
      <c r="BX17" s="3"/>
      <c r="BY17" s="3">
        <v>0</v>
      </c>
      <c r="BZ17" s="3">
        <v>2</v>
      </c>
      <c r="CA17" s="3">
        <f t="shared" si="114"/>
        <v>30</v>
      </c>
      <c r="CB17" s="3">
        <f t="shared" si="91"/>
        <v>0</v>
      </c>
      <c r="CC17" s="3"/>
      <c r="CD17" s="3">
        <v>0</v>
      </c>
      <c r="CE17" s="3">
        <v>0</v>
      </c>
      <c r="CF17" s="3">
        <f t="shared" si="115"/>
        <v>30</v>
      </c>
      <c r="CG17" s="3">
        <f t="shared" si="92"/>
        <v>0</v>
      </c>
      <c r="CH17" s="3">
        <v>0</v>
      </c>
      <c r="CI17" s="3">
        <v>0</v>
      </c>
      <c r="CJ17" s="3">
        <v>0</v>
      </c>
      <c r="CK17" s="3">
        <f t="shared" si="116"/>
        <v>30</v>
      </c>
      <c r="CL17" s="3">
        <f t="shared" si="93"/>
        <v>0</v>
      </c>
      <c r="CM17" s="3">
        <v>0</v>
      </c>
      <c r="CN17" s="3">
        <v>0</v>
      </c>
      <c r="CO17" s="3">
        <v>0</v>
      </c>
      <c r="CP17" s="3">
        <f t="shared" si="117"/>
        <v>30</v>
      </c>
      <c r="CQ17" s="3">
        <f t="shared" si="94"/>
        <v>0</v>
      </c>
      <c r="CR17" s="3">
        <v>0</v>
      </c>
      <c r="CS17" s="3">
        <v>0</v>
      </c>
      <c r="CT17" s="3">
        <v>0</v>
      </c>
      <c r="CU17" s="3">
        <f t="shared" si="118"/>
        <v>30</v>
      </c>
      <c r="CV17" s="3">
        <f t="shared" si="95"/>
        <v>0</v>
      </c>
      <c r="CW17" s="3">
        <v>0</v>
      </c>
      <c r="CX17" s="3">
        <v>0</v>
      </c>
      <c r="CY17" s="3">
        <v>0</v>
      </c>
      <c r="CZ17" s="3">
        <f t="shared" si="119"/>
        <v>30</v>
      </c>
      <c r="DA17" s="3">
        <f t="shared" si="96"/>
        <v>0</v>
      </c>
      <c r="DB17" s="3"/>
      <c r="DC17" s="3">
        <v>0</v>
      </c>
      <c r="DD17" s="3">
        <v>0</v>
      </c>
      <c r="DE17" s="3">
        <f t="shared" si="120"/>
        <v>30</v>
      </c>
      <c r="DF17" s="3">
        <f t="shared" si="97"/>
        <v>0</v>
      </c>
      <c r="DG17" s="3"/>
      <c r="DH17" s="3">
        <v>0</v>
      </c>
      <c r="DI17" s="3">
        <v>0</v>
      </c>
      <c r="DJ17" s="3">
        <f t="shared" si="121"/>
        <v>30</v>
      </c>
      <c r="DK17" s="3">
        <f t="shared" si="98"/>
        <v>0</v>
      </c>
      <c r="DL17" s="3"/>
      <c r="DM17" s="3">
        <v>0</v>
      </c>
      <c r="DN17" s="3">
        <v>0</v>
      </c>
      <c r="DO17" s="3">
        <f t="shared" si="122"/>
        <v>30</v>
      </c>
      <c r="DP17" s="3">
        <f t="shared" si="99"/>
        <v>0</v>
      </c>
      <c r="DQ17" s="3"/>
      <c r="DR17" s="3">
        <v>0</v>
      </c>
      <c r="DS17" s="3">
        <v>2</v>
      </c>
    </row>
    <row r="18" spans="1:123" x14ac:dyDescent="0.35">
      <c r="A18" s="15">
        <v>99</v>
      </c>
      <c r="B18" s="2" t="s">
        <v>11</v>
      </c>
      <c r="C18" s="2" t="s">
        <v>29</v>
      </c>
      <c r="D18" s="3">
        <f t="shared" si="76"/>
        <v>99</v>
      </c>
      <c r="E18" s="3">
        <v>16</v>
      </c>
      <c r="F18" s="3">
        <v>28</v>
      </c>
      <c r="G18" s="3">
        <v>32</v>
      </c>
      <c r="H18" s="3">
        <v>24</v>
      </c>
      <c r="I18" s="3">
        <f t="shared" si="100"/>
        <v>107</v>
      </c>
      <c r="J18" s="3">
        <f t="shared" si="77"/>
        <v>12</v>
      </c>
      <c r="K18" s="3">
        <v>48</v>
      </c>
      <c r="L18" s="3">
        <v>44</v>
      </c>
      <c r="M18" s="3">
        <v>52</v>
      </c>
      <c r="N18" s="3">
        <f t="shared" si="101"/>
        <v>99</v>
      </c>
      <c r="O18" s="3">
        <f t="shared" si="78"/>
        <v>16</v>
      </c>
      <c r="P18" s="3">
        <v>64</v>
      </c>
      <c r="Q18" s="3">
        <v>64</v>
      </c>
      <c r="R18" s="3">
        <v>17</v>
      </c>
      <c r="S18" s="3">
        <f t="shared" si="102"/>
        <v>146</v>
      </c>
      <c r="T18" s="3">
        <f t="shared" si="79"/>
        <v>16</v>
      </c>
      <c r="U18" s="3">
        <v>48</v>
      </c>
      <c r="V18" s="3">
        <v>48</v>
      </c>
      <c r="W18" s="3">
        <v>85</v>
      </c>
      <c r="X18" s="3">
        <f t="shared" si="103"/>
        <v>109</v>
      </c>
      <c r="Y18" s="3">
        <f t="shared" si="80"/>
        <v>16</v>
      </c>
      <c r="Z18" s="3">
        <v>60</v>
      </c>
      <c r="AA18" s="3">
        <v>60</v>
      </c>
      <c r="AB18" s="3">
        <v>51</v>
      </c>
      <c r="AC18" s="3">
        <f t="shared" si="104"/>
        <v>118</v>
      </c>
      <c r="AD18" s="3">
        <f t="shared" si="81"/>
        <v>16</v>
      </c>
      <c r="AE18" s="3">
        <v>48</v>
      </c>
      <c r="AF18" s="3">
        <v>16</v>
      </c>
      <c r="AG18" s="3">
        <v>9</v>
      </c>
      <c r="AH18" s="3">
        <f t="shared" si="105"/>
        <v>125</v>
      </c>
      <c r="AI18" s="3">
        <f t="shared" si="82"/>
        <v>48</v>
      </c>
      <c r="AJ18" s="3">
        <v>28</v>
      </c>
      <c r="AK18" s="3">
        <v>76</v>
      </c>
      <c r="AL18" s="3">
        <v>96</v>
      </c>
      <c r="AM18" s="3">
        <f t="shared" si="106"/>
        <v>105</v>
      </c>
      <c r="AN18" s="3">
        <f t="shared" si="83"/>
        <v>0</v>
      </c>
      <c r="AO18" s="3">
        <v>64</v>
      </c>
      <c r="AP18" s="3">
        <v>48</v>
      </c>
      <c r="AQ18" s="3">
        <v>78</v>
      </c>
      <c r="AR18" s="3">
        <f t="shared" si="107"/>
        <v>75</v>
      </c>
      <c r="AS18" s="3">
        <f t="shared" si="84"/>
        <v>16</v>
      </c>
      <c r="AT18" s="3">
        <v>48</v>
      </c>
      <c r="AU18" s="3">
        <v>48</v>
      </c>
      <c r="AV18" s="3">
        <v>8</v>
      </c>
      <c r="AW18" s="3">
        <f t="shared" si="108"/>
        <v>115</v>
      </c>
      <c r="AX18" s="3">
        <f t="shared" si="85"/>
        <v>16</v>
      </c>
      <c r="AY18" s="3">
        <v>28</v>
      </c>
      <c r="AZ18" s="3">
        <v>16</v>
      </c>
      <c r="BA18" s="3">
        <v>16</v>
      </c>
      <c r="BB18" s="3">
        <f t="shared" si="109"/>
        <v>115</v>
      </c>
      <c r="BC18" s="3">
        <f t="shared" si="86"/>
        <v>28</v>
      </c>
      <c r="BD18" s="3">
        <v>0</v>
      </c>
      <c r="BE18" s="3">
        <v>28</v>
      </c>
      <c r="BF18" s="3">
        <v>36</v>
      </c>
      <c r="BG18" s="3">
        <f t="shared" si="110"/>
        <v>107</v>
      </c>
      <c r="BH18" s="3">
        <f t="shared" si="87"/>
        <v>0</v>
      </c>
      <c r="BI18" s="3">
        <v>0</v>
      </c>
      <c r="BJ18" s="3">
        <v>0</v>
      </c>
      <c r="BK18" s="3">
        <v>0</v>
      </c>
      <c r="BL18" s="3">
        <f t="shared" si="111"/>
        <v>107</v>
      </c>
      <c r="BM18" s="3">
        <f t="shared" si="88"/>
        <v>0</v>
      </c>
      <c r="BN18" s="3">
        <v>0</v>
      </c>
      <c r="BO18" s="3">
        <v>0</v>
      </c>
      <c r="BP18" s="3">
        <v>10</v>
      </c>
      <c r="BQ18" s="3">
        <f t="shared" si="112"/>
        <v>97</v>
      </c>
      <c r="BR18" s="3">
        <f t="shared" si="89"/>
        <v>0</v>
      </c>
      <c r="BS18" s="3"/>
      <c r="BT18" s="3">
        <v>0</v>
      </c>
      <c r="BU18" s="3">
        <v>0</v>
      </c>
      <c r="BV18" s="3">
        <f t="shared" si="113"/>
        <v>97</v>
      </c>
      <c r="BW18" s="3">
        <f t="shared" si="90"/>
        <v>0</v>
      </c>
      <c r="BX18" s="3"/>
      <c r="BY18" s="3">
        <v>0</v>
      </c>
      <c r="BZ18" s="3">
        <v>27</v>
      </c>
      <c r="CA18" s="3">
        <f t="shared" si="114"/>
        <v>70</v>
      </c>
      <c r="CB18" s="3">
        <f t="shared" si="91"/>
        <v>0</v>
      </c>
      <c r="CC18" s="3"/>
      <c r="CD18" s="3">
        <v>0</v>
      </c>
      <c r="CE18" s="3">
        <v>0</v>
      </c>
      <c r="CF18" s="3">
        <f t="shared" si="115"/>
        <v>70</v>
      </c>
      <c r="CG18" s="3">
        <f t="shared" si="92"/>
        <v>0</v>
      </c>
      <c r="CH18" s="3">
        <v>0</v>
      </c>
      <c r="CI18" s="3">
        <v>0</v>
      </c>
      <c r="CJ18" s="3">
        <v>0</v>
      </c>
      <c r="CK18" s="3">
        <f t="shared" si="116"/>
        <v>70</v>
      </c>
      <c r="CL18" s="3">
        <f t="shared" si="93"/>
        <v>0</v>
      </c>
      <c r="CM18" s="3">
        <v>0</v>
      </c>
      <c r="CN18" s="3">
        <v>0</v>
      </c>
      <c r="CO18" s="3">
        <v>0</v>
      </c>
      <c r="CP18" s="3">
        <f t="shared" si="117"/>
        <v>70</v>
      </c>
      <c r="CQ18" s="3">
        <f t="shared" si="94"/>
        <v>0</v>
      </c>
      <c r="CR18" s="3">
        <v>12</v>
      </c>
      <c r="CS18" s="3">
        <v>0</v>
      </c>
      <c r="CT18" s="3">
        <v>0</v>
      </c>
      <c r="CU18" s="3">
        <f t="shared" si="118"/>
        <v>70</v>
      </c>
      <c r="CV18" s="3">
        <f t="shared" si="95"/>
        <v>12</v>
      </c>
      <c r="CW18" s="3">
        <v>8</v>
      </c>
      <c r="CX18" s="3">
        <v>0</v>
      </c>
      <c r="CY18" s="3">
        <v>0</v>
      </c>
      <c r="CZ18" s="3">
        <f t="shared" si="119"/>
        <v>70</v>
      </c>
      <c r="DA18" s="3">
        <f t="shared" si="96"/>
        <v>20</v>
      </c>
      <c r="DB18" s="3"/>
      <c r="DC18" s="3">
        <v>0</v>
      </c>
      <c r="DD18" s="3">
        <v>2</v>
      </c>
      <c r="DE18" s="3">
        <f t="shared" si="120"/>
        <v>68</v>
      </c>
      <c r="DF18" s="3">
        <f t="shared" si="97"/>
        <v>20</v>
      </c>
      <c r="DG18" s="3"/>
      <c r="DH18" s="3">
        <v>0</v>
      </c>
      <c r="DI18" s="3">
        <v>16</v>
      </c>
      <c r="DJ18" s="3">
        <f t="shared" si="121"/>
        <v>52</v>
      </c>
      <c r="DK18" s="3">
        <f t="shared" si="98"/>
        <v>20</v>
      </c>
      <c r="DL18" s="3"/>
      <c r="DM18" s="3">
        <v>0</v>
      </c>
      <c r="DN18" s="3">
        <v>6</v>
      </c>
      <c r="DO18" s="3">
        <f t="shared" si="122"/>
        <v>46</v>
      </c>
      <c r="DP18" s="3">
        <f t="shared" si="99"/>
        <v>20</v>
      </c>
      <c r="DQ18" s="3"/>
      <c r="DR18" s="3">
        <v>0</v>
      </c>
      <c r="DS18" s="3">
        <v>2</v>
      </c>
    </row>
    <row r="19" spans="1:123" x14ac:dyDescent="0.35">
      <c r="A19" s="15">
        <v>0</v>
      </c>
      <c r="B19" s="2" t="s">
        <v>12</v>
      </c>
      <c r="C19" s="2" t="s">
        <v>30</v>
      </c>
      <c r="D19" s="3">
        <f t="shared" si="76"/>
        <v>0</v>
      </c>
      <c r="E19" s="3">
        <v>0</v>
      </c>
      <c r="F19" s="3">
        <v>15</v>
      </c>
      <c r="G19" s="3">
        <v>12</v>
      </c>
      <c r="H19" s="3">
        <v>8</v>
      </c>
      <c r="I19" s="3">
        <f t="shared" si="100"/>
        <v>4</v>
      </c>
      <c r="J19" s="3">
        <f t="shared" si="77"/>
        <v>3</v>
      </c>
      <c r="K19" s="3">
        <v>0</v>
      </c>
      <c r="L19" s="3">
        <v>0</v>
      </c>
      <c r="M19" s="3">
        <v>7</v>
      </c>
      <c r="N19" s="3">
        <f t="shared" si="101"/>
        <v>-3</v>
      </c>
      <c r="O19" s="3">
        <f t="shared" si="78"/>
        <v>3</v>
      </c>
      <c r="P19" s="3">
        <v>28</v>
      </c>
      <c r="Q19" s="3">
        <v>28</v>
      </c>
      <c r="R19" s="3">
        <v>24</v>
      </c>
      <c r="S19" s="3">
        <f t="shared" si="102"/>
        <v>1</v>
      </c>
      <c r="T19" s="3">
        <f t="shared" si="79"/>
        <v>3</v>
      </c>
      <c r="U19" s="3">
        <v>13</v>
      </c>
      <c r="V19" s="3">
        <v>16</v>
      </c>
      <c r="W19" s="3">
        <v>13</v>
      </c>
      <c r="X19" s="3">
        <f t="shared" si="103"/>
        <v>4</v>
      </c>
      <c r="Y19" s="3">
        <f t="shared" si="80"/>
        <v>0</v>
      </c>
      <c r="Z19" s="3"/>
      <c r="AA19" s="3">
        <v>0</v>
      </c>
      <c r="AB19" s="3">
        <v>2</v>
      </c>
      <c r="AC19" s="3">
        <f t="shared" si="104"/>
        <v>2</v>
      </c>
      <c r="AD19" s="3">
        <f t="shared" si="81"/>
        <v>0</v>
      </c>
      <c r="AE19" s="3">
        <v>16</v>
      </c>
      <c r="AF19" s="3">
        <v>0</v>
      </c>
      <c r="AG19" s="3">
        <v>6</v>
      </c>
      <c r="AH19" s="3">
        <f t="shared" si="105"/>
        <v>-4</v>
      </c>
      <c r="AI19" s="3">
        <f t="shared" si="82"/>
        <v>16</v>
      </c>
      <c r="AJ19" s="3"/>
      <c r="AK19" s="3">
        <v>16</v>
      </c>
      <c r="AL19" s="3">
        <v>2</v>
      </c>
      <c r="AM19" s="3">
        <f t="shared" si="106"/>
        <v>10</v>
      </c>
      <c r="AN19" s="3">
        <f t="shared" si="83"/>
        <v>0</v>
      </c>
      <c r="AO19" s="3"/>
      <c r="AP19" s="3">
        <v>0</v>
      </c>
      <c r="AQ19" s="3">
        <v>0</v>
      </c>
      <c r="AR19" s="3">
        <f t="shared" si="107"/>
        <v>10</v>
      </c>
      <c r="AS19" s="3">
        <f t="shared" si="84"/>
        <v>0</v>
      </c>
      <c r="AT19" s="3"/>
      <c r="AU19" s="3">
        <v>0</v>
      </c>
      <c r="AV19" s="3">
        <v>2</v>
      </c>
      <c r="AW19" s="3">
        <f t="shared" si="108"/>
        <v>8</v>
      </c>
      <c r="AX19" s="3">
        <f t="shared" si="85"/>
        <v>0</v>
      </c>
      <c r="AY19" s="3"/>
      <c r="AZ19" s="3">
        <v>0</v>
      </c>
      <c r="BA19" s="3">
        <v>10</v>
      </c>
      <c r="BB19" s="3">
        <f t="shared" si="109"/>
        <v>-2</v>
      </c>
      <c r="BC19" s="3">
        <f t="shared" si="86"/>
        <v>0</v>
      </c>
      <c r="BD19" s="3">
        <v>28</v>
      </c>
      <c r="BE19" s="3">
        <v>28</v>
      </c>
      <c r="BF19" s="3">
        <v>0</v>
      </c>
      <c r="BG19" s="3">
        <f t="shared" si="110"/>
        <v>26</v>
      </c>
      <c r="BH19" s="3">
        <f t="shared" si="87"/>
        <v>0</v>
      </c>
      <c r="BI19" s="3">
        <v>32</v>
      </c>
      <c r="BJ19" s="3">
        <v>32</v>
      </c>
      <c r="BK19" s="3">
        <v>22</v>
      </c>
      <c r="BL19" s="3">
        <f t="shared" si="111"/>
        <v>36</v>
      </c>
      <c r="BM19" s="3">
        <f t="shared" si="88"/>
        <v>0</v>
      </c>
      <c r="BN19" s="3">
        <v>0</v>
      </c>
      <c r="BO19" s="3">
        <v>0</v>
      </c>
      <c r="BP19" s="3">
        <v>0</v>
      </c>
      <c r="BQ19" s="3">
        <f t="shared" si="112"/>
        <v>36</v>
      </c>
      <c r="BR19" s="3">
        <f t="shared" si="89"/>
        <v>0</v>
      </c>
      <c r="BS19" s="3"/>
      <c r="BT19" s="3">
        <v>0</v>
      </c>
      <c r="BU19" s="3">
        <v>0</v>
      </c>
      <c r="BV19" s="3">
        <f t="shared" si="113"/>
        <v>36</v>
      </c>
      <c r="BW19" s="3">
        <f t="shared" si="90"/>
        <v>0</v>
      </c>
      <c r="BX19" s="3"/>
      <c r="BY19" s="3">
        <v>0</v>
      </c>
      <c r="BZ19" s="3">
        <v>7</v>
      </c>
      <c r="CA19" s="3">
        <f t="shared" si="114"/>
        <v>29</v>
      </c>
      <c r="CB19" s="3">
        <f t="shared" si="91"/>
        <v>0</v>
      </c>
      <c r="CC19" s="3"/>
      <c r="CD19" s="3">
        <v>0</v>
      </c>
      <c r="CE19" s="3">
        <v>0</v>
      </c>
      <c r="CF19" s="3">
        <f t="shared" si="115"/>
        <v>29</v>
      </c>
      <c r="CG19" s="3">
        <f t="shared" si="92"/>
        <v>0</v>
      </c>
      <c r="CH19" s="3">
        <v>0</v>
      </c>
      <c r="CI19" s="3">
        <v>0</v>
      </c>
      <c r="CJ19" s="3">
        <v>0</v>
      </c>
      <c r="CK19" s="3">
        <f t="shared" si="116"/>
        <v>29</v>
      </c>
      <c r="CL19" s="3">
        <f t="shared" si="93"/>
        <v>0</v>
      </c>
      <c r="CM19" s="3">
        <v>36</v>
      </c>
      <c r="CN19" s="3">
        <v>16</v>
      </c>
      <c r="CO19" s="3">
        <v>0</v>
      </c>
      <c r="CP19" s="3">
        <f t="shared" si="117"/>
        <v>45</v>
      </c>
      <c r="CQ19" s="3">
        <f t="shared" si="94"/>
        <v>20</v>
      </c>
      <c r="CR19" s="3">
        <v>12</v>
      </c>
      <c r="CS19" s="3">
        <v>12</v>
      </c>
      <c r="CT19" s="3">
        <v>5</v>
      </c>
      <c r="CU19" s="3">
        <f t="shared" si="118"/>
        <v>52</v>
      </c>
      <c r="CV19" s="3">
        <f t="shared" si="95"/>
        <v>20</v>
      </c>
      <c r="CW19" s="3">
        <v>2</v>
      </c>
      <c r="CX19" s="3">
        <v>16</v>
      </c>
      <c r="CY19" s="3">
        <v>18</v>
      </c>
      <c r="CZ19" s="3">
        <f t="shared" si="119"/>
        <v>50</v>
      </c>
      <c r="DA19" s="3">
        <f t="shared" si="96"/>
        <v>6</v>
      </c>
      <c r="DB19" s="3"/>
      <c r="DC19" s="3">
        <v>0</v>
      </c>
      <c r="DD19" s="3">
        <v>0</v>
      </c>
      <c r="DE19" s="3">
        <f t="shared" si="120"/>
        <v>50</v>
      </c>
      <c r="DF19" s="3">
        <f t="shared" si="97"/>
        <v>6</v>
      </c>
      <c r="DG19" s="3">
        <v>18</v>
      </c>
      <c r="DH19" s="3">
        <v>0</v>
      </c>
      <c r="DI19" s="3">
        <v>10</v>
      </c>
      <c r="DJ19" s="3">
        <f t="shared" si="121"/>
        <v>40</v>
      </c>
      <c r="DK19" s="3">
        <f t="shared" si="98"/>
        <v>24</v>
      </c>
      <c r="DL19" s="3"/>
      <c r="DM19" s="3">
        <v>0</v>
      </c>
      <c r="DN19" s="3">
        <v>0</v>
      </c>
      <c r="DO19" s="3">
        <f t="shared" si="122"/>
        <v>40</v>
      </c>
      <c r="DP19" s="3">
        <f t="shared" si="99"/>
        <v>24</v>
      </c>
      <c r="DQ19" s="3"/>
      <c r="DR19" s="3">
        <v>0</v>
      </c>
      <c r="DS19" s="3">
        <v>12</v>
      </c>
    </row>
    <row r="20" spans="1:123" x14ac:dyDescent="0.35">
      <c r="B20" s="33" t="s">
        <v>32</v>
      </c>
      <c r="C20" s="33"/>
      <c r="D20" s="5">
        <f>SUM(D13:D19)</f>
        <v>468</v>
      </c>
      <c r="E20" s="5">
        <f>SUM(E13:E19)</f>
        <v>60</v>
      </c>
      <c r="F20" s="5">
        <f t="shared" ref="F20:H20" si="123">SUM(F13:F19)</f>
        <v>203</v>
      </c>
      <c r="G20" s="5">
        <f t="shared" si="123"/>
        <v>180</v>
      </c>
      <c r="H20" s="5">
        <f t="shared" si="123"/>
        <v>227</v>
      </c>
      <c r="I20" s="6">
        <f>SUM(I13:I19)</f>
        <v>421</v>
      </c>
      <c r="J20" s="6">
        <f>SUM(J13:J19)</f>
        <v>83</v>
      </c>
      <c r="K20" s="6">
        <f t="shared" ref="K20:M20" si="124">SUM(K13:K19)</f>
        <v>232</v>
      </c>
      <c r="L20" s="6">
        <f t="shared" si="124"/>
        <v>220</v>
      </c>
      <c r="M20" s="6">
        <f t="shared" si="124"/>
        <v>251</v>
      </c>
      <c r="N20" s="5">
        <f>SUM(N13:N19)</f>
        <v>390</v>
      </c>
      <c r="O20" s="5">
        <f>SUM(O13:O19)</f>
        <v>95</v>
      </c>
      <c r="P20" s="5">
        <f t="shared" ref="P20:R20" si="125">SUM(P13:P19)</f>
        <v>240</v>
      </c>
      <c r="Q20" s="5">
        <f t="shared" si="125"/>
        <v>232</v>
      </c>
      <c r="R20" s="5">
        <f t="shared" si="125"/>
        <v>128</v>
      </c>
      <c r="S20" s="6">
        <f>SUM(S13:S19)</f>
        <v>494</v>
      </c>
      <c r="T20" s="6">
        <f>SUM(T13:T19)</f>
        <v>103</v>
      </c>
      <c r="U20" s="6">
        <f t="shared" ref="U20:W20" si="126">SUM(U13:U19)</f>
        <v>141</v>
      </c>
      <c r="V20" s="6">
        <f t="shared" si="126"/>
        <v>168</v>
      </c>
      <c r="W20" s="6">
        <f t="shared" si="126"/>
        <v>216</v>
      </c>
      <c r="X20" s="5">
        <f>SUM(X13:X19)</f>
        <v>446</v>
      </c>
      <c r="Y20" s="5">
        <f>SUM(Y13:Y19)</f>
        <v>76</v>
      </c>
      <c r="Z20" s="5">
        <f t="shared" ref="Z20:AB20" si="127">SUM(Z13:Z19)</f>
        <v>132</v>
      </c>
      <c r="AA20" s="5">
        <f t="shared" si="127"/>
        <v>136</v>
      </c>
      <c r="AB20" s="5">
        <f t="shared" si="127"/>
        <v>92</v>
      </c>
      <c r="AC20" s="6">
        <f>SUM(AC13:AC19)</f>
        <v>490</v>
      </c>
      <c r="AD20" s="6">
        <f>SUM(AD13:AD19)</f>
        <v>72</v>
      </c>
      <c r="AE20" s="6">
        <f t="shared" ref="AE20:AG20" si="128">SUM(AE13:AE19)</f>
        <v>148</v>
      </c>
      <c r="AF20" s="6">
        <f t="shared" si="128"/>
        <v>72</v>
      </c>
      <c r="AG20" s="6">
        <f t="shared" si="128"/>
        <v>181</v>
      </c>
      <c r="AH20" s="5">
        <f>SUM(AH13:AH19)</f>
        <v>381</v>
      </c>
      <c r="AI20" s="5">
        <f>SUM(AI13:AI19)</f>
        <v>148</v>
      </c>
      <c r="AJ20" s="5">
        <f t="shared" ref="AJ20:AL20" si="129">SUM(AJ13:AJ19)</f>
        <v>166</v>
      </c>
      <c r="AK20" s="5">
        <f t="shared" si="129"/>
        <v>266</v>
      </c>
      <c r="AL20" s="5">
        <f t="shared" si="129"/>
        <v>310</v>
      </c>
      <c r="AM20" s="6">
        <f>SUM(AM13:AM19)</f>
        <v>337</v>
      </c>
      <c r="AN20" s="6">
        <f>SUM(AN13:AN19)</f>
        <v>48</v>
      </c>
      <c r="AO20" s="6">
        <f t="shared" ref="AO20:AQ20" si="130">SUM(AO13:AO19)</f>
        <v>204</v>
      </c>
      <c r="AP20" s="6">
        <f t="shared" si="130"/>
        <v>188</v>
      </c>
      <c r="AQ20" s="6">
        <f t="shared" si="130"/>
        <v>198</v>
      </c>
      <c r="AR20" s="5">
        <f>SUM(AR13:AR19)</f>
        <v>327</v>
      </c>
      <c r="AS20" s="5">
        <f>SUM(AS13:AS19)</f>
        <v>64</v>
      </c>
      <c r="AT20" s="5">
        <f t="shared" ref="AT20:AV20" si="131">SUM(AT13:AT19)</f>
        <v>184</v>
      </c>
      <c r="AU20" s="5">
        <f t="shared" si="131"/>
        <v>200</v>
      </c>
      <c r="AV20" s="5">
        <f t="shared" si="131"/>
        <v>145</v>
      </c>
      <c r="AW20" s="6">
        <f>SUM(AW13:AW19)</f>
        <v>382</v>
      </c>
      <c r="AX20" s="6">
        <f>SUM(AX13:AX19)</f>
        <v>48</v>
      </c>
      <c r="AY20" s="6">
        <f t="shared" ref="AY20:BA20" si="132">SUM(AY13:AY19)</f>
        <v>276</v>
      </c>
      <c r="AZ20" s="6">
        <f t="shared" si="132"/>
        <v>172</v>
      </c>
      <c r="BA20" s="6">
        <f t="shared" si="132"/>
        <v>144</v>
      </c>
      <c r="BB20" s="5">
        <f>SUM(BB13:BB19)</f>
        <v>410</v>
      </c>
      <c r="BC20" s="5">
        <f>SUM(BC13:BC19)</f>
        <v>152</v>
      </c>
      <c r="BD20" s="5">
        <f t="shared" ref="BD20:BF20" si="133">SUM(BD13:BD19)</f>
        <v>192</v>
      </c>
      <c r="BE20" s="5">
        <f t="shared" si="133"/>
        <v>244</v>
      </c>
      <c r="BF20" s="5">
        <f t="shared" si="133"/>
        <v>254</v>
      </c>
      <c r="BG20" s="6">
        <f>SUM(BG13:BG19)</f>
        <v>400</v>
      </c>
      <c r="BH20" s="6">
        <f>SUM(BH13:BH19)</f>
        <v>100</v>
      </c>
      <c r="BI20" s="6">
        <f t="shared" ref="BI20:BK20" si="134">SUM(BI13:BI19)</f>
        <v>233</v>
      </c>
      <c r="BJ20" s="6">
        <f t="shared" si="134"/>
        <v>152</v>
      </c>
      <c r="BK20" s="6">
        <f t="shared" si="134"/>
        <v>132</v>
      </c>
      <c r="BL20" s="5">
        <f>SUM(BL13:BL19)</f>
        <v>420</v>
      </c>
      <c r="BM20" s="5">
        <f>SUM(BM13:BM19)</f>
        <v>181</v>
      </c>
      <c r="BN20" s="5">
        <f t="shared" ref="BN20:BP20" si="135">SUM(BN13:BN19)</f>
        <v>173</v>
      </c>
      <c r="BO20" s="5">
        <f t="shared" si="135"/>
        <v>172</v>
      </c>
      <c r="BP20" s="5">
        <f t="shared" si="135"/>
        <v>152</v>
      </c>
      <c r="BQ20" s="6">
        <f>SUM(BQ13:BQ19)</f>
        <v>440</v>
      </c>
      <c r="BR20" s="6">
        <f>SUM(BR13:BR19)</f>
        <v>182</v>
      </c>
      <c r="BS20" s="6">
        <f t="shared" ref="BS20:BU20" si="136">SUM(BS13:BS19)</f>
        <v>148</v>
      </c>
      <c r="BT20" s="6">
        <f t="shared" si="136"/>
        <v>236</v>
      </c>
      <c r="BU20" s="6">
        <f t="shared" si="136"/>
        <v>143</v>
      </c>
      <c r="BV20" s="5">
        <f>SUM(BV13:BV19)</f>
        <v>533</v>
      </c>
      <c r="BW20" s="5">
        <f>SUM(BW13:BW19)</f>
        <v>94</v>
      </c>
      <c r="BX20" s="5">
        <f t="shared" ref="BX20:BZ20" si="137">SUM(BX13:BX19)</f>
        <v>181</v>
      </c>
      <c r="BY20" s="5">
        <f t="shared" si="137"/>
        <v>164</v>
      </c>
      <c r="BZ20" s="5">
        <f t="shared" si="137"/>
        <v>275</v>
      </c>
      <c r="CA20" s="6">
        <f>SUM(CA13:CA19)</f>
        <v>422</v>
      </c>
      <c r="CB20" s="6">
        <f>SUM(CB13:CB19)</f>
        <v>111</v>
      </c>
      <c r="CC20" s="6">
        <f t="shared" ref="CC20:CE20" si="138">SUM(CC13:CC19)</f>
        <v>195</v>
      </c>
      <c r="CD20" s="6">
        <f t="shared" si="138"/>
        <v>164</v>
      </c>
      <c r="CE20" s="6">
        <f t="shared" si="138"/>
        <v>187</v>
      </c>
      <c r="CF20" s="5">
        <f>SUM(CF13:CF19)</f>
        <v>399</v>
      </c>
      <c r="CG20" s="5">
        <f>SUM(CG13:CG19)</f>
        <v>142</v>
      </c>
      <c r="CH20" s="5">
        <f t="shared" ref="CH20:CJ20" si="139">SUM(CH13:CH19)</f>
        <v>240</v>
      </c>
      <c r="CI20" s="5">
        <f t="shared" si="139"/>
        <v>152</v>
      </c>
      <c r="CJ20" s="5">
        <f t="shared" si="139"/>
        <v>232</v>
      </c>
      <c r="CK20" s="6">
        <f>SUM(CK13:CK19)</f>
        <v>319</v>
      </c>
      <c r="CL20" s="6">
        <f>SUM(CL13:CL19)</f>
        <v>230</v>
      </c>
      <c r="CM20" s="6">
        <f t="shared" ref="CM20:CO20" si="140">SUM(CM13:CM19)</f>
        <v>138</v>
      </c>
      <c r="CN20" s="6">
        <f t="shared" si="140"/>
        <v>172</v>
      </c>
      <c r="CO20" s="6">
        <f t="shared" si="140"/>
        <v>151</v>
      </c>
      <c r="CP20" s="5">
        <f>SUM(CP13:CP19)</f>
        <v>340</v>
      </c>
      <c r="CQ20" s="5">
        <f>SUM(CQ13:CQ19)</f>
        <v>196</v>
      </c>
      <c r="CR20" s="5">
        <f t="shared" ref="CR20:CT20" si="141">SUM(CR13:CR19)</f>
        <v>162</v>
      </c>
      <c r="CS20" s="5">
        <f t="shared" si="141"/>
        <v>208</v>
      </c>
      <c r="CT20" s="5">
        <f t="shared" si="141"/>
        <v>184</v>
      </c>
      <c r="CU20" s="6">
        <f>SUM(CU13:CU19)</f>
        <v>364</v>
      </c>
      <c r="CV20" s="6">
        <f>SUM(CV13:CV19)</f>
        <v>150</v>
      </c>
      <c r="CW20" s="6">
        <f t="shared" ref="CW20:CY20" si="142">SUM(CW13:CW19)</f>
        <v>164</v>
      </c>
      <c r="CX20" s="6">
        <f t="shared" si="142"/>
        <v>156</v>
      </c>
      <c r="CY20" s="6">
        <f t="shared" si="142"/>
        <v>237</v>
      </c>
      <c r="CZ20" s="5">
        <f>SUM(CZ13:CZ19)</f>
        <v>283</v>
      </c>
      <c r="DA20" s="5">
        <f>SUM(DA13:DA19)</f>
        <v>158</v>
      </c>
      <c r="DB20" s="5">
        <f t="shared" ref="DB20:DD20" si="143">SUM(DB13:DB19)</f>
        <v>170</v>
      </c>
      <c r="DC20" s="5">
        <f t="shared" si="143"/>
        <v>32</v>
      </c>
      <c r="DD20" s="5">
        <f t="shared" si="143"/>
        <v>64</v>
      </c>
      <c r="DE20" s="6">
        <f>SUM(DE13:DE19)</f>
        <v>251</v>
      </c>
      <c r="DF20" s="6">
        <f>SUM(DF13:DF19)</f>
        <v>296</v>
      </c>
      <c r="DG20" s="6">
        <f t="shared" ref="DG20:DI20" si="144">SUM(DG13:DG19)</f>
        <v>171</v>
      </c>
      <c r="DH20" s="6">
        <f t="shared" si="144"/>
        <v>68</v>
      </c>
      <c r="DI20" s="6">
        <f t="shared" si="144"/>
        <v>146</v>
      </c>
      <c r="DJ20" s="5">
        <f>SUM(DJ13:DJ19)</f>
        <v>173</v>
      </c>
      <c r="DK20" s="5">
        <f>SUM(DK13:DK19)</f>
        <v>399</v>
      </c>
      <c r="DL20" s="5">
        <f t="shared" ref="DL20:DN20" si="145">SUM(DL13:DL19)</f>
        <v>134</v>
      </c>
      <c r="DM20" s="5">
        <f t="shared" si="145"/>
        <v>328</v>
      </c>
      <c r="DN20" s="5">
        <f t="shared" si="145"/>
        <v>209</v>
      </c>
      <c r="DO20" s="6">
        <f>SUM(DO13:DO19)</f>
        <v>292</v>
      </c>
      <c r="DP20" s="6">
        <f>SUM(DP13:DP19)</f>
        <v>205</v>
      </c>
      <c r="DQ20" s="6">
        <f t="shared" ref="DQ20:DS20" si="146">SUM(DQ13:DQ19)</f>
        <v>98</v>
      </c>
      <c r="DR20" s="6">
        <f t="shared" si="146"/>
        <v>0</v>
      </c>
      <c r="DS20" s="6">
        <f t="shared" si="146"/>
        <v>87</v>
      </c>
    </row>
    <row r="21" spans="1:123" x14ac:dyDescent="0.35">
      <c r="B21" s="33" t="s">
        <v>39</v>
      </c>
      <c r="C21" s="33"/>
      <c r="D21" s="5">
        <f>D20+D11</f>
        <v>522</v>
      </c>
      <c r="E21" s="5">
        <f t="shared" ref="E21:W21" si="147">E20+E11</f>
        <v>326</v>
      </c>
      <c r="F21" s="5">
        <f t="shared" si="147"/>
        <v>511</v>
      </c>
      <c r="G21" s="5">
        <f t="shared" si="147"/>
        <v>572</v>
      </c>
      <c r="H21" s="5">
        <f t="shared" si="147"/>
        <v>561</v>
      </c>
      <c r="I21" s="6">
        <f t="shared" si="147"/>
        <v>533</v>
      </c>
      <c r="J21" s="6">
        <f t="shared" si="147"/>
        <v>265</v>
      </c>
      <c r="K21" s="6">
        <f t="shared" si="147"/>
        <v>568</v>
      </c>
      <c r="L21" s="6">
        <f t="shared" si="147"/>
        <v>556</v>
      </c>
      <c r="M21" s="6">
        <f t="shared" si="147"/>
        <v>597</v>
      </c>
      <c r="N21" s="5">
        <f t="shared" si="147"/>
        <v>492</v>
      </c>
      <c r="O21" s="5">
        <f t="shared" si="147"/>
        <v>291</v>
      </c>
      <c r="P21" s="5">
        <f t="shared" si="147"/>
        <v>604</v>
      </c>
      <c r="Q21" s="5">
        <f t="shared" si="147"/>
        <v>582</v>
      </c>
      <c r="R21" s="5">
        <f t="shared" si="147"/>
        <v>505</v>
      </c>
      <c r="S21" s="6">
        <f t="shared" si="147"/>
        <v>569</v>
      </c>
      <c r="T21" s="6">
        <f t="shared" si="147"/>
        <v>313</v>
      </c>
      <c r="U21" s="6">
        <f t="shared" si="147"/>
        <v>407</v>
      </c>
      <c r="V21" s="6">
        <f t="shared" si="147"/>
        <v>532</v>
      </c>
      <c r="W21" s="6">
        <f t="shared" si="147"/>
        <v>539</v>
      </c>
      <c r="X21" s="5">
        <f t="shared" ref="X21:AB21" si="148">X20+X11</f>
        <v>562</v>
      </c>
      <c r="Y21" s="5">
        <f t="shared" si="148"/>
        <v>188</v>
      </c>
      <c r="Z21" s="5">
        <f t="shared" si="148"/>
        <v>454</v>
      </c>
      <c r="AA21" s="5">
        <f t="shared" si="148"/>
        <v>486</v>
      </c>
      <c r="AB21" s="5">
        <f t="shared" si="148"/>
        <v>441</v>
      </c>
      <c r="AC21" s="6">
        <f t="shared" ref="AC21:AG21" si="149">AC20+AC11</f>
        <v>607</v>
      </c>
      <c r="AD21" s="6">
        <f t="shared" si="149"/>
        <v>156</v>
      </c>
      <c r="AE21" s="6">
        <f t="shared" si="149"/>
        <v>554</v>
      </c>
      <c r="AF21" s="6">
        <f t="shared" si="149"/>
        <v>324</v>
      </c>
      <c r="AG21" s="6">
        <f t="shared" si="149"/>
        <v>402</v>
      </c>
      <c r="AH21" s="5">
        <f t="shared" ref="AH21:AL21" si="150">AH20+AH11</f>
        <v>529</v>
      </c>
      <c r="AI21" s="5">
        <f t="shared" si="150"/>
        <v>386</v>
      </c>
      <c r="AJ21" s="5">
        <f t="shared" si="150"/>
        <v>474</v>
      </c>
      <c r="AK21" s="5">
        <f t="shared" si="150"/>
        <v>476</v>
      </c>
      <c r="AL21" s="5">
        <f t="shared" si="150"/>
        <v>524</v>
      </c>
      <c r="AM21" s="6">
        <f t="shared" ref="AM21:AQ21" si="151">AM20+AM11</f>
        <v>481</v>
      </c>
      <c r="AN21" s="6">
        <f t="shared" si="151"/>
        <v>384</v>
      </c>
      <c r="AO21" s="6">
        <f t="shared" si="151"/>
        <v>442</v>
      </c>
      <c r="AP21" s="6">
        <f t="shared" si="151"/>
        <v>412</v>
      </c>
      <c r="AQ21" s="6">
        <f t="shared" si="151"/>
        <v>482</v>
      </c>
      <c r="AR21" s="5">
        <f t="shared" ref="AR21:AV21" si="152">AR20+AR11</f>
        <v>411</v>
      </c>
      <c r="AS21" s="5">
        <f t="shared" si="152"/>
        <v>414</v>
      </c>
      <c r="AT21" s="5">
        <f t="shared" si="152"/>
        <v>624</v>
      </c>
      <c r="AU21" s="5">
        <f t="shared" si="152"/>
        <v>640</v>
      </c>
      <c r="AV21" s="5">
        <f t="shared" si="152"/>
        <v>419</v>
      </c>
      <c r="AW21" s="6">
        <f t="shared" ref="AW21:BA21" si="153">AW20+AW11</f>
        <v>632</v>
      </c>
      <c r="AX21" s="6">
        <f t="shared" si="153"/>
        <v>398</v>
      </c>
      <c r="AY21" s="6">
        <f t="shared" si="153"/>
        <v>528</v>
      </c>
      <c r="AZ21" s="6">
        <f t="shared" si="153"/>
        <v>396</v>
      </c>
      <c r="BA21" s="6">
        <f t="shared" si="153"/>
        <v>383</v>
      </c>
      <c r="BB21" s="5">
        <f t="shared" ref="BB21:BF21" si="154">BB20+BB11</f>
        <v>645</v>
      </c>
      <c r="BC21" s="5">
        <f t="shared" si="154"/>
        <v>516</v>
      </c>
      <c r="BD21" s="5">
        <f t="shared" si="154"/>
        <v>444</v>
      </c>
      <c r="BE21" s="5">
        <f t="shared" si="154"/>
        <v>496</v>
      </c>
      <c r="BF21" s="5">
        <f t="shared" si="154"/>
        <v>497</v>
      </c>
      <c r="BG21" s="6">
        <f t="shared" ref="BG21:BK21" si="155">BG20+BG11</f>
        <v>644</v>
      </c>
      <c r="BH21" s="6">
        <f t="shared" si="155"/>
        <v>464</v>
      </c>
      <c r="BI21" s="6">
        <f t="shared" si="155"/>
        <v>233</v>
      </c>
      <c r="BJ21" s="6">
        <f t="shared" si="155"/>
        <v>152</v>
      </c>
      <c r="BK21" s="6">
        <f t="shared" si="155"/>
        <v>132</v>
      </c>
      <c r="BL21" s="5">
        <f t="shared" ref="BL21:BP21" si="156">BL20+BL11</f>
        <v>664</v>
      </c>
      <c r="BM21" s="5">
        <f t="shared" si="156"/>
        <v>545</v>
      </c>
      <c r="BN21" s="5">
        <f t="shared" si="156"/>
        <v>565</v>
      </c>
      <c r="BO21" s="5">
        <f t="shared" si="156"/>
        <v>466</v>
      </c>
      <c r="BP21" s="5">
        <f t="shared" si="156"/>
        <v>387</v>
      </c>
      <c r="BQ21" s="6">
        <f t="shared" ref="BQ21:BU21" si="157">BQ20+BQ11</f>
        <v>743</v>
      </c>
      <c r="BR21" s="6">
        <f t="shared" si="157"/>
        <v>644</v>
      </c>
      <c r="BS21" s="6">
        <f t="shared" si="157"/>
        <v>456</v>
      </c>
      <c r="BT21" s="6">
        <f t="shared" si="157"/>
        <v>558</v>
      </c>
      <c r="BU21" s="6">
        <f t="shared" si="157"/>
        <v>452</v>
      </c>
      <c r="BV21" s="5">
        <f t="shared" ref="BV21:BZ21" si="158">BV20+BV11</f>
        <v>849</v>
      </c>
      <c r="BW21" s="5">
        <f t="shared" si="158"/>
        <v>542</v>
      </c>
      <c r="BX21" s="5">
        <f t="shared" si="158"/>
        <v>657</v>
      </c>
      <c r="BY21" s="5">
        <f t="shared" si="158"/>
        <v>528</v>
      </c>
      <c r="BZ21" s="5">
        <f t="shared" si="158"/>
        <v>630</v>
      </c>
      <c r="CA21" s="6">
        <f t="shared" ref="CA21:CE21" si="159">CA20+CA11</f>
        <v>747</v>
      </c>
      <c r="CB21" s="6">
        <f t="shared" si="159"/>
        <v>671</v>
      </c>
      <c r="CC21" s="6">
        <f t="shared" si="159"/>
        <v>601</v>
      </c>
      <c r="CD21" s="6">
        <f t="shared" si="159"/>
        <v>612</v>
      </c>
      <c r="CE21" s="6">
        <f t="shared" si="159"/>
        <v>593</v>
      </c>
      <c r="CF21" s="5">
        <f t="shared" ref="CF21:CJ21" si="160">CF20+CF11</f>
        <v>766</v>
      </c>
      <c r="CG21" s="5">
        <f t="shared" si="160"/>
        <v>660</v>
      </c>
      <c r="CH21" s="5">
        <f t="shared" si="160"/>
        <v>604</v>
      </c>
      <c r="CI21" s="5">
        <f t="shared" si="160"/>
        <v>446</v>
      </c>
      <c r="CJ21" s="5">
        <f t="shared" si="160"/>
        <v>551</v>
      </c>
      <c r="CK21" s="6">
        <f t="shared" ref="CK21:CO21" si="161">CK20+CK11</f>
        <v>661</v>
      </c>
      <c r="CL21" s="6">
        <f t="shared" si="161"/>
        <v>818</v>
      </c>
      <c r="CM21" s="6">
        <f t="shared" si="161"/>
        <v>460</v>
      </c>
      <c r="CN21" s="6">
        <f t="shared" si="161"/>
        <v>480</v>
      </c>
      <c r="CO21" s="6">
        <f t="shared" si="161"/>
        <v>464</v>
      </c>
      <c r="CP21" s="5">
        <f t="shared" ref="CP21:CT21" si="162">CP20+CP11</f>
        <v>677</v>
      </c>
      <c r="CQ21" s="5">
        <f t="shared" si="162"/>
        <v>798</v>
      </c>
      <c r="CR21" s="5">
        <f t="shared" si="162"/>
        <v>372</v>
      </c>
      <c r="CS21" s="5">
        <f t="shared" si="162"/>
        <v>484</v>
      </c>
      <c r="CT21" s="5">
        <f t="shared" si="162"/>
        <v>499</v>
      </c>
      <c r="CU21" s="6">
        <f t="shared" ref="CU21:CY21" si="163">CU20+CU11</f>
        <v>662</v>
      </c>
      <c r="CV21" s="6">
        <f t="shared" si="163"/>
        <v>672</v>
      </c>
      <c r="CW21" s="6">
        <f t="shared" si="163"/>
        <v>458</v>
      </c>
      <c r="CX21" s="6">
        <f t="shared" si="163"/>
        <v>562</v>
      </c>
      <c r="CY21" s="6">
        <f t="shared" si="163"/>
        <v>585</v>
      </c>
      <c r="CZ21" s="5">
        <f t="shared" ref="CZ21:DD21" si="164">CZ20+CZ11</f>
        <v>639</v>
      </c>
      <c r="DA21" s="5">
        <f t="shared" si="164"/>
        <v>568</v>
      </c>
      <c r="DB21" s="5">
        <f t="shared" si="164"/>
        <v>604</v>
      </c>
      <c r="DC21" s="5">
        <f t="shared" si="164"/>
        <v>340</v>
      </c>
      <c r="DD21" s="5">
        <f t="shared" si="164"/>
        <v>291</v>
      </c>
      <c r="DE21" s="6">
        <f t="shared" ref="DE21:DI21" si="165">DE20+DE11</f>
        <v>688</v>
      </c>
      <c r="DF21" s="6">
        <f t="shared" si="165"/>
        <v>832</v>
      </c>
      <c r="DG21" s="6">
        <f t="shared" si="165"/>
        <v>573</v>
      </c>
      <c r="DH21" s="6">
        <f t="shared" si="165"/>
        <v>488</v>
      </c>
      <c r="DI21" s="6">
        <f t="shared" si="165"/>
        <v>633</v>
      </c>
      <c r="DJ21" s="5">
        <f t="shared" ref="DJ21:DN21" si="166">DJ20+DJ11</f>
        <v>543</v>
      </c>
      <c r="DK21" s="5">
        <f t="shared" si="166"/>
        <v>917</v>
      </c>
      <c r="DL21" s="5">
        <f t="shared" si="166"/>
        <v>462</v>
      </c>
      <c r="DM21" s="5">
        <f t="shared" si="166"/>
        <v>866</v>
      </c>
      <c r="DN21" s="5">
        <f t="shared" si="166"/>
        <v>676</v>
      </c>
      <c r="DO21" s="6">
        <f t="shared" ref="DO21:DS21" si="167">DO20+DO11</f>
        <v>733</v>
      </c>
      <c r="DP21" s="6">
        <f t="shared" si="167"/>
        <v>513</v>
      </c>
      <c r="DQ21" s="6">
        <f t="shared" si="167"/>
        <v>355</v>
      </c>
      <c r="DR21" s="6">
        <f t="shared" si="167"/>
        <v>243</v>
      </c>
      <c r="DS21" s="6">
        <f t="shared" si="167"/>
        <v>431</v>
      </c>
    </row>
    <row r="22" spans="1:123" ht="14.5" customHeight="1" x14ac:dyDescent="0.35"/>
    <row r="23" spans="1:123" s="16" customFormat="1" x14ac:dyDescent="0.35">
      <c r="C23" s="16" t="s">
        <v>44</v>
      </c>
      <c r="D23" s="16">
        <f t="shared" ref="D23:W23" si="168">D13+D14+D17</f>
        <v>209</v>
      </c>
      <c r="E23" s="16">
        <f t="shared" si="168"/>
        <v>28</v>
      </c>
      <c r="F23" s="16">
        <f t="shared" si="168"/>
        <v>116</v>
      </c>
      <c r="G23" s="16">
        <f t="shared" si="168"/>
        <v>108</v>
      </c>
      <c r="H23" s="16">
        <f t="shared" si="168"/>
        <v>136</v>
      </c>
      <c r="I23" s="16">
        <f t="shared" si="168"/>
        <v>181</v>
      </c>
      <c r="J23" s="16">
        <f t="shared" si="168"/>
        <v>36</v>
      </c>
      <c r="K23" s="16">
        <f t="shared" si="168"/>
        <v>140</v>
      </c>
      <c r="L23" s="16">
        <f t="shared" si="168"/>
        <v>132</v>
      </c>
      <c r="M23" s="16">
        <f t="shared" si="168"/>
        <v>139</v>
      </c>
      <c r="N23" s="16">
        <f t="shared" si="168"/>
        <v>174</v>
      </c>
      <c r="O23" s="16">
        <f t="shared" si="168"/>
        <v>44</v>
      </c>
      <c r="P23" s="16">
        <f t="shared" si="168"/>
        <v>120</v>
      </c>
      <c r="Q23" s="16">
        <f t="shared" si="168"/>
        <v>108</v>
      </c>
      <c r="R23" s="16">
        <f t="shared" si="168"/>
        <v>68</v>
      </c>
      <c r="S23" s="16">
        <f t="shared" si="168"/>
        <v>214</v>
      </c>
      <c r="T23" s="16">
        <f t="shared" si="168"/>
        <v>56</v>
      </c>
      <c r="U23" s="16">
        <f t="shared" si="168"/>
        <v>80</v>
      </c>
      <c r="V23" s="16">
        <f t="shared" si="168"/>
        <v>76</v>
      </c>
      <c r="W23" s="16">
        <f t="shared" si="168"/>
        <v>70</v>
      </c>
      <c r="X23" s="16">
        <f t="shared" ref="X23:AB23" si="169">X13+X14+X17</f>
        <v>220</v>
      </c>
      <c r="Y23" s="16">
        <f t="shared" si="169"/>
        <v>60</v>
      </c>
      <c r="Z23" s="16">
        <f t="shared" si="169"/>
        <v>44</v>
      </c>
      <c r="AA23" s="16">
        <f t="shared" si="169"/>
        <v>60</v>
      </c>
      <c r="AB23" s="16">
        <f t="shared" si="169"/>
        <v>39</v>
      </c>
      <c r="AC23" s="16">
        <f t="shared" ref="AC23:AG23" si="170">AC13+AC14+AC17</f>
        <v>241</v>
      </c>
      <c r="AD23" s="16">
        <f t="shared" si="170"/>
        <v>44</v>
      </c>
      <c r="AE23" s="16">
        <f t="shared" si="170"/>
        <v>40</v>
      </c>
      <c r="AF23" s="16">
        <f t="shared" si="170"/>
        <v>44</v>
      </c>
      <c r="AG23" s="16">
        <f t="shared" si="170"/>
        <v>130</v>
      </c>
      <c r="AH23" s="16">
        <f t="shared" ref="AH23:AL23" si="171">AH13+AH14+AH17</f>
        <v>155</v>
      </c>
      <c r="AI23" s="16">
        <f t="shared" si="171"/>
        <v>40</v>
      </c>
      <c r="AJ23" s="16">
        <f t="shared" si="171"/>
        <v>118</v>
      </c>
      <c r="AK23" s="16">
        <f t="shared" si="171"/>
        <v>126</v>
      </c>
      <c r="AL23" s="16">
        <f t="shared" si="171"/>
        <v>141</v>
      </c>
      <c r="AM23" s="16">
        <f t="shared" ref="AM23:AQ23" si="172">AM13+AM14+AM17</f>
        <v>140</v>
      </c>
      <c r="AN23" s="16">
        <f t="shared" si="172"/>
        <v>32</v>
      </c>
      <c r="AO23" s="16">
        <f t="shared" si="172"/>
        <v>92</v>
      </c>
      <c r="AP23" s="16">
        <f t="shared" si="172"/>
        <v>108</v>
      </c>
      <c r="AQ23" s="16">
        <f t="shared" si="172"/>
        <v>93</v>
      </c>
      <c r="AR23" s="16">
        <f t="shared" ref="AR23:AV23" si="173">AR13+AR14+AR17</f>
        <v>155</v>
      </c>
      <c r="AS23" s="16">
        <f t="shared" si="173"/>
        <v>16</v>
      </c>
      <c r="AT23" s="16">
        <f t="shared" si="173"/>
        <v>108</v>
      </c>
      <c r="AU23" s="16">
        <f t="shared" si="173"/>
        <v>108</v>
      </c>
      <c r="AV23" s="16">
        <f t="shared" si="173"/>
        <v>106</v>
      </c>
      <c r="AW23" s="16">
        <f t="shared" ref="AW23:BA23" si="174">AW13+AW14+AW17</f>
        <v>157</v>
      </c>
      <c r="AX23" s="16">
        <f t="shared" si="174"/>
        <v>16</v>
      </c>
      <c r="AY23" s="16">
        <f t="shared" si="174"/>
        <v>192</v>
      </c>
      <c r="AZ23" s="16">
        <f t="shared" si="174"/>
        <v>124</v>
      </c>
      <c r="BA23" s="16">
        <f t="shared" si="174"/>
        <v>116</v>
      </c>
      <c r="BB23" s="16">
        <f t="shared" ref="BB23:BF23" si="175">BB13+BB14+BB17</f>
        <v>165</v>
      </c>
      <c r="BC23" s="16">
        <f t="shared" si="175"/>
        <v>84</v>
      </c>
      <c r="BD23" s="16">
        <f t="shared" si="175"/>
        <v>124</v>
      </c>
      <c r="BE23" s="16">
        <f t="shared" si="175"/>
        <v>132</v>
      </c>
      <c r="BF23" s="16">
        <f t="shared" si="175"/>
        <v>162</v>
      </c>
      <c r="BG23" s="16">
        <f t="shared" ref="BG23:BK23" si="176">BG13+BG14+BG17</f>
        <v>135</v>
      </c>
      <c r="BH23" s="16">
        <f t="shared" si="176"/>
        <v>76</v>
      </c>
      <c r="BI23" s="16">
        <f t="shared" si="176"/>
        <v>160</v>
      </c>
      <c r="BJ23" s="16">
        <f t="shared" si="176"/>
        <v>88</v>
      </c>
      <c r="BK23" s="16">
        <f t="shared" si="176"/>
        <v>53</v>
      </c>
      <c r="BL23" s="16">
        <f t="shared" ref="BL23:BP23" si="177">BL13+BL14+BL17</f>
        <v>170</v>
      </c>
      <c r="BM23" s="16">
        <f t="shared" si="177"/>
        <v>148</v>
      </c>
      <c r="BN23" s="16">
        <f t="shared" si="177"/>
        <v>98</v>
      </c>
      <c r="BO23" s="16">
        <f t="shared" si="177"/>
        <v>108</v>
      </c>
      <c r="BP23" s="16">
        <f t="shared" si="177"/>
        <v>103</v>
      </c>
      <c r="BQ23" s="16">
        <f t="shared" ref="BQ23:BU23" si="178">BQ13+BQ14+BQ17</f>
        <v>175</v>
      </c>
      <c r="BR23" s="16">
        <f t="shared" si="178"/>
        <v>138</v>
      </c>
      <c r="BS23" s="16">
        <f t="shared" si="178"/>
        <v>74</v>
      </c>
      <c r="BT23" s="16">
        <f t="shared" si="178"/>
        <v>180</v>
      </c>
      <c r="BU23" s="16">
        <f t="shared" si="178"/>
        <v>110</v>
      </c>
      <c r="BV23" s="16">
        <f t="shared" ref="BV23:BZ23" si="179">BV13+BV14+BV17</f>
        <v>245</v>
      </c>
      <c r="BW23" s="16">
        <f t="shared" si="179"/>
        <v>32</v>
      </c>
      <c r="BX23" s="16">
        <f t="shared" si="179"/>
        <v>113</v>
      </c>
      <c r="BY23" s="16">
        <f t="shared" si="179"/>
        <v>112</v>
      </c>
      <c r="BZ23" s="16">
        <f t="shared" si="179"/>
        <v>160</v>
      </c>
      <c r="CA23" s="16">
        <f t="shared" ref="CA23:CE23" si="180">CA13+CA14+CA17</f>
        <v>197</v>
      </c>
      <c r="CB23" s="16">
        <f t="shared" si="180"/>
        <v>33</v>
      </c>
      <c r="CC23" s="16">
        <f t="shared" si="180"/>
        <v>157</v>
      </c>
      <c r="CD23" s="16">
        <f t="shared" si="180"/>
        <v>116</v>
      </c>
      <c r="CE23" s="16">
        <f t="shared" si="180"/>
        <v>125</v>
      </c>
      <c r="CF23" s="16">
        <f t="shared" ref="CF23:CJ23" si="181">CF13+CF14+CF17</f>
        <v>188</v>
      </c>
      <c r="CG23" s="16">
        <f t="shared" si="181"/>
        <v>74</v>
      </c>
      <c r="CH23" s="16">
        <f t="shared" si="181"/>
        <v>184</v>
      </c>
      <c r="CI23" s="16">
        <f t="shared" si="181"/>
        <v>108</v>
      </c>
      <c r="CJ23" s="16">
        <f t="shared" si="181"/>
        <v>156</v>
      </c>
      <c r="CK23" s="16">
        <f t="shared" ref="CK23:CO23" si="182">CK13+CK14+CK17</f>
        <v>140</v>
      </c>
      <c r="CL23" s="16">
        <f t="shared" si="182"/>
        <v>150</v>
      </c>
      <c r="CM23" s="16">
        <f t="shared" si="182"/>
        <v>38</v>
      </c>
      <c r="CN23" s="16">
        <f t="shared" si="182"/>
        <v>92</v>
      </c>
      <c r="CO23" s="16">
        <f t="shared" si="182"/>
        <v>112</v>
      </c>
      <c r="CP23" s="16">
        <f t="shared" ref="CP23:CT23" si="183">CP13+CP14+CP17</f>
        <v>120</v>
      </c>
      <c r="CQ23" s="16">
        <f t="shared" si="183"/>
        <v>96</v>
      </c>
      <c r="CR23" s="16">
        <f t="shared" si="183"/>
        <v>122</v>
      </c>
      <c r="CS23" s="16">
        <f t="shared" si="183"/>
        <v>148</v>
      </c>
      <c r="CT23" s="16">
        <f t="shared" si="183"/>
        <v>119</v>
      </c>
      <c r="CU23" s="16">
        <f t="shared" ref="CU23:CY23" si="184">CU13+CU14+CU17</f>
        <v>149</v>
      </c>
      <c r="CV23" s="16">
        <f t="shared" si="184"/>
        <v>70</v>
      </c>
      <c r="CW23" s="16">
        <f t="shared" si="184"/>
        <v>82</v>
      </c>
      <c r="CX23" s="16">
        <f t="shared" si="184"/>
        <v>96</v>
      </c>
      <c r="CY23" s="16">
        <f t="shared" si="184"/>
        <v>137</v>
      </c>
      <c r="CZ23" s="16">
        <f t="shared" ref="CZ23:DD23" si="185">CZ13+CZ14+CZ17</f>
        <v>108</v>
      </c>
      <c r="DA23" s="16">
        <f t="shared" si="185"/>
        <v>56</v>
      </c>
      <c r="DB23" s="16">
        <f t="shared" si="185"/>
        <v>130</v>
      </c>
      <c r="DC23" s="16">
        <f t="shared" si="185"/>
        <v>0</v>
      </c>
      <c r="DD23" s="16">
        <f t="shared" si="185"/>
        <v>44</v>
      </c>
      <c r="DE23" s="16">
        <f t="shared" ref="DE23:DI23" si="186">DE13+DE14+DE17</f>
        <v>64</v>
      </c>
      <c r="DF23" s="16">
        <f t="shared" si="186"/>
        <v>186</v>
      </c>
      <c r="DG23" s="16">
        <f t="shared" si="186"/>
        <v>63</v>
      </c>
      <c r="DH23" s="16">
        <f t="shared" si="186"/>
        <v>52</v>
      </c>
      <c r="DI23" s="16">
        <f t="shared" si="186"/>
        <v>93</v>
      </c>
      <c r="DJ23" s="16">
        <f t="shared" ref="DJ23:DN23" si="187">DJ13+DJ14+DJ17</f>
        <v>23</v>
      </c>
      <c r="DK23" s="16">
        <f t="shared" si="187"/>
        <v>197</v>
      </c>
      <c r="DL23" s="16">
        <f t="shared" si="187"/>
        <v>122</v>
      </c>
      <c r="DM23" s="16">
        <f t="shared" si="187"/>
        <v>224</v>
      </c>
      <c r="DN23" s="16">
        <f t="shared" si="187"/>
        <v>99</v>
      </c>
      <c r="DO23" s="16">
        <f t="shared" ref="DO23:DS23" si="188">DO13+DO14+DO17</f>
        <v>148</v>
      </c>
      <c r="DP23" s="16">
        <f t="shared" si="188"/>
        <v>95</v>
      </c>
      <c r="DQ23" s="16">
        <f t="shared" si="188"/>
        <v>74</v>
      </c>
      <c r="DR23" s="16">
        <f t="shared" si="188"/>
        <v>0</v>
      </c>
      <c r="DS23" s="16">
        <f t="shared" si="188"/>
        <v>50</v>
      </c>
    </row>
    <row r="24" spans="1:123" s="16" customFormat="1" x14ac:dyDescent="0.35">
      <c r="C24" s="16" t="s">
        <v>45</v>
      </c>
      <c r="D24" s="16">
        <f t="shared" ref="D24:W24" si="189">D15+D16+D18+D19</f>
        <v>259</v>
      </c>
      <c r="E24" s="16">
        <f t="shared" si="189"/>
        <v>32</v>
      </c>
      <c r="F24" s="16">
        <f t="shared" si="189"/>
        <v>87</v>
      </c>
      <c r="G24" s="16">
        <f t="shared" si="189"/>
        <v>72</v>
      </c>
      <c r="H24" s="16">
        <f t="shared" si="189"/>
        <v>91</v>
      </c>
      <c r="I24" s="16">
        <f t="shared" si="189"/>
        <v>240</v>
      </c>
      <c r="J24" s="16">
        <f t="shared" si="189"/>
        <v>47</v>
      </c>
      <c r="K24" s="16">
        <f t="shared" si="189"/>
        <v>92</v>
      </c>
      <c r="L24" s="16">
        <f t="shared" si="189"/>
        <v>88</v>
      </c>
      <c r="M24" s="16">
        <f t="shared" si="189"/>
        <v>112</v>
      </c>
      <c r="N24" s="16">
        <f t="shared" si="189"/>
        <v>216</v>
      </c>
      <c r="O24" s="16">
        <f t="shared" si="189"/>
        <v>51</v>
      </c>
      <c r="P24" s="16">
        <f t="shared" si="189"/>
        <v>120</v>
      </c>
      <c r="Q24" s="16">
        <f t="shared" si="189"/>
        <v>124</v>
      </c>
      <c r="R24" s="16">
        <f t="shared" si="189"/>
        <v>60</v>
      </c>
      <c r="S24" s="16">
        <f t="shared" si="189"/>
        <v>280</v>
      </c>
      <c r="T24" s="16">
        <f t="shared" si="189"/>
        <v>47</v>
      </c>
      <c r="U24" s="16">
        <f t="shared" si="189"/>
        <v>61</v>
      </c>
      <c r="V24" s="16">
        <f t="shared" si="189"/>
        <v>92</v>
      </c>
      <c r="W24" s="16">
        <f t="shared" si="189"/>
        <v>146</v>
      </c>
      <c r="X24" s="16">
        <f t="shared" ref="X24:AB24" si="190">X15+X16+X18+X19</f>
        <v>226</v>
      </c>
      <c r="Y24" s="16">
        <f t="shared" si="190"/>
        <v>16</v>
      </c>
      <c r="Z24" s="16">
        <f t="shared" si="190"/>
        <v>88</v>
      </c>
      <c r="AA24" s="16">
        <f t="shared" si="190"/>
        <v>76</v>
      </c>
      <c r="AB24" s="16">
        <f t="shared" si="190"/>
        <v>53</v>
      </c>
      <c r="AC24" s="16">
        <f t="shared" ref="AC24:AG24" si="191">AC15+AC16+AC18+AC19</f>
        <v>249</v>
      </c>
      <c r="AD24" s="16">
        <f t="shared" si="191"/>
        <v>28</v>
      </c>
      <c r="AE24" s="16">
        <f t="shared" si="191"/>
        <v>108</v>
      </c>
      <c r="AF24" s="16">
        <f t="shared" si="191"/>
        <v>28</v>
      </c>
      <c r="AG24" s="16">
        <f t="shared" si="191"/>
        <v>51</v>
      </c>
      <c r="AH24" s="16">
        <f t="shared" ref="AH24:AL24" si="192">AH15+AH16+AH18+AH19</f>
        <v>226</v>
      </c>
      <c r="AI24" s="16">
        <f t="shared" si="192"/>
        <v>108</v>
      </c>
      <c r="AJ24" s="16">
        <f t="shared" si="192"/>
        <v>48</v>
      </c>
      <c r="AK24" s="16">
        <f t="shared" si="192"/>
        <v>140</v>
      </c>
      <c r="AL24" s="16">
        <f t="shared" si="192"/>
        <v>169</v>
      </c>
      <c r="AM24" s="16">
        <f t="shared" ref="AM24:AQ24" si="193">AM15+AM16+AM18+AM19</f>
        <v>197</v>
      </c>
      <c r="AN24" s="16">
        <f t="shared" si="193"/>
        <v>16</v>
      </c>
      <c r="AO24" s="16">
        <f t="shared" si="193"/>
        <v>112</v>
      </c>
      <c r="AP24" s="16">
        <f t="shared" si="193"/>
        <v>80</v>
      </c>
      <c r="AQ24" s="16">
        <f t="shared" si="193"/>
        <v>105</v>
      </c>
      <c r="AR24" s="16">
        <f t="shared" ref="AR24:AV24" si="194">AR15+AR16+AR18+AR19</f>
        <v>172</v>
      </c>
      <c r="AS24" s="16">
        <f t="shared" si="194"/>
        <v>48</v>
      </c>
      <c r="AT24" s="16">
        <f t="shared" si="194"/>
        <v>76</v>
      </c>
      <c r="AU24" s="16">
        <f t="shared" si="194"/>
        <v>92</v>
      </c>
      <c r="AV24" s="16">
        <f t="shared" si="194"/>
        <v>39</v>
      </c>
      <c r="AW24" s="16">
        <f t="shared" ref="AW24:BA24" si="195">AW15+AW16+AW18+AW19</f>
        <v>225</v>
      </c>
      <c r="AX24" s="16">
        <f t="shared" si="195"/>
        <v>32</v>
      </c>
      <c r="AY24" s="16">
        <f t="shared" si="195"/>
        <v>84</v>
      </c>
      <c r="AZ24" s="16">
        <f t="shared" si="195"/>
        <v>48</v>
      </c>
      <c r="BA24" s="16">
        <f t="shared" si="195"/>
        <v>28</v>
      </c>
      <c r="BB24" s="16">
        <f t="shared" ref="BB24:BF24" si="196">BB15+BB16+BB18+BB19</f>
        <v>245</v>
      </c>
      <c r="BC24" s="16">
        <f t="shared" si="196"/>
        <v>68</v>
      </c>
      <c r="BD24" s="16">
        <f t="shared" si="196"/>
        <v>68</v>
      </c>
      <c r="BE24" s="16">
        <f t="shared" si="196"/>
        <v>112</v>
      </c>
      <c r="BF24" s="16">
        <f t="shared" si="196"/>
        <v>92</v>
      </c>
      <c r="BG24" s="16">
        <f t="shared" ref="BG24:BK24" si="197">BG15+BG16+BG18+BG19</f>
        <v>265</v>
      </c>
      <c r="BH24" s="16">
        <f t="shared" si="197"/>
        <v>24</v>
      </c>
      <c r="BI24" s="16">
        <f t="shared" si="197"/>
        <v>73</v>
      </c>
      <c r="BJ24" s="16">
        <f t="shared" si="197"/>
        <v>64</v>
      </c>
      <c r="BK24" s="16">
        <f t="shared" si="197"/>
        <v>79</v>
      </c>
      <c r="BL24" s="16">
        <f t="shared" ref="BL24:BP24" si="198">BL15+BL16+BL18+BL19</f>
        <v>250</v>
      </c>
      <c r="BM24" s="16">
        <f t="shared" si="198"/>
        <v>33</v>
      </c>
      <c r="BN24" s="16">
        <f t="shared" si="198"/>
        <v>75</v>
      </c>
      <c r="BO24" s="16">
        <f t="shared" si="198"/>
        <v>64</v>
      </c>
      <c r="BP24" s="16">
        <f t="shared" si="198"/>
        <v>49</v>
      </c>
      <c r="BQ24" s="16">
        <f t="shared" ref="BQ24:BU24" si="199">BQ15+BQ16+BQ18+BQ19</f>
        <v>265</v>
      </c>
      <c r="BR24" s="16">
        <f t="shared" si="199"/>
        <v>44</v>
      </c>
      <c r="BS24" s="16">
        <f t="shared" si="199"/>
        <v>74</v>
      </c>
      <c r="BT24" s="16">
        <f t="shared" si="199"/>
        <v>56</v>
      </c>
      <c r="BU24" s="16">
        <f t="shared" si="199"/>
        <v>33</v>
      </c>
      <c r="BV24" s="16">
        <f t="shared" ref="BV24:BZ24" si="200">BV15+BV16+BV18+BV19</f>
        <v>288</v>
      </c>
      <c r="BW24" s="16">
        <f t="shared" si="200"/>
        <v>62</v>
      </c>
      <c r="BX24" s="16">
        <f t="shared" si="200"/>
        <v>68</v>
      </c>
      <c r="BY24" s="16">
        <f t="shared" si="200"/>
        <v>52</v>
      </c>
      <c r="BZ24" s="16">
        <f t="shared" si="200"/>
        <v>115</v>
      </c>
      <c r="CA24" s="16">
        <f t="shared" ref="CA24:CE24" si="201">CA15+CA16+CA18+CA19</f>
        <v>225</v>
      </c>
      <c r="CB24" s="16">
        <f t="shared" si="201"/>
        <v>78</v>
      </c>
      <c r="CC24" s="16">
        <f t="shared" si="201"/>
        <v>38</v>
      </c>
      <c r="CD24" s="16">
        <f t="shared" si="201"/>
        <v>48</v>
      </c>
      <c r="CE24" s="16">
        <f t="shared" si="201"/>
        <v>62</v>
      </c>
      <c r="CF24" s="16">
        <f t="shared" ref="CF24:CJ24" si="202">CF15+CF16+CF18+CF19</f>
        <v>211</v>
      </c>
      <c r="CG24" s="16">
        <f t="shared" si="202"/>
        <v>68</v>
      </c>
      <c r="CH24" s="16">
        <f t="shared" si="202"/>
        <v>56</v>
      </c>
      <c r="CI24" s="16">
        <f t="shared" si="202"/>
        <v>44</v>
      </c>
      <c r="CJ24" s="16">
        <f t="shared" si="202"/>
        <v>76</v>
      </c>
      <c r="CK24" s="16">
        <f t="shared" ref="CK24:CO24" si="203">CK15+CK16+CK18+CK19</f>
        <v>179</v>
      </c>
      <c r="CL24" s="16">
        <f t="shared" si="203"/>
        <v>80</v>
      </c>
      <c r="CM24" s="16">
        <f t="shared" si="203"/>
        <v>100</v>
      </c>
      <c r="CN24" s="16">
        <f t="shared" si="203"/>
        <v>80</v>
      </c>
      <c r="CO24" s="16">
        <f t="shared" si="203"/>
        <v>39</v>
      </c>
      <c r="CP24" s="16">
        <f t="shared" ref="CP24:CT24" si="204">CP15+CP16+CP18+CP19</f>
        <v>220</v>
      </c>
      <c r="CQ24" s="16">
        <f t="shared" si="204"/>
        <v>100</v>
      </c>
      <c r="CR24" s="16">
        <f t="shared" si="204"/>
        <v>40</v>
      </c>
      <c r="CS24" s="16">
        <f t="shared" si="204"/>
        <v>60</v>
      </c>
      <c r="CT24" s="16">
        <f t="shared" si="204"/>
        <v>65</v>
      </c>
      <c r="CU24" s="16">
        <f t="shared" ref="CU24:CY24" si="205">CU15+CU16+CU18+CU19</f>
        <v>215</v>
      </c>
      <c r="CV24" s="16">
        <f t="shared" si="205"/>
        <v>80</v>
      </c>
      <c r="CW24" s="16">
        <f t="shared" si="205"/>
        <v>82</v>
      </c>
      <c r="CX24" s="16">
        <f t="shared" si="205"/>
        <v>60</v>
      </c>
      <c r="CY24" s="16">
        <f t="shared" si="205"/>
        <v>100</v>
      </c>
      <c r="CZ24" s="16">
        <f t="shared" ref="CZ24:DD24" si="206">CZ15+CZ16+CZ18+CZ19</f>
        <v>175</v>
      </c>
      <c r="DA24" s="16">
        <f t="shared" si="206"/>
        <v>102</v>
      </c>
      <c r="DB24" s="16">
        <f t="shared" si="206"/>
        <v>40</v>
      </c>
      <c r="DC24" s="16">
        <f t="shared" si="206"/>
        <v>32</v>
      </c>
      <c r="DD24" s="16">
        <f t="shared" si="206"/>
        <v>20</v>
      </c>
      <c r="DE24" s="16">
        <f t="shared" ref="DE24:DI24" si="207">DE15+DE16+DE18+DE19</f>
        <v>187</v>
      </c>
      <c r="DF24" s="16">
        <f t="shared" si="207"/>
        <v>110</v>
      </c>
      <c r="DG24" s="16">
        <f t="shared" si="207"/>
        <v>108</v>
      </c>
      <c r="DH24" s="16">
        <f t="shared" si="207"/>
        <v>16</v>
      </c>
      <c r="DI24" s="16">
        <f t="shared" si="207"/>
        <v>53</v>
      </c>
      <c r="DJ24" s="16">
        <f t="shared" ref="DJ24:DN24" si="208">DJ15+DJ16+DJ18+DJ19</f>
        <v>150</v>
      </c>
      <c r="DK24" s="16">
        <f t="shared" si="208"/>
        <v>202</v>
      </c>
      <c r="DL24" s="16">
        <f t="shared" si="208"/>
        <v>12</v>
      </c>
      <c r="DM24" s="16">
        <f t="shared" si="208"/>
        <v>104</v>
      </c>
      <c r="DN24" s="16">
        <f t="shared" si="208"/>
        <v>110</v>
      </c>
      <c r="DO24" s="16">
        <f t="shared" ref="DO24:DS24" si="209">DO15+DO16+DO18+DO19</f>
        <v>144</v>
      </c>
      <c r="DP24" s="16">
        <f t="shared" si="209"/>
        <v>110</v>
      </c>
      <c r="DQ24" s="16">
        <f t="shared" si="209"/>
        <v>24</v>
      </c>
      <c r="DR24" s="16">
        <f t="shared" si="209"/>
        <v>0</v>
      </c>
      <c r="DS24" s="16">
        <f t="shared" si="209"/>
        <v>37</v>
      </c>
    </row>
    <row r="25" spans="1:123" s="16" customFormat="1" x14ac:dyDescent="0.35"/>
    <row r="26" spans="1:123" x14ac:dyDescent="0.35">
      <c r="B26" s="16"/>
      <c r="C26" s="16"/>
    </row>
    <row r="27" spans="1:123" x14ac:dyDescent="0.35">
      <c r="B27" s="12">
        <v>25</v>
      </c>
      <c r="C27" s="3">
        <v>59</v>
      </c>
    </row>
    <row r="28" spans="1:123" x14ac:dyDescent="0.35">
      <c r="B28" s="12">
        <v>20</v>
      </c>
      <c r="C28" s="3">
        <v>41</v>
      </c>
    </row>
    <row r="29" spans="1:123" x14ac:dyDescent="0.35">
      <c r="B29" s="12">
        <v>42</v>
      </c>
      <c r="C29" s="15">
        <v>85</v>
      </c>
    </row>
    <row r="30" spans="1:123" x14ac:dyDescent="0.35">
      <c r="B30" s="12">
        <v>20</v>
      </c>
      <c r="C30" s="15">
        <v>31</v>
      </c>
    </row>
    <row r="31" spans="1:123" x14ac:dyDescent="0.35">
      <c r="B31" s="12">
        <v>14</v>
      </c>
      <c r="C31" s="3">
        <v>44</v>
      </c>
    </row>
    <row r="32" spans="1:123" x14ac:dyDescent="0.35">
      <c r="B32" s="12">
        <v>28</v>
      </c>
      <c r="C32" s="15">
        <v>40</v>
      </c>
    </row>
    <row r="33" spans="2:3" x14ac:dyDescent="0.35">
      <c r="B33" s="12">
        <v>28</v>
      </c>
      <c r="C33" s="15">
        <v>20</v>
      </c>
    </row>
    <row r="34" spans="2:3" x14ac:dyDescent="0.35">
      <c r="B34" s="12"/>
      <c r="C34" s="3"/>
    </row>
    <row r="35" spans="2:3" x14ac:dyDescent="0.35">
      <c r="B35" s="12"/>
    </row>
  </sheetData>
  <mergeCells count="27">
    <mergeCell ref="AC2:AG2"/>
    <mergeCell ref="B21:C21"/>
    <mergeCell ref="D2:H2"/>
    <mergeCell ref="I2:M2"/>
    <mergeCell ref="X2:AB2"/>
    <mergeCell ref="N2:R2"/>
    <mergeCell ref="S2:W2"/>
    <mergeCell ref="B11:C11"/>
    <mergeCell ref="B20:C20"/>
    <mergeCell ref="CK2:CO2"/>
    <mergeCell ref="AW2:BA2"/>
    <mergeCell ref="CA2:CE2"/>
    <mergeCell ref="CF2:CJ2"/>
    <mergeCell ref="AH2:AL2"/>
    <mergeCell ref="AM2:AQ2"/>
    <mergeCell ref="AR2:AV2"/>
    <mergeCell ref="BV2:BZ2"/>
    <mergeCell ref="BB2:BF2"/>
    <mergeCell ref="BG2:BK2"/>
    <mergeCell ref="BL2:BP2"/>
    <mergeCell ref="BQ2:BU2"/>
    <mergeCell ref="DO2:DS2"/>
    <mergeCell ref="DE2:DI2"/>
    <mergeCell ref="DJ2:DN2"/>
    <mergeCell ref="CP2:CT2"/>
    <mergeCell ref="CU2:CY2"/>
    <mergeCell ref="CZ2:DD2"/>
  </mergeCells>
  <pageMargins left="0.7" right="0.7" top="0.75" bottom="0.75" header="0.3" footer="0.3"/>
  <headerFooter>
    <oddFooter>&amp;L_x000D_&amp;1#&amp;"Calibri Light"&amp;8&amp;K000000 Classified as Public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FF31F-3121-4E30-A570-40DACA17A8C0}">
  <dimension ref="A2:EH35"/>
  <sheetViews>
    <sheetView zoomScale="60" zoomScaleNormal="60" workbookViewId="0">
      <pane xSplit="3" ySplit="3" topLeftCell="DO4" activePane="bottomRight" state="frozen"/>
      <selection pane="topRight" activeCell="C1" sqref="C1"/>
      <selection pane="bottomLeft" activeCell="A4" sqref="A4"/>
      <selection pane="bottomRight" activeCell="EH4" sqref="EH4"/>
    </sheetView>
  </sheetViews>
  <sheetFormatPr defaultRowHeight="14.5" x14ac:dyDescent="0.35"/>
  <cols>
    <col min="1" max="1" width="3.08984375" bestFit="1" customWidth="1"/>
    <col min="2" max="2" width="16.6328125" bestFit="1" customWidth="1"/>
    <col min="3" max="3" width="14.453125" bestFit="1" customWidth="1"/>
    <col min="4" max="5" width="9.36328125" hidden="1" customWidth="1"/>
    <col min="6" max="6" width="10.08984375" hidden="1" customWidth="1"/>
    <col min="7" max="7" width="8.7265625" hidden="1" customWidth="1"/>
    <col min="8" max="8" width="9.1796875" hidden="1" customWidth="1"/>
    <col min="9" max="10" width="9.36328125" hidden="1" customWidth="1"/>
    <col min="11" max="11" width="10.08984375" hidden="1" customWidth="1"/>
    <col min="12" max="12" width="8.7265625" hidden="1" customWidth="1"/>
    <col min="13" max="13" width="9.1796875" hidden="1" customWidth="1"/>
    <col min="14" max="15" width="9.36328125" hidden="1" customWidth="1"/>
    <col min="16" max="16" width="10.08984375" hidden="1" customWidth="1"/>
    <col min="17" max="17" width="8.7265625" hidden="1" customWidth="1"/>
    <col min="18" max="18" width="9.1796875" hidden="1" customWidth="1"/>
    <col min="19" max="19" width="7.08984375" hidden="1" customWidth="1"/>
    <col min="20" max="20" width="6" hidden="1" customWidth="1"/>
    <col min="21" max="21" width="8" hidden="1" customWidth="1"/>
    <col min="22" max="22" width="8.7265625" hidden="1" customWidth="1"/>
    <col min="23" max="23" width="8.453125" hidden="1" customWidth="1"/>
    <col min="24" max="24" width="7.08984375" hidden="1" customWidth="1"/>
    <col min="25" max="25" width="6" hidden="1" customWidth="1"/>
    <col min="26" max="26" width="10.08984375" hidden="1" customWidth="1"/>
    <col min="27" max="27" width="8.7265625" hidden="1" customWidth="1"/>
    <col min="28" max="28" width="9.1796875" hidden="1" customWidth="1"/>
    <col min="29" max="29" width="7.08984375" hidden="1" customWidth="1"/>
    <col min="30" max="30" width="6" hidden="1" customWidth="1"/>
    <col min="31" max="31" width="8" hidden="1" customWidth="1"/>
    <col min="32" max="32" width="8.7265625" hidden="1" customWidth="1"/>
    <col min="33" max="33" width="8.453125" hidden="1" customWidth="1"/>
    <col min="34" max="34" width="7.08984375" hidden="1" customWidth="1"/>
    <col min="35" max="35" width="6" hidden="1" customWidth="1"/>
    <col min="36" max="36" width="8" hidden="1" customWidth="1"/>
    <col min="37" max="37" width="8.7265625" hidden="1" customWidth="1"/>
    <col min="38" max="38" width="8.453125" hidden="1" customWidth="1"/>
    <col min="39" max="39" width="7.08984375" hidden="1" customWidth="1"/>
    <col min="40" max="40" width="6" hidden="1" customWidth="1"/>
    <col min="41" max="41" width="8" hidden="1" customWidth="1"/>
    <col min="42" max="42" width="8.7265625" hidden="1" customWidth="1"/>
    <col min="43" max="43" width="8.453125" hidden="1" customWidth="1"/>
    <col min="44" max="44" width="7.08984375" hidden="1" customWidth="1"/>
    <col min="45" max="45" width="6" hidden="1" customWidth="1"/>
    <col min="46" max="46" width="8" hidden="1" customWidth="1"/>
    <col min="47" max="47" width="8.7265625" hidden="1" customWidth="1"/>
    <col min="48" max="48" width="8.453125" hidden="1" customWidth="1"/>
    <col min="49" max="49" width="7.08984375" hidden="1" customWidth="1"/>
    <col min="50" max="50" width="6" hidden="1" customWidth="1"/>
    <col min="51" max="51" width="8" hidden="1" customWidth="1"/>
    <col min="52" max="52" width="8.7265625" hidden="1" customWidth="1"/>
    <col min="53" max="53" width="8.453125" hidden="1" customWidth="1"/>
    <col min="54" max="54" width="7.08984375" hidden="1" customWidth="1"/>
    <col min="55" max="55" width="6" hidden="1" customWidth="1"/>
    <col min="56" max="56" width="8" hidden="1" customWidth="1"/>
    <col min="57" max="57" width="8.7265625" hidden="1" customWidth="1"/>
    <col min="58" max="58" width="8.453125" hidden="1" customWidth="1"/>
    <col min="59" max="59" width="7.08984375" hidden="1" customWidth="1"/>
    <col min="60" max="60" width="6" hidden="1" customWidth="1"/>
    <col min="61" max="61" width="8" hidden="1" customWidth="1"/>
    <col min="62" max="62" width="8.7265625" hidden="1" customWidth="1"/>
    <col min="63" max="63" width="8.453125" hidden="1" customWidth="1"/>
    <col min="64" max="64" width="7.08984375" hidden="1" customWidth="1"/>
    <col min="65" max="65" width="6" hidden="1" customWidth="1"/>
    <col min="66" max="66" width="8" hidden="1" customWidth="1"/>
    <col min="67" max="67" width="8.7265625" hidden="1" customWidth="1"/>
    <col min="68" max="68" width="8.453125" hidden="1" customWidth="1"/>
    <col min="69" max="69" width="7.08984375" hidden="1" customWidth="1"/>
    <col min="70" max="70" width="6" hidden="1" customWidth="1"/>
    <col min="71" max="71" width="8" hidden="1" customWidth="1"/>
    <col min="72" max="72" width="8.7265625" hidden="1" customWidth="1"/>
    <col min="73" max="73" width="8.453125" hidden="1" customWidth="1"/>
    <col min="74" max="74" width="7.08984375" hidden="1" customWidth="1"/>
    <col min="75" max="75" width="6" hidden="1" customWidth="1"/>
    <col min="76" max="76" width="8" hidden="1" customWidth="1"/>
    <col min="77" max="77" width="8.7265625" hidden="1" customWidth="1"/>
    <col min="78" max="78" width="8.453125" hidden="1" customWidth="1"/>
    <col min="79" max="79" width="7.08984375" hidden="1" customWidth="1"/>
    <col min="80" max="80" width="6" hidden="1" customWidth="1"/>
    <col min="81" max="81" width="8" hidden="1" customWidth="1"/>
    <col min="82" max="82" width="8.7265625" hidden="1" customWidth="1"/>
    <col min="83" max="83" width="8.453125" hidden="1" customWidth="1"/>
    <col min="84" max="84" width="7.08984375" hidden="1" customWidth="1"/>
    <col min="85" max="85" width="6" hidden="1" customWidth="1"/>
    <col min="86" max="86" width="8" hidden="1" customWidth="1"/>
    <col min="87" max="87" width="8.7265625" hidden="1" customWidth="1"/>
    <col min="88" max="88" width="8.453125" hidden="1" customWidth="1"/>
    <col min="89" max="89" width="7.08984375" hidden="1" customWidth="1"/>
    <col min="90" max="90" width="6" hidden="1" customWidth="1"/>
    <col min="91" max="91" width="8" hidden="1" customWidth="1"/>
    <col min="92" max="92" width="8.7265625" hidden="1" customWidth="1"/>
    <col min="93" max="93" width="8.453125" hidden="1" customWidth="1"/>
    <col min="94" max="94" width="7.08984375" hidden="1" customWidth="1"/>
    <col min="95" max="95" width="6" hidden="1" customWidth="1"/>
    <col min="96" max="96" width="8" hidden="1" customWidth="1"/>
    <col min="97" max="97" width="8.7265625" hidden="1" customWidth="1"/>
    <col min="98" max="98" width="8.453125" hidden="1" customWidth="1"/>
    <col min="99" max="99" width="7.08984375" hidden="1" customWidth="1"/>
    <col min="100" max="100" width="6" hidden="1" customWidth="1"/>
    <col min="101" max="101" width="8" hidden="1" customWidth="1"/>
    <col min="102" max="102" width="8.7265625" hidden="1" customWidth="1"/>
    <col min="103" max="103" width="8.453125" hidden="1" customWidth="1"/>
    <col min="104" max="104" width="7.08984375" hidden="1" customWidth="1"/>
    <col min="105" max="105" width="6" hidden="1" customWidth="1"/>
    <col min="106" max="106" width="8" hidden="1" customWidth="1"/>
    <col min="107" max="107" width="8.7265625" hidden="1" customWidth="1"/>
    <col min="108" max="108" width="8.453125" hidden="1" customWidth="1"/>
    <col min="109" max="109" width="7.08984375" hidden="1" customWidth="1"/>
    <col min="110" max="110" width="6" hidden="1" customWidth="1"/>
    <col min="111" max="111" width="8" hidden="1" customWidth="1"/>
    <col min="112" max="112" width="8.7265625" hidden="1" customWidth="1"/>
    <col min="113" max="113" width="8.453125" hidden="1" customWidth="1"/>
    <col min="114" max="114" width="7.08984375" hidden="1" customWidth="1"/>
    <col min="115" max="115" width="6" hidden="1" customWidth="1"/>
    <col min="116" max="116" width="8" hidden="1" customWidth="1"/>
    <col min="117" max="117" width="8.7265625" hidden="1" customWidth="1"/>
    <col min="118" max="118" width="8.453125" hidden="1" customWidth="1"/>
  </cols>
  <sheetData>
    <row r="2" spans="1:138" x14ac:dyDescent="0.35">
      <c r="B2" s="7" t="s">
        <v>38</v>
      </c>
      <c r="C2" s="7"/>
      <c r="D2" s="31">
        <v>46115</v>
      </c>
      <c r="E2" s="32"/>
      <c r="F2" s="32"/>
      <c r="G2" s="32"/>
      <c r="H2" s="32"/>
      <c r="I2" s="41">
        <v>46116</v>
      </c>
      <c r="J2" s="42"/>
      <c r="K2" s="42"/>
      <c r="L2" s="42"/>
      <c r="M2" s="42"/>
      <c r="N2" s="31">
        <v>46117</v>
      </c>
      <c r="O2" s="32"/>
      <c r="P2" s="32"/>
      <c r="Q2" s="32"/>
      <c r="R2" s="32"/>
      <c r="S2" s="41">
        <v>46118</v>
      </c>
      <c r="T2" s="42"/>
      <c r="U2" s="42"/>
      <c r="V2" s="42"/>
      <c r="W2" s="42"/>
      <c r="X2" s="31">
        <v>46119</v>
      </c>
      <c r="Y2" s="32"/>
      <c r="Z2" s="32"/>
      <c r="AA2" s="32"/>
      <c r="AB2" s="32"/>
      <c r="AC2" s="41">
        <v>46120</v>
      </c>
      <c r="AD2" s="42"/>
      <c r="AE2" s="42"/>
      <c r="AF2" s="42"/>
      <c r="AG2" s="42"/>
      <c r="AH2" s="31">
        <v>46121</v>
      </c>
      <c r="AI2" s="32"/>
      <c r="AJ2" s="32"/>
      <c r="AK2" s="32"/>
      <c r="AL2" s="32"/>
      <c r="AM2" s="41">
        <v>46122</v>
      </c>
      <c r="AN2" s="42"/>
      <c r="AO2" s="42"/>
      <c r="AP2" s="42"/>
      <c r="AQ2" s="42"/>
      <c r="AR2" s="31">
        <v>46123</v>
      </c>
      <c r="AS2" s="32"/>
      <c r="AT2" s="32"/>
      <c r="AU2" s="32"/>
      <c r="AV2" s="32"/>
      <c r="AW2" s="41">
        <v>46124</v>
      </c>
      <c r="AX2" s="42"/>
      <c r="AY2" s="42"/>
      <c r="AZ2" s="42"/>
      <c r="BA2" s="42"/>
      <c r="BB2" s="31">
        <v>46125</v>
      </c>
      <c r="BC2" s="32"/>
      <c r="BD2" s="32"/>
      <c r="BE2" s="32"/>
      <c r="BF2" s="32"/>
      <c r="BG2" s="41">
        <v>46126</v>
      </c>
      <c r="BH2" s="42"/>
      <c r="BI2" s="42"/>
      <c r="BJ2" s="42"/>
      <c r="BK2" s="42"/>
      <c r="BL2" s="31">
        <v>46127</v>
      </c>
      <c r="BM2" s="32"/>
      <c r="BN2" s="32"/>
      <c r="BO2" s="32"/>
      <c r="BP2" s="32"/>
      <c r="BQ2" s="41">
        <v>46128</v>
      </c>
      <c r="BR2" s="42"/>
      <c r="BS2" s="42"/>
      <c r="BT2" s="42"/>
      <c r="BU2" s="42"/>
      <c r="BV2" s="31">
        <v>46129</v>
      </c>
      <c r="BW2" s="32"/>
      <c r="BX2" s="32"/>
      <c r="BY2" s="32"/>
      <c r="BZ2" s="32"/>
      <c r="CA2" s="41">
        <v>46130</v>
      </c>
      <c r="CB2" s="42"/>
      <c r="CC2" s="42"/>
      <c r="CD2" s="42"/>
      <c r="CE2" s="42"/>
      <c r="CF2" s="31">
        <v>46132</v>
      </c>
      <c r="CG2" s="32"/>
      <c r="CH2" s="32"/>
      <c r="CI2" s="32"/>
      <c r="CJ2" s="32"/>
      <c r="CK2" s="41">
        <v>46133</v>
      </c>
      <c r="CL2" s="42"/>
      <c r="CM2" s="42"/>
      <c r="CN2" s="42"/>
      <c r="CO2" s="42"/>
      <c r="CP2" s="31">
        <v>46134</v>
      </c>
      <c r="CQ2" s="32"/>
      <c r="CR2" s="32"/>
      <c r="CS2" s="32"/>
      <c r="CT2" s="32"/>
      <c r="CU2" s="41">
        <v>46135</v>
      </c>
      <c r="CV2" s="42"/>
      <c r="CW2" s="42"/>
      <c r="CX2" s="42"/>
      <c r="CY2" s="42"/>
      <c r="CZ2" s="31">
        <v>46136</v>
      </c>
      <c r="DA2" s="32"/>
      <c r="DB2" s="32"/>
      <c r="DC2" s="32"/>
      <c r="DD2" s="32"/>
      <c r="DE2" s="41">
        <v>46137</v>
      </c>
      <c r="DF2" s="42"/>
      <c r="DG2" s="42"/>
      <c r="DH2" s="42"/>
      <c r="DI2" s="42"/>
      <c r="DJ2" s="31">
        <v>46139</v>
      </c>
      <c r="DK2" s="32"/>
      <c r="DL2" s="32"/>
      <c r="DM2" s="32"/>
      <c r="DN2" s="32"/>
      <c r="DO2" s="41">
        <v>46140</v>
      </c>
      <c r="DP2" s="42"/>
      <c r="DQ2" s="42"/>
      <c r="DR2" s="42"/>
      <c r="DS2" s="42"/>
      <c r="DT2" s="31">
        <v>46141</v>
      </c>
      <c r="DU2" s="32"/>
      <c r="DV2" s="32"/>
      <c r="DW2" s="32"/>
      <c r="DX2" s="32"/>
      <c r="DY2" s="41">
        <v>46142</v>
      </c>
      <c r="DZ2" s="42"/>
      <c r="EA2" s="42"/>
      <c r="EB2" s="42"/>
      <c r="EC2" s="42"/>
      <c r="ED2" s="31">
        <v>46143</v>
      </c>
      <c r="EE2" s="32"/>
      <c r="EF2" s="32"/>
      <c r="EG2" s="32"/>
      <c r="EH2" s="32"/>
    </row>
    <row r="3" spans="1:138" s="1" customFormat="1" ht="43.5" x14ac:dyDescent="0.35">
      <c r="B3" s="4" t="s">
        <v>21</v>
      </c>
      <c r="C3" s="4" t="s">
        <v>22</v>
      </c>
      <c r="D3" s="5" t="s">
        <v>46</v>
      </c>
      <c r="E3" s="5" t="s">
        <v>47</v>
      </c>
      <c r="F3" s="5" t="s">
        <v>48</v>
      </c>
      <c r="G3" s="5" t="s">
        <v>49</v>
      </c>
      <c r="H3" s="5" t="s">
        <v>50</v>
      </c>
      <c r="I3" s="6" t="s">
        <v>51</v>
      </c>
      <c r="J3" s="6" t="s">
        <v>47</v>
      </c>
      <c r="K3" s="6" t="s">
        <v>48</v>
      </c>
      <c r="L3" s="6" t="s">
        <v>49</v>
      </c>
      <c r="M3" s="6" t="s">
        <v>52</v>
      </c>
      <c r="N3" s="5" t="s">
        <v>46</v>
      </c>
      <c r="O3" s="5" t="s">
        <v>47</v>
      </c>
      <c r="P3" s="5" t="s">
        <v>48</v>
      </c>
      <c r="Q3" s="5" t="s">
        <v>49</v>
      </c>
      <c r="R3" s="5" t="s">
        <v>50</v>
      </c>
      <c r="S3" s="6" t="s">
        <v>46</v>
      </c>
      <c r="T3" s="6" t="s">
        <v>47</v>
      </c>
      <c r="U3" s="6" t="s">
        <v>48</v>
      </c>
      <c r="V3" s="6" t="s">
        <v>49</v>
      </c>
      <c r="W3" s="6" t="s">
        <v>50</v>
      </c>
      <c r="X3" s="5" t="s">
        <v>46</v>
      </c>
      <c r="Y3" s="5" t="s">
        <v>47</v>
      </c>
      <c r="Z3" s="5" t="s">
        <v>48</v>
      </c>
      <c r="AA3" s="5" t="s">
        <v>49</v>
      </c>
      <c r="AB3" s="5" t="s">
        <v>50</v>
      </c>
      <c r="AC3" s="6" t="s">
        <v>46</v>
      </c>
      <c r="AD3" s="6" t="s">
        <v>47</v>
      </c>
      <c r="AE3" s="6" t="s">
        <v>48</v>
      </c>
      <c r="AF3" s="6" t="s">
        <v>49</v>
      </c>
      <c r="AG3" s="6" t="s">
        <v>50</v>
      </c>
      <c r="AH3" s="5" t="s">
        <v>46</v>
      </c>
      <c r="AI3" s="5" t="s">
        <v>47</v>
      </c>
      <c r="AJ3" s="5" t="s">
        <v>48</v>
      </c>
      <c r="AK3" s="5" t="s">
        <v>49</v>
      </c>
      <c r="AL3" s="5" t="s">
        <v>50</v>
      </c>
      <c r="AM3" s="6" t="s">
        <v>46</v>
      </c>
      <c r="AN3" s="6" t="s">
        <v>47</v>
      </c>
      <c r="AO3" s="6" t="s">
        <v>48</v>
      </c>
      <c r="AP3" s="6" t="s">
        <v>49</v>
      </c>
      <c r="AQ3" s="6" t="s">
        <v>50</v>
      </c>
      <c r="AR3" s="5" t="s">
        <v>46</v>
      </c>
      <c r="AS3" s="5" t="s">
        <v>47</v>
      </c>
      <c r="AT3" s="5" t="s">
        <v>48</v>
      </c>
      <c r="AU3" s="5" t="s">
        <v>49</v>
      </c>
      <c r="AV3" s="5" t="s">
        <v>50</v>
      </c>
      <c r="AW3" s="6" t="s">
        <v>46</v>
      </c>
      <c r="AX3" s="6" t="s">
        <v>47</v>
      </c>
      <c r="AY3" s="6" t="s">
        <v>48</v>
      </c>
      <c r="AZ3" s="6" t="s">
        <v>49</v>
      </c>
      <c r="BA3" s="6" t="s">
        <v>50</v>
      </c>
      <c r="BB3" s="5" t="s">
        <v>46</v>
      </c>
      <c r="BC3" s="5" t="s">
        <v>47</v>
      </c>
      <c r="BD3" s="5" t="s">
        <v>48</v>
      </c>
      <c r="BE3" s="5" t="s">
        <v>49</v>
      </c>
      <c r="BF3" s="5" t="s">
        <v>50</v>
      </c>
      <c r="BG3" s="6" t="s">
        <v>46</v>
      </c>
      <c r="BH3" s="6" t="s">
        <v>47</v>
      </c>
      <c r="BI3" s="6" t="s">
        <v>48</v>
      </c>
      <c r="BJ3" s="6" t="s">
        <v>49</v>
      </c>
      <c r="BK3" s="6" t="s">
        <v>50</v>
      </c>
      <c r="BL3" s="5" t="s">
        <v>46</v>
      </c>
      <c r="BM3" s="5" t="s">
        <v>47</v>
      </c>
      <c r="BN3" s="5" t="s">
        <v>48</v>
      </c>
      <c r="BO3" s="5" t="s">
        <v>49</v>
      </c>
      <c r="BP3" s="5" t="s">
        <v>50</v>
      </c>
      <c r="BQ3" s="6" t="s">
        <v>46</v>
      </c>
      <c r="BR3" s="6" t="s">
        <v>47</v>
      </c>
      <c r="BS3" s="6" t="s">
        <v>48</v>
      </c>
      <c r="BT3" s="6" t="s">
        <v>49</v>
      </c>
      <c r="BU3" s="6" t="s">
        <v>50</v>
      </c>
      <c r="BV3" s="5" t="s">
        <v>46</v>
      </c>
      <c r="BW3" s="5" t="s">
        <v>47</v>
      </c>
      <c r="BX3" s="5" t="s">
        <v>48</v>
      </c>
      <c r="BY3" s="5" t="s">
        <v>49</v>
      </c>
      <c r="BZ3" s="5" t="s">
        <v>50</v>
      </c>
      <c r="CA3" s="6" t="s">
        <v>46</v>
      </c>
      <c r="CB3" s="6" t="s">
        <v>47</v>
      </c>
      <c r="CC3" s="6" t="s">
        <v>48</v>
      </c>
      <c r="CD3" s="6" t="s">
        <v>49</v>
      </c>
      <c r="CE3" s="6" t="s">
        <v>50</v>
      </c>
      <c r="CF3" s="5" t="s">
        <v>46</v>
      </c>
      <c r="CG3" s="5" t="s">
        <v>47</v>
      </c>
      <c r="CH3" s="5" t="s">
        <v>48</v>
      </c>
      <c r="CI3" s="5" t="s">
        <v>49</v>
      </c>
      <c r="CJ3" s="5" t="s">
        <v>50</v>
      </c>
      <c r="CK3" s="6" t="s">
        <v>46</v>
      </c>
      <c r="CL3" s="6" t="s">
        <v>47</v>
      </c>
      <c r="CM3" s="6" t="s">
        <v>48</v>
      </c>
      <c r="CN3" s="6" t="s">
        <v>49</v>
      </c>
      <c r="CO3" s="6" t="s">
        <v>50</v>
      </c>
      <c r="CP3" s="5" t="s">
        <v>46</v>
      </c>
      <c r="CQ3" s="5" t="s">
        <v>47</v>
      </c>
      <c r="CR3" s="5" t="s">
        <v>48</v>
      </c>
      <c r="CS3" s="5" t="s">
        <v>49</v>
      </c>
      <c r="CT3" s="5" t="s">
        <v>50</v>
      </c>
      <c r="CU3" s="6" t="s">
        <v>46</v>
      </c>
      <c r="CV3" s="6" t="s">
        <v>47</v>
      </c>
      <c r="CW3" s="6" t="s">
        <v>48</v>
      </c>
      <c r="CX3" s="6" t="s">
        <v>49</v>
      </c>
      <c r="CY3" s="6" t="s">
        <v>50</v>
      </c>
      <c r="CZ3" s="5" t="s">
        <v>46</v>
      </c>
      <c r="DA3" s="5" t="s">
        <v>47</v>
      </c>
      <c r="DB3" s="5" t="s">
        <v>48</v>
      </c>
      <c r="DC3" s="5" t="s">
        <v>49</v>
      </c>
      <c r="DD3" s="5" t="s">
        <v>50</v>
      </c>
      <c r="DE3" s="6" t="s">
        <v>46</v>
      </c>
      <c r="DF3" s="6" t="s">
        <v>47</v>
      </c>
      <c r="DG3" s="6" t="s">
        <v>48</v>
      </c>
      <c r="DH3" s="6" t="s">
        <v>49</v>
      </c>
      <c r="DI3" s="6" t="s">
        <v>50</v>
      </c>
      <c r="DJ3" s="5" t="s">
        <v>46</v>
      </c>
      <c r="DK3" s="5" t="s">
        <v>47</v>
      </c>
      <c r="DL3" s="5" t="s">
        <v>48</v>
      </c>
      <c r="DM3" s="5" t="s">
        <v>49</v>
      </c>
      <c r="DN3" s="5" t="s">
        <v>50</v>
      </c>
      <c r="DO3" s="6" t="s">
        <v>46</v>
      </c>
      <c r="DP3" s="6" t="s">
        <v>47</v>
      </c>
      <c r="DQ3" s="6" t="s">
        <v>48</v>
      </c>
      <c r="DR3" s="6" t="s">
        <v>49</v>
      </c>
      <c r="DS3" s="6" t="s">
        <v>50</v>
      </c>
      <c r="DT3" s="5" t="s">
        <v>46</v>
      </c>
      <c r="DU3" s="5" t="s">
        <v>47</v>
      </c>
      <c r="DV3" s="5" t="s">
        <v>48</v>
      </c>
      <c r="DW3" s="5" t="s">
        <v>49</v>
      </c>
      <c r="DX3" s="5" t="s">
        <v>50</v>
      </c>
      <c r="DY3" s="6" t="s">
        <v>46</v>
      </c>
      <c r="DZ3" s="6" t="s">
        <v>47</v>
      </c>
      <c r="EA3" s="6" t="s">
        <v>48</v>
      </c>
      <c r="EB3" s="6" t="s">
        <v>49</v>
      </c>
      <c r="EC3" s="6" t="s">
        <v>50</v>
      </c>
      <c r="ED3" s="5" t="s">
        <v>46</v>
      </c>
      <c r="EE3" s="5" t="s">
        <v>47</v>
      </c>
      <c r="EF3" s="5" t="s">
        <v>48</v>
      </c>
      <c r="EG3" s="5" t="s">
        <v>49</v>
      </c>
      <c r="EH3" s="5" t="s">
        <v>50</v>
      </c>
    </row>
    <row r="4" spans="1:138" x14ac:dyDescent="0.35">
      <c r="A4" s="3">
        <v>52</v>
      </c>
      <c r="B4" s="2" t="s">
        <v>0</v>
      </c>
      <c r="C4" s="2" t="s">
        <v>13</v>
      </c>
      <c r="D4" s="3">
        <f>A4</f>
        <v>52</v>
      </c>
      <c r="E4" s="3">
        <v>28</v>
      </c>
      <c r="F4" s="3">
        <v>42</v>
      </c>
      <c r="G4" s="3">
        <v>28</v>
      </c>
      <c r="H4" s="3">
        <v>8</v>
      </c>
      <c r="I4" s="3">
        <f>D4+G4-H4</f>
        <v>72</v>
      </c>
      <c r="J4" s="3">
        <f>E4+F4-G4</f>
        <v>42</v>
      </c>
      <c r="K4" s="3">
        <v>28</v>
      </c>
      <c r="L4" s="3">
        <v>14</v>
      </c>
      <c r="M4" s="3">
        <v>38</v>
      </c>
      <c r="N4" s="3">
        <f>I4+L4-M4</f>
        <v>48</v>
      </c>
      <c r="O4" s="3">
        <f>J4+K4-L4</f>
        <v>56</v>
      </c>
      <c r="P4" s="3"/>
      <c r="Q4" s="3"/>
      <c r="R4" s="3"/>
      <c r="S4" s="3">
        <f>N4+Q4-R4</f>
        <v>48</v>
      </c>
      <c r="T4" s="3">
        <f>O4+P4-Q4</f>
        <v>56</v>
      </c>
      <c r="U4" s="3">
        <v>14</v>
      </c>
      <c r="V4" s="3">
        <v>28</v>
      </c>
      <c r="W4" s="3">
        <v>42</v>
      </c>
      <c r="X4" s="3">
        <f>S4+V4-W4</f>
        <v>34</v>
      </c>
      <c r="Y4" s="3">
        <f t="shared" ref="Y4:Y10" si="0">T4+U4-V4</f>
        <v>42</v>
      </c>
      <c r="Z4" s="3">
        <v>28</v>
      </c>
      <c r="AA4" s="3">
        <v>28</v>
      </c>
      <c r="AB4" s="3">
        <v>30</v>
      </c>
      <c r="AC4" s="3">
        <v>45</v>
      </c>
      <c r="AD4" s="3">
        <f>Y4+Z4-AA4</f>
        <v>42</v>
      </c>
      <c r="AE4" s="3">
        <v>14</v>
      </c>
      <c r="AF4" s="3">
        <v>42</v>
      </c>
      <c r="AG4" s="3">
        <v>57</v>
      </c>
      <c r="AH4" s="3">
        <f>AC4+AF4-AG4</f>
        <v>30</v>
      </c>
      <c r="AI4" s="3">
        <f>AD4+AE4-AF4</f>
        <v>14</v>
      </c>
      <c r="AJ4" s="3">
        <v>84</v>
      </c>
      <c r="AK4" s="3">
        <v>70</v>
      </c>
      <c r="AL4" s="3">
        <v>78</v>
      </c>
      <c r="AM4" s="3">
        <f>AH4+AK4-AL4</f>
        <v>22</v>
      </c>
      <c r="AN4" s="3">
        <f>AI4+AJ4-AK4</f>
        <v>28</v>
      </c>
      <c r="AO4" s="3">
        <v>98</v>
      </c>
      <c r="AP4" s="3">
        <v>98</v>
      </c>
      <c r="AQ4" s="3">
        <v>42</v>
      </c>
      <c r="AR4" s="3">
        <f>AM4+AP4-AQ4</f>
        <v>78</v>
      </c>
      <c r="AS4" s="3">
        <f>AN4+AO4-AP4</f>
        <v>28</v>
      </c>
      <c r="AT4" s="3">
        <v>42</v>
      </c>
      <c r="AU4" s="3">
        <v>56</v>
      </c>
      <c r="AV4" s="3">
        <v>47</v>
      </c>
      <c r="AW4" s="3">
        <f>AR4+AU4-AV4</f>
        <v>87</v>
      </c>
      <c r="AX4" s="3">
        <f>AS4+AT4-AU4</f>
        <v>14</v>
      </c>
      <c r="AY4" s="3"/>
      <c r="AZ4" s="3"/>
      <c r="BA4" s="3"/>
      <c r="BB4" s="3">
        <f>AW4+AZ4-BA4</f>
        <v>87</v>
      </c>
      <c r="BC4" s="3">
        <f>AX4+AY4-AZ4</f>
        <v>14</v>
      </c>
      <c r="BD4" s="3">
        <v>42</v>
      </c>
      <c r="BE4" s="3">
        <v>14</v>
      </c>
      <c r="BF4" s="3">
        <v>18</v>
      </c>
      <c r="BG4" s="3">
        <f>BB4+BE4-BF4</f>
        <v>83</v>
      </c>
      <c r="BH4" s="3">
        <f>BC4+BD4-BE4</f>
        <v>42</v>
      </c>
      <c r="BI4" s="3">
        <v>0</v>
      </c>
      <c r="BJ4" s="3">
        <v>28</v>
      </c>
      <c r="BK4" s="3">
        <v>108</v>
      </c>
      <c r="BL4" s="3">
        <f>BG4+BJ4-BK4</f>
        <v>3</v>
      </c>
      <c r="BM4" s="3">
        <f>BH4+BI4-BJ4</f>
        <v>14</v>
      </c>
      <c r="BN4" s="3">
        <v>70</v>
      </c>
      <c r="BO4" s="3">
        <v>70</v>
      </c>
      <c r="BP4" s="3">
        <v>62</v>
      </c>
      <c r="BQ4" s="3">
        <f>BL4+BO4-BP4</f>
        <v>11</v>
      </c>
      <c r="BR4" s="3">
        <f>BM4+BN4-BO4</f>
        <v>14</v>
      </c>
      <c r="BS4" s="3">
        <f>84+42</f>
        <v>126</v>
      </c>
      <c r="BT4" s="3">
        <v>98</v>
      </c>
      <c r="BU4" s="3">
        <v>52</v>
      </c>
      <c r="BV4" s="3">
        <f>BQ4+BT4-BU4</f>
        <v>57</v>
      </c>
      <c r="BW4" s="3">
        <f>BR4+BS4-BT4</f>
        <v>42</v>
      </c>
      <c r="BX4" s="3">
        <v>42</v>
      </c>
      <c r="BY4" s="3">
        <v>56</v>
      </c>
      <c r="BZ4" s="3">
        <v>42</v>
      </c>
      <c r="CA4" s="3">
        <v>32</v>
      </c>
      <c r="CB4" s="3">
        <f>BW4+BX4-BY4</f>
        <v>28</v>
      </c>
      <c r="CC4" s="3">
        <v>70</v>
      </c>
      <c r="CD4" s="3">
        <v>56</v>
      </c>
      <c r="CE4" s="3">
        <v>32</v>
      </c>
      <c r="CF4" s="3">
        <f>CA4+CD4-CE4</f>
        <v>56</v>
      </c>
      <c r="CG4" s="3">
        <f>CB4+CC4-CD4</f>
        <v>42</v>
      </c>
      <c r="CH4" s="3">
        <v>28</v>
      </c>
      <c r="CI4" s="3">
        <v>56</v>
      </c>
      <c r="CJ4" s="3">
        <v>33</v>
      </c>
      <c r="CK4" s="3">
        <f>CF4+CI4-CJ4</f>
        <v>79</v>
      </c>
      <c r="CL4" s="3">
        <f>CG4+CH4-CI4</f>
        <v>14</v>
      </c>
      <c r="CM4" s="3">
        <v>56</v>
      </c>
      <c r="CN4" s="3">
        <v>56</v>
      </c>
      <c r="CO4" s="3">
        <v>66</v>
      </c>
      <c r="CP4" s="3">
        <f>CK4+CN4-CO4</f>
        <v>69</v>
      </c>
      <c r="CQ4" s="3">
        <f>CL4+CM4-CN4</f>
        <v>14</v>
      </c>
      <c r="CR4" s="3">
        <v>84</v>
      </c>
      <c r="CS4" s="3">
        <v>56</v>
      </c>
      <c r="CT4" s="3">
        <v>57</v>
      </c>
      <c r="CU4" s="3">
        <f>CP4+CS4-CT4</f>
        <v>68</v>
      </c>
      <c r="CV4" s="3">
        <f>CQ4+CR4-CS4</f>
        <v>42</v>
      </c>
      <c r="CW4" s="3">
        <v>14</v>
      </c>
      <c r="CX4" s="3">
        <v>28</v>
      </c>
      <c r="CY4" s="3">
        <v>39</v>
      </c>
      <c r="CZ4" s="3">
        <f>CU4+CX4-CY4</f>
        <v>57</v>
      </c>
      <c r="DA4" s="3">
        <f>CV4+CW4-CX4</f>
        <v>28</v>
      </c>
      <c r="DB4" s="3">
        <v>56</v>
      </c>
      <c r="DC4" s="3">
        <v>56</v>
      </c>
      <c r="DD4" s="3">
        <v>38</v>
      </c>
      <c r="DE4" s="3">
        <f>CZ4+DC4-DD4</f>
        <v>75</v>
      </c>
      <c r="DF4" s="3">
        <f>DA4+DB4-DC4</f>
        <v>28</v>
      </c>
      <c r="DG4" s="3">
        <v>56</v>
      </c>
      <c r="DH4" s="3">
        <v>56</v>
      </c>
      <c r="DI4" s="3">
        <v>44</v>
      </c>
      <c r="DJ4" s="3">
        <f>DE4+DH4-DI4</f>
        <v>87</v>
      </c>
      <c r="DK4" s="3">
        <f>DF4+DG4-DH4</f>
        <v>28</v>
      </c>
      <c r="DL4" s="3"/>
      <c r="DM4" s="3"/>
      <c r="DN4" s="3"/>
      <c r="DO4" s="3">
        <f>DJ4+DM4-DN4</f>
        <v>87</v>
      </c>
      <c r="DP4" s="3">
        <f>DK4+DL4-DM4</f>
        <v>28</v>
      </c>
      <c r="DQ4" s="3">
        <v>28</v>
      </c>
      <c r="DR4" s="3"/>
      <c r="DS4" s="3"/>
      <c r="DT4" s="3">
        <f>DO4+DR4-DS4</f>
        <v>87</v>
      </c>
      <c r="DU4" s="3">
        <f>DP4+DQ4-DR4</f>
        <v>56</v>
      </c>
      <c r="DV4" s="3">
        <v>28</v>
      </c>
      <c r="DW4" s="3">
        <v>56</v>
      </c>
      <c r="DX4" s="3">
        <v>33</v>
      </c>
      <c r="DY4" s="3">
        <f>DT4+DW4-DX4</f>
        <v>110</v>
      </c>
      <c r="DZ4" s="3">
        <f>DU4+DV4-DW4</f>
        <v>28</v>
      </c>
      <c r="EA4" s="3"/>
      <c r="EB4" s="3">
        <v>0</v>
      </c>
      <c r="EC4" s="3">
        <v>2</v>
      </c>
      <c r="ED4" s="3">
        <f>DY4+EB4-EC4</f>
        <v>108</v>
      </c>
      <c r="EE4" s="3">
        <f>DZ4+EA4-EB4</f>
        <v>28</v>
      </c>
      <c r="EF4" s="3"/>
      <c r="EG4" s="3"/>
      <c r="EH4" s="3">
        <v>0</v>
      </c>
    </row>
    <row r="5" spans="1:138" x14ac:dyDescent="0.35">
      <c r="A5" s="3">
        <v>28</v>
      </c>
      <c r="B5" s="2" t="s">
        <v>1</v>
      </c>
      <c r="C5" s="2" t="s">
        <v>14</v>
      </c>
      <c r="D5" s="3">
        <f t="shared" ref="D5:D10" si="1">A5</f>
        <v>28</v>
      </c>
      <c r="E5" s="3">
        <v>28</v>
      </c>
      <c r="F5" s="3"/>
      <c r="G5" s="3">
        <v>0</v>
      </c>
      <c r="H5" s="3">
        <v>3</v>
      </c>
      <c r="I5" s="3">
        <f t="shared" ref="I5:I10" si="2">D5+G5-H5</f>
        <v>25</v>
      </c>
      <c r="J5" s="3">
        <f t="shared" ref="J5:J10" si="3">E5+F5-G5</f>
        <v>28</v>
      </c>
      <c r="K5" s="3"/>
      <c r="L5" s="3">
        <v>0</v>
      </c>
      <c r="M5" s="3">
        <v>3</v>
      </c>
      <c r="N5" s="3">
        <f t="shared" ref="N5:N10" si="4">I5+L5-M5</f>
        <v>22</v>
      </c>
      <c r="O5" s="3">
        <f t="shared" ref="O5:O10" si="5">J5+K5-L5</f>
        <v>28</v>
      </c>
      <c r="P5" s="3"/>
      <c r="Q5" s="3"/>
      <c r="R5" s="3"/>
      <c r="S5" s="3">
        <f t="shared" ref="S5:S10" si="6">N5+Q5-R5</f>
        <v>22</v>
      </c>
      <c r="T5" s="3">
        <f t="shared" ref="T5:T8" si="7">O5+P5-Q5</f>
        <v>28</v>
      </c>
      <c r="U5" s="3"/>
      <c r="V5" s="3">
        <v>28</v>
      </c>
      <c r="W5" s="3">
        <v>12</v>
      </c>
      <c r="X5" s="3">
        <f t="shared" ref="X5:X10" si="8">S5+V5-W5</f>
        <v>38</v>
      </c>
      <c r="Y5" s="3">
        <f t="shared" si="0"/>
        <v>0</v>
      </c>
      <c r="Z5" s="3">
        <v>0</v>
      </c>
      <c r="AA5" s="3">
        <v>0</v>
      </c>
      <c r="AB5" s="3">
        <v>2</v>
      </c>
      <c r="AC5" s="3">
        <f t="shared" ref="AC5:AC9" si="9">X5+AA5-AB5</f>
        <v>36</v>
      </c>
      <c r="AD5" s="3">
        <f t="shared" ref="AD5:AD10" si="10">Y5+Z5-AA5</f>
        <v>0</v>
      </c>
      <c r="AE5" s="3">
        <v>14</v>
      </c>
      <c r="AF5" s="3">
        <v>0</v>
      </c>
      <c r="AG5" s="3">
        <v>0</v>
      </c>
      <c r="AH5" s="3">
        <f t="shared" ref="AH5:AH10" si="11">AC5+AF5-AG5</f>
        <v>36</v>
      </c>
      <c r="AI5" s="3">
        <f t="shared" ref="AI5:AI10" si="12">AD5+AE5-AF5</f>
        <v>14</v>
      </c>
      <c r="AJ5" s="3"/>
      <c r="AK5" s="3">
        <v>0</v>
      </c>
      <c r="AL5" s="3">
        <v>10</v>
      </c>
      <c r="AM5" s="3">
        <f t="shared" ref="AM5:AM10" si="13">AH5+AK5-AL5</f>
        <v>26</v>
      </c>
      <c r="AN5" s="3">
        <f t="shared" ref="AN5:AN10" si="14">AI5+AJ5-AK5</f>
        <v>14</v>
      </c>
      <c r="AO5" s="3">
        <v>0</v>
      </c>
      <c r="AP5" s="3">
        <v>0</v>
      </c>
      <c r="AQ5" s="3">
        <v>7</v>
      </c>
      <c r="AR5" s="3">
        <f t="shared" ref="AR5:AR10" si="15">AM5+AP5-AQ5</f>
        <v>19</v>
      </c>
      <c r="AS5" s="3">
        <f t="shared" ref="AS5:AS10" si="16">AN5+AO5-AP5</f>
        <v>14</v>
      </c>
      <c r="AT5" s="3"/>
      <c r="AU5" s="3">
        <v>14</v>
      </c>
      <c r="AV5" s="3">
        <v>3</v>
      </c>
      <c r="AW5" s="3">
        <f t="shared" ref="AW5:AW10" si="17">AR5+AU5-AV5</f>
        <v>30</v>
      </c>
      <c r="AX5" s="3">
        <f t="shared" ref="AX5:AX10" si="18">AS5+AT5-AU5</f>
        <v>0</v>
      </c>
      <c r="AY5" s="3"/>
      <c r="AZ5" s="3"/>
      <c r="BA5" s="3"/>
      <c r="BB5" s="3">
        <f t="shared" ref="BB5:BB9" si="19">AW5+AZ5-BA5</f>
        <v>30</v>
      </c>
      <c r="BC5" s="3">
        <f t="shared" ref="BC5:BC10" si="20">AX5+AY5-AZ5</f>
        <v>0</v>
      </c>
      <c r="BD5" s="3">
        <v>14</v>
      </c>
      <c r="BE5" s="3">
        <v>14</v>
      </c>
      <c r="BF5" s="3">
        <v>13</v>
      </c>
      <c r="BG5" s="3">
        <f t="shared" ref="BG5:BG10" si="21">BB5+BE5-BF5</f>
        <v>31</v>
      </c>
      <c r="BH5" s="3">
        <f t="shared" ref="BH5:BH10" si="22">BC5+BD5-BE5</f>
        <v>0</v>
      </c>
      <c r="BI5" s="3">
        <v>28</v>
      </c>
      <c r="BJ5" s="3">
        <v>0</v>
      </c>
      <c r="BK5" s="3">
        <v>1</v>
      </c>
      <c r="BL5" s="3">
        <f t="shared" ref="BL5:BL10" si="23">BG5+BJ5-BK5</f>
        <v>30</v>
      </c>
      <c r="BM5" s="3">
        <f t="shared" ref="BM5:BM10" si="24">BH5+BI5-BJ5</f>
        <v>28</v>
      </c>
      <c r="BN5" s="3">
        <v>0</v>
      </c>
      <c r="BO5" s="3">
        <v>0</v>
      </c>
      <c r="BP5" s="3">
        <v>4</v>
      </c>
      <c r="BQ5" s="3">
        <f t="shared" ref="BQ5:BQ10" si="25">BL5+BO5-BP5</f>
        <v>26</v>
      </c>
      <c r="BR5" s="3">
        <f t="shared" ref="BR5:BR10" si="26">BM5+BN5-BO5</f>
        <v>28</v>
      </c>
      <c r="BS5" s="3"/>
      <c r="BT5" s="3">
        <v>0</v>
      </c>
      <c r="BU5" s="3">
        <v>0</v>
      </c>
      <c r="BV5" s="3">
        <f t="shared" ref="BV5" si="27">BQ5+BT5-BU5</f>
        <v>26</v>
      </c>
      <c r="BW5" s="3">
        <f t="shared" ref="BW5:BW10" si="28">BR5+BS5-BT5</f>
        <v>28</v>
      </c>
      <c r="BX5" s="3"/>
      <c r="BY5" s="3">
        <v>0</v>
      </c>
      <c r="BZ5" s="3">
        <v>0</v>
      </c>
      <c r="CA5" s="3">
        <v>14</v>
      </c>
      <c r="CB5" s="3">
        <f t="shared" ref="CB5:CB10" si="29">BW5+BX5-BY5</f>
        <v>28</v>
      </c>
      <c r="CC5" s="3"/>
      <c r="CD5" s="3">
        <v>14</v>
      </c>
      <c r="CE5" s="3">
        <v>0</v>
      </c>
      <c r="CF5" s="3">
        <f t="shared" ref="CF5:CF10" si="30">CA5+CD5-CE5</f>
        <v>28</v>
      </c>
      <c r="CG5" s="3">
        <f t="shared" ref="CG5:CG10" si="31">CB5+CC5-CD5</f>
        <v>14</v>
      </c>
      <c r="CH5" s="3">
        <v>28</v>
      </c>
      <c r="CI5" s="3">
        <v>0</v>
      </c>
      <c r="CJ5" s="3">
        <v>0</v>
      </c>
      <c r="CK5" s="3">
        <f t="shared" ref="CK5:CK10" si="32">CF5+CI5-CJ5</f>
        <v>28</v>
      </c>
      <c r="CL5" s="3">
        <f t="shared" ref="CL5:CL10" si="33">CG5+CH5-CI5</f>
        <v>42</v>
      </c>
      <c r="CM5" s="3"/>
      <c r="CN5" s="3">
        <v>0</v>
      </c>
      <c r="CO5" s="3">
        <v>0</v>
      </c>
      <c r="CP5" s="3">
        <f t="shared" ref="CP5:CP10" si="34">CK5+CN5-CO5</f>
        <v>28</v>
      </c>
      <c r="CQ5" s="3">
        <f t="shared" ref="CQ5:CQ10" si="35">CL5+CM5-CN5</f>
        <v>42</v>
      </c>
      <c r="CR5" s="3">
        <v>0</v>
      </c>
      <c r="CS5" s="3">
        <v>0</v>
      </c>
      <c r="CT5" s="3">
        <v>0</v>
      </c>
      <c r="CU5" s="3">
        <f t="shared" ref="CU5:CU10" si="36">CP5+CS5-CT5</f>
        <v>28</v>
      </c>
      <c r="CV5" s="3">
        <f t="shared" ref="CV5:CV10" si="37">CQ5+CR5-CS5</f>
        <v>42</v>
      </c>
      <c r="CW5" s="3"/>
      <c r="CX5" s="3">
        <v>14</v>
      </c>
      <c r="CY5" s="3">
        <v>0</v>
      </c>
      <c r="CZ5" s="3">
        <f t="shared" ref="CZ5:CZ10" si="38">CU5+CX5-CY5</f>
        <v>42</v>
      </c>
      <c r="DA5" s="3">
        <f t="shared" ref="DA5:DA9" si="39">CV5+CW5-CX5</f>
        <v>28</v>
      </c>
      <c r="DB5" s="3"/>
      <c r="DC5" s="3">
        <v>0</v>
      </c>
      <c r="DD5" s="3">
        <v>0</v>
      </c>
      <c r="DE5" s="3">
        <f t="shared" ref="DE5:DE10" si="40">CZ5+DC5-DD5</f>
        <v>42</v>
      </c>
      <c r="DF5" s="3">
        <f t="shared" ref="DF5:DF10" si="41">DA5+DB5-DC5</f>
        <v>28</v>
      </c>
      <c r="DG5" s="3"/>
      <c r="DH5" s="3">
        <v>0</v>
      </c>
      <c r="DI5" s="3">
        <v>0</v>
      </c>
      <c r="DJ5" s="3">
        <f t="shared" ref="DJ5:DJ10" si="42">DE5+DH5-DI5</f>
        <v>42</v>
      </c>
      <c r="DK5" s="3">
        <f t="shared" ref="DK5:DK10" si="43">DF5+DG5-DH5</f>
        <v>28</v>
      </c>
      <c r="DL5" s="3"/>
      <c r="DM5" s="3"/>
      <c r="DN5" s="3"/>
      <c r="DO5" s="3">
        <f t="shared" ref="DO5:DO10" si="44">DJ5+DM5-DN5</f>
        <v>42</v>
      </c>
      <c r="DP5" s="3">
        <f t="shared" ref="DP5:DP10" si="45">DK5+DL5-DM5</f>
        <v>28</v>
      </c>
      <c r="DQ5" s="3"/>
      <c r="DR5" s="3"/>
      <c r="DS5" s="3"/>
      <c r="DT5" s="3">
        <f t="shared" ref="DT5:DT10" si="46">DO5+DR5-DS5</f>
        <v>42</v>
      </c>
      <c r="DU5" s="3">
        <f t="shared" ref="DU5:DU10" si="47">DP5+DQ5-DR5</f>
        <v>28</v>
      </c>
      <c r="DV5" s="3"/>
      <c r="DW5" s="3">
        <v>14</v>
      </c>
      <c r="DX5" s="3">
        <v>16</v>
      </c>
      <c r="DY5" s="3">
        <f t="shared" ref="DY5:DY10" si="48">DT5+DW5-DX5</f>
        <v>40</v>
      </c>
      <c r="DZ5" s="3">
        <f t="shared" ref="DZ5:DZ10" si="49">DU5+DV5-DW5</f>
        <v>14</v>
      </c>
      <c r="EA5" s="3">
        <v>28</v>
      </c>
      <c r="EB5" s="3">
        <v>14</v>
      </c>
      <c r="EC5" s="3">
        <v>21</v>
      </c>
      <c r="ED5" s="3">
        <f t="shared" ref="ED5:ED10" si="50">DY5+EB5-EC5</f>
        <v>33</v>
      </c>
      <c r="EE5" s="3">
        <f t="shared" ref="EE5:EE10" si="51">DZ5+EA5-EB5</f>
        <v>28</v>
      </c>
      <c r="EF5" s="3"/>
      <c r="EG5" s="3"/>
      <c r="EH5" s="3">
        <v>4</v>
      </c>
    </row>
    <row r="6" spans="1:138" x14ac:dyDescent="0.35">
      <c r="A6" s="3">
        <v>70</v>
      </c>
      <c r="B6" s="2" t="s">
        <v>2</v>
      </c>
      <c r="C6" s="2" t="s">
        <v>15</v>
      </c>
      <c r="D6" s="3">
        <f t="shared" si="1"/>
        <v>70</v>
      </c>
      <c r="E6" s="3">
        <f>42+252</f>
        <v>294</v>
      </c>
      <c r="F6" s="3">
        <v>112</v>
      </c>
      <c r="G6" s="3">
        <v>126</v>
      </c>
      <c r="H6" s="3">
        <v>91</v>
      </c>
      <c r="I6" s="3">
        <f t="shared" si="2"/>
        <v>105</v>
      </c>
      <c r="J6" s="3">
        <v>308</v>
      </c>
      <c r="K6" s="3">
        <v>168</v>
      </c>
      <c r="L6" s="3">
        <v>168</v>
      </c>
      <c r="M6" s="3">
        <v>224</v>
      </c>
      <c r="N6" s="3">
        <f t="shared" si="4"/>
        <v>49</v>
      </c>
      <c r="O6" s="3">
        <v>350</v>
      </c>
      <c r="P6" s="3"/>
      <c r="Q6" s="3"/>
      <c r="R6" s="3"/>
      <c r="S6" s="3">
        <f t="shared" si="6"/>
        <v>49</v>
      </c>
      <c r="T6" s="3">
        <f t="shared" si="7"/>
        <v>350</v>
      </c>
      <c r="U6" s="3">
        <v>196</v>
      </c>
      <c r="V6" s="3">
        <v>224</v>
      </c>
      <c r="W6" s="3">
        <v>214</v>
      </c>
      <c r="X6" s="3">
        <f t="shared" si="8"/>
        <v>59</v>
      </c>
      <c r="Y6" s="3">
        <v>280</v>
      </c>
      <c r="Z6" s="3">
        <v>154</v>
      </c>
      <c r="AA6" s="3">
        <v>210</v>
      </c>
      <c r="AB6" s="3">
        <v>205</v>
      </c>
      <c r="AC6" s="3">
        <v>80</v>
      </c>
      <c r="AD6" s="3">
        <f t="shared" si="10"/>
        <v>224</v>
      </c>
      <c r="AE6" s="3">
        <v>168</v>
      </c>
      <c r="AF6" s="3">
        <v>238</v>
      </c>
      <c r="AG6" s="3">
        <v>234</v>
      </c>
      <c r="AH6" s="3">
        <f t="shared" si="11"/>
        <v>84</v>
      </c>
      <c r="AI6" s="3">
        <f t="shared" si="12"/>
        <v>154</v>
      </c>
      <c r="AJ6" s="3">
        <v>140</v>
      </c>
      <c r="AK6" s="3">
        <v>196</v>
      </c>
      <c r="AL6" s="3">
        <v>194</v>
      </c>
      <c r="AM6" s="3">
        <f t="shared" si="13"/>
        <v>86</v>
      </c>
      <c r="AN6" s="3">
        <f t="shared" si="14"/>
        <v>98</v>
      </c>
      <c r="AO6" s="3">
        <v>210</v>
      </c>
      <c r="AP6" s="3">
        <v>238</v>
      </c>
      <c r="AQ6" s="3">
        <v>229</v>
      </c>
      <c r="AR6" s="3">
        <f t="shared" si="15"/>
        <v>95</v>
      </c>
      <c r="AS6" s="3">
        <f t="shared" si="16"/>
        <v>70</v>
      </c>
      <c r="AT6" s="3">
        <v>210</v>
      </c>
      <c r="AU6" s="3">
        <v>280</v>
      </c>
      <c r="AV6" s="3">
        <v>247</v>
      </c>
      <c r="AW6" s="3">
        <f t="shared" si="17"/>
        <v>128</v>
      </c>
      <c r="AX6" s="3">
        <f t="shared" si="18"/>
        <v>0</v>
      </c>
      <c r="AY6" s="3">
        <v>70</v>
      </c>
      <c r="AZ6" s="3"/>
      <c r="BA6" s="3"/>
      <c r="BB6" s="3">
        <v>66</v>
      </c>
      <c r="BC6" s="3">
        <f t="shared" si="20"/>
        <v>70</v>
      </c>
      <c r="BD6" s="3">
        <v>182</v>
      </c>
      <c r="BE6" s="3">
        <v>168</v>
      </c>
      <c r="BF6" s="3">
        <v>136</v>
      </c>
      <c r="BG6" s="3">
        <f t="shared" si="21"/>
        <v>98</v>
      </c>
      <c r="BH6" s="3">
        <f t="shared" si="22"/>
        <v>84</v>
      </c>
      <c r="BI6" s="3">
        <v>154</v>
      </c>
      <c r="BJ6" s="3">
        <v>182</v>
      </c>
      <c r="BK6" s="3">
        <v>180</v>
      </c>
      <c r="BL6" s="3">
        <f t="shared" si="23"/>
        <v>100</v>
      </c>
      <c r="BM6" s="3">
        <f t="shared" si="24"/>
        <v>56</v>
      </c>
      <c r="BN6" s="3">
        <f>154+56</f>
        <v>210</v>
      </c>
      <c r="BO6" s="3">
        <v>210</v>
      </c>
      <c r="BP6" s="3">
        <v>208</v>
      </c>
      <c r="BQ6" s="3">
        <f t="shared" si="25"/>
        <v>102</v>
      </c>
      <c r="BR6" s="3">
        <f t="shared" si="26"/>
        <v>56</v>
      </c>
      <c r="BS6" s="3">
        <f>126+84</f>
        <v>210</v>
      </c>
      <c r="BT6" s="3">
        <v>140</v>
      </c>
      <c r="BU6" s="3">
        <v>108</v>
      </c>
      <c r="BV6" s="3">
        <v>126</v>
      </c>
      <c r="BW6" s="3">
        <f t="shared" si="28"/>
        <v>126</v>
      </c>
      <c r="BX6" s="3">
        <v>84</v>
      </c>
      <c r="BY6" s="3">
        <v>84</v>
      </c>
      <c r="BZ6" s="3">
        <v>203</v>
      </c>
      <c r="CA6" s="3">
        <v>19</v>
      </c>
      <c r="CB6" s="3">
        <f t="shared" si="29"/>
        <v>126</v>
      </c>
      <c r="CC6" s="3">
        <v>196</v>
      </c>
      <c r="CD6" s="3">
        <v>196</v>
      </c>
      <c r="CE6" s="3">
        <v>151</v>
      </c>
      <c r="CF6" s="3">
        <f t="shared" si="30"/>
        <v>64</v>
      </c>
      <c r="CG6" s="3">
        <f t="shared" si="31"/>
        <v>126</v>
      </c>
      <c r="CH6" s="3">
        <v>224</v>
      </c>
      <c r="CI6" s="3">
        <v>182</v>
      </c>
      <c r="CJ6" s="3">
        <v>138</v>
      </c>
      <c r="CK6" s="3">
        <f t="shared" si="32"/>
        <v>108</v>
      </c>
      <c r="CL6" s="3">
        <f t="shared" si="33"/>
        <v>168</v>
      </c>
      <c r="CM6" s="3">
        <v>108</v>
      </c>
      <c r="CN6" s="3">
        <v>154</v>
      </c>
      <c r="CO6" s="3">
        <v>131</v>
      </c>
      <c r="CP6" s="3">
        <f t="shared" si="34"/>
        <v>131</v>
      </c>
      <c r="CQ6" s="3">
        <f t="shared" si="35"/>
        <v>122</v>
      </c>
      <c r="CR6" s="3">
        <v>98</v>
      </c>
      <c r="CS6" s="3">
        <v>168</v>
      </c>
      <c r="CT6" s="3">
        <v>234</v>
      </c>
      <c r="CU6" s="3">
        <f t="shared" si="36"/>
        <v>65</v>
      </c>
      <c r="CV6" s="3">
        <f t="shared" si="37"/>
        <v>52</v>
      </c>
      <c r="CW6" s="3">
        <f>70+158</f>
        <v>228</v>
      </c>
      <c r="CX6" s="3">
        <v>210</v>
      </c>
      <c r="CY6" s="3">
        <v>200</v>
      </c>
      <c r="CZ6" s="3">
        <f t="shared" si="38"/>
        <v>75</v>
      </c>
      <c r="DA6" s="3">
        <f t="shared" si="39"/>
        <v>70</v>
      </c>
      <c r="DB6" s="3">
        <v>252</v>
      </c>
      <c r="DC6" s="3">
        <v>252</v>
      </c>
      <c r="DD6" s="3">
        <v>265</v>
      </c>
      <c r="DE6" s="3">
        <f t="shared" si="40"/>
        <v>62</v>
      </c>
      <c r="DF6" s="3">
        <f t="shared" si="41"/>
        <v>70</v>
      </c>
      <c r="DG6" s="3">
        <v>210</v>
      </c>
      <c r="DH6" s="3">
        <v>224</v>
      </c>
      <c r="DI6" s="3">
        <v>203</v>
      </c>
      <c r="DJ6" s="3">
        <f t="shared" si="42"/>
        <v>83</v>
      </c>
      <c r="DK6" s="3">
        <f t="shared" si="43"/>
        <v>56</v>
      </c>
      <c r="DL6" s="3">
        <v>42</v>
      </c>
      <c r="DM6" s="3"/>
      <c r="DN6" s="3"/>
      <c r="DO6" s="3">
        <f t="shared" si="44"/>
        <v>83</v>
      </c>
      <c r="DP6" s="3">
        <f t="shared" si="45"/>
        <v>98</v>
      </c>
      <c r="DQ6" s="3">
        <v>168</v>
      </c>
      <c r="DR6" s="3"/>
      <c r="DS6" s="3"/>
      <c r="DT6" s="3">
        <f t="shared" si="46"/>
        <v>83</v>
      </c>
      <c r="DU6" s="3">
        <f t="shared" si="47"/>
        <v>266</v>
      </c>
      <c r="DV6" s="3">
        <v>168</v>
      </c>
      <c r="DW6" s="3">
        <v>182</v>
      </c>
      <c r="DX6" s="3">
        <v>150</v>
      </c>
      <c r="DY6" s="3">
        <f t="shared" si="48"/>
        <v>115</v>
      </c>
      <c r="DZ6" s="3">
        <f t="shared" si="49"/>
        <v>252</v>
      </c>
      <c r="EA6" s="3">
        <v>210</v>
      </c>
      <c r="EB6" s="3">
        <v>224</v>
      </c>
      <c r="EC6" s="3">
        <v>158</v>
      </c>
      <c r="ED6" s="3">
        <f t="shared" si="50"/>
        <v>181</v>
      </c>
      <c r="EE6" s="3">
        <f t="shared" si="51"/>
        <v>238</v>
      </c>
      <c r="EF6" s="3"/>
      <c r="EG6" s="3"/>
      <c r="EH6" s="3">
        <v>107</v>
      </c>
    </row>
    <row r="7" spans="1:138" x14ac:dyDescent="0.35">
      <c r="A7" s="3">
        <v>56</v>
      </c>
      <c r="B7" s="2" t="s">
        <v>3</v>
      </c>
      <c r="C7" s="2" t="s">
        <v>16</v>
      </c>
      <c r="D7" s="3">
        <f t="shared" si="1"/>
        <v>56</v>
      </c>
      <c r="E7" s="3">
        <v>56</v>
      </c>
      <c r="F7" s="3"/>
      <c r="G7" s="3">
        <v>14</v>
      </c>
      <c r="H7" s="3">
        <v>18</v>
      </c>
      <c r="I7" s="3">
        <f t="shared" si="2"/>
        <v>52</v>
      </c>
      <c r="J7" s="3">
        <f t="shared" si="3"/>
        <v>42</v>
      </c>
      <c r="K7" s="3">
        <v>14</v>
      </c>
      <c r="L7" s="3">
        <v>0</v>
      </c>
      <c r="M7" s="3">
        <v>6</v>
      </c>
      <c r="N7" s="3">
        <f t="shared" si="4"/>
        <v>46</v>
      </c>
      <c r="O7" s="3">
        <f t="shared" si="5"/>
        <v>56</v>
      </c>
      <c r="P7" s="3"/>
      <c r="Q7" s="3"/>
      <c r="R7" s="3"/>
      <c r="S7" s="3">
        <f t="shared" si="6"/>
        <v>46</v>
      </c>
      <c r="T7" s="3">
        <f t="shared" si="7"/>
        <v>56</v>
      </c>
      <c r="U7" s="3"/>
      <c r="V7" s="3">
        <v>28</v>
      </c>
      <c r="W7" s="3">
        <v>20</v>
      </c>
      <c r="X7" s="3">
        <f t="shared" si="8"/>
        <v>54</v>
      </c>
      <c r="Y7" s="3">
        <f t="shared" si="0"/>
        <v>28</v>
      </c>
      <c r="Z7" s="3">
        <v>0</v>
      </c>
      <c r="AA7" s="3">
        <v>14</v>
      </c>
      <c r="AB7" s="3">
        <v>32</v>
      </c>
      <c r="AC7" s="3">
        <v>40</v>
      </c>
      <c r="AD7" s="3">
        <f t="shared" si="10"/>
        <v>14</v>
      </c>
      <c r="AE7" s="3">
        <v>28</v>
      </c>
      <c r="AF7" s="3">
        <v>28</v>
      </c>
      <c r="AG7" s="3">
        <v>18</v>
      </c>
      <c r="AH7" s="3">
        <f t="shared" si="11"/>
        <v>50</v>
      </c>
      <c r="AI7" s="3">
        <f t="shared" si="12"/>
        <v>14</v>
      </c>
      <c r="AJ7" s="3">
        <v>14</v>
      </c>
      <c r="AK7" s="3">
        <v>14</v>
      </c>
      <c r="AL7" s="3">
        <v>17</v>
      </c>
      <c r="AM7" s="3">
        <f t="shared" si="13"/>
        <v>47</v>
      </c>
      <c r="AN7" s="3">
        <f t="shared" si="14"/>
        <v>14</v>
      </c>
      <c r="AO7" s="3">
        <v>28</v>
      </c>
      <c r="AP7" s="3">
        <v>14</v>
      </c>
      <c r="AQ7" s="3">
        <v>19</v>
      </c>
      <c r="AR7" s="3">
        <f t="shared" si="15"/>
        <v>42</v>
      </c>
      <c r="AS7" s="3">
        <f t="shared" si="16"/>
        <v>28</v>
      </c>
      <c r="AT7" s="3"/>
      <c r="AU7" s="3">
        <v>14</v>
      </c>
      <c r="AV7" s="3">
        <v>7</v>
      </c>
      <c r="AW7" s="3">
        <f t="shared" si="17"/>
        <v>49</v>
      </c>
      <c r="AX7" s="3">
        <f t="shared" si="18"/>
        <v>14</v>
      </c>
      <c r="AY7" s="3"/>
      <c r="AZ7" s="3"/>
      <c r="BA7" s="3"/>
      <c r="BB7" s="3">
        <f t="shared" si="19"/>
        <v>49</v>
      </c>
      <c r="BC7" s="3">
        <f t="shared" si="20"/>
        <v>14</v>
      </c>
      <c r="BD7" s="3">
        <v>14</v>
      </c>
      <c r="BE7" s="3">
        <v>14</v>
      </c>
      <c r="BF7" s="3">
        <v>24</v>
      </c>
      <c r="BG7" s="3">
        <f t="shared" si="21"/>
        <v>39</v>
      </c>
      <c r="BH7" s="3">
        <f t="shared" si="22"/>
        <v>14</v>
      </c>
      <c r="BI7" s="3">
        <v>0</v>
      </c>
      <c r="BJ7" s="3">
        <v>14</v>
      </c>
      <c r="BK7" s="3">
        <v>20</v>
      </c>
      <c r="BL7" s="3">
        <f t="shared" si="23"/>
        <v>33</v>
      </c>
      <c r="BM7" s="3">
        <f t="shared" si="24"/>
        <v>0</v>
      </c>
      <c r="BN7" s="3">
        <v>28</v>
      </c>
      <c r="BO7" s="3">
        <v>14</v>
      </c>
      <c r="BP7" s="3">
        <v>7</v>
      </c>
      <c r="BQ7" s="3">
        <f t="shared" si="25"/>
        <v>40</v>
      </c>
      <c r="BR7" s="3">
        <f t="shared" si="26"/>
        <v>14</v>
      </c>
      <c r="BS7" s="3">
        <v>14</v>
      </c>
      <c r="BT7" s="3">
        <v>14</v>
      </c>
      <c r="BU7" s="3">
        <v>9</v>
      </c>
      <c r="BV7" s="3">
        <v>26</v>
      </c>
      <c r="BW7" s="3">
        <f t="shared" si="28"/>
        <v>14</v>
      </c>
      <c r="BX7" s="3">
        <v>14</v>
      </c>
      <c r="BY7" s="3">
        <v>14</v>
      </c>
      <c r="BZ7" s="3">
        <v>25</v>
      </c>
      <c r="CA7" s="3">
        <v>25</v>
      </c>
      <c r="CB7" s="3">
        <f t="shared" si="29"/>
        <v>14</v>
      </c>
      <c r="CC7" s="3">
        <v>14</v>
      </c>
      <c r="CD7" s="3">
        <v>14</v>
      </c>
      <c r="CE7" s="3">
        <v>11</v>
      </c>
      <c r="CF7" s="3">
        <f t="shared" si="30"/>
        <v>28</v>
      </c>
      <c r="CG7" s="3">
        <f t="shared" si="31"/>
        <v>14</v>
      </c>
      <c r="CH7" s="3"/>
      <c r="CI7" s="3">
        <v>14</v>
      </c>
      <c r="CJ7" s="3">
        <v>13</v>
      </c>
      <c r="CK7" s="3">
        <f t="shared" si="32"/>
        <v>29</v>
      </c>
      <c r="CL7" s="3">
        <f t="shared" si="33"/>
        <v>0</v>
      </c>
      <c r="CM7" s="3">
        <v>14</v>
      </c>
      <c r="CN7" s="3">
        <v>14</v>
      </c>
      <c r="CO7" s="3">
        <v>10</v>
      </c>
      <c r="CP7" s="3">
        <f t="shared" si="34"/>
        <v>33</v>
      </c>
      <c r="CQ7" s="3">
        <f t="shared" si="35"/>
        <v>0</v>
      </c>
      <c r="CR7" s="3">
        <v>42</v>
      </c>
      <c r="CS7" s="3">
        <v>28</v>
      </c>
      <c r="CT7" s="3">
        <v>6</v>
      </c>
      <c r="CU7" s="3">
        <f t="shared" si="36"/>
        <v>55</v>
      </c>
      <c r="CV7" s="3">
        <f t="shared" si="37"/>
        <v>14</v>
      </c>
      <c r="CW7" s="3">
        <v>28</v>
      </c>
      <c r="CX7" s="3">
        <v>28</v>
      </c>
      <c r="CY7" s="3">
        <v>17</v>
      </c>
      <c r="CZ7" s="3">
        <f t="shared" si="38"/>
        <v>66</v>
      </c>
      <c r="DA7" s="3">
        <f t="shared" si="39"/>
        <v>14</v>
      </c>
      <c r="DB7" s="3"/>
      <c r="DC7" s="3">
        <v>0</v>
      </c>
      <c r="DD7" s="3">
        <v>8</v>
      </c>
      <c r="DE7" s="3">
        <f t="shared" si="40"/>
        <v>58</v>
      </c>
      <c r="DF7" s="3">
        <f t="shared" si="41"/>
        <v>14</v>
      </c>
      <c r="DG7" s="3">
        <v>28</v>
      </c>
      <c r="DH7" s="3">
        <v>28</v>
      </c>
      <c r="DI7" s="3">
        <v>17</v>
      </c>
      <c r="DJ7" s="3">
        <f t="shared" si="42"/>
        <v>69</v>
      </c>
      <c r="DK7" s="3">
        <f t="shared" si="43"/>
        <v>14</v>
      </c>
      <c r="DL7" s="3"/>
      <c r="DM7" s="3"/>
      <c r="DN7" s="3"/>
      <c r="DO7" s="3">
        <f t="shared" si="44"/>
        <v>69</v>
      </c>
      <c r="DP7" s="3">
        <f t="shared" si="45"/>
        <v>14</v>
      </c>
      <c r="DQ7" s="3">
        <v>42</v>
      </c>
      <c r="DR7" s="3"/>
      <c r="DS7" s="3"/>
      <c r="DT7" s="3">
        <f t="shared" si="46"/>
        <v>69</v>
      </c>
      <c r="DU7" s="3">
        <f t="shared" si="47"/>
        <v>56</v>
      </c>
      <c r="DV7" s="3">
        <v>14</v>
      </c>
      <c r="DW7" s="3">
        <v>14</v>
      </c>
      <c r="DX7" s="3">
        <v>38</v>
      </c>
      <c r="DY7" s="3">
        <f t="shared" si="48"/>
        <v>45</v>
      </c>
      <c r="DZ7" s="3">
        <f t="shared" si="49"/>
        <v>56</v>
      </c>
      <c r="EA7" s="3"/>
      <c r="EB7" s="3">
        <v>14</v>
      </c>
      <c r="EC7" s="3">
        <v>10</v>
      </c>
      <c r="ED7" s="3">
        <f t="shared" si="50"/>
        <v>49</v>
      </c>
      <c r="EE7" s="3">
        <f t="shared" si="51"/>
        <v>42</v>
      </c>
      <c r="EF7" s="3"/>
      <c r="EG7" s="3"/>
      <c r="EH7" s="3">
        <v>1</v>
      </c>
    </row>
    <row r="8" spans="1:138" x14ac:dyDescent="0.35">
      <c r="A8" s="3">
        <v>40</v>
      </c>
      <c r="B8" s="2" t="s">
        <v>5</v>
      </c>
      <c r="C8" s="2" t="s">
        <v>18</v>
      </c>
      <c r="D8" s="3">
        <f t="shared" si="1"/>
        <v>40</v>
      </c>
      <c r="E8" s="3">
        <v>28</v>
      </c>
      <c r="F8" s="3"/>
      <c r="G8" s="3">
        <v>0</v>
      </c>
      <c r="H8" s="3">
        <v>0</v>
      </c>
      <c r="I8" s="3">
        <f t="shared" si="2"/>
        <v>40</v>
      </c>
      <c r="J8" s="3">
        <f t="shared" si="3"/>
        <v>28</v>
      </c>
      <c r="K8" s="3"/>
      <c r="L8" s="3">
        <v>0</v>
      </c>
      <c r="M8" s="3">
        <v>8</v>
      </c>
      <c r="N8" s="3">
        <f t="shared" si="4"/>
        <v>32</v>
      </c>
      <c r="O8" s="3">
        <v>28</v>
      </c>
      <c r="P8" s="3"/>
      <c r="Q8" s="3"/>
      <c r="R8" s="3"/>
      <c r="S8" s="3">
        <f t="shared" si="6"/>
        <v>32</v>
      </c>
      <c r="T8" s="3">
        <f t="shared" si="7"/>
        <v>28</v>
      </c>
      <c r="U8" s="3"/>
      <c r="V8" s="3">
        <v>0</v>
      </c>
      <c r="W8" s="3">
        <v>0</v>
      </c>
      <c r="X8" s="3">
        <f t="shared" si="8"/>
        <v>32</v>
      </c>
      <c r="Y8" s="3">
        <f t="shared" si="0"/>
        <v>28</v>
      </c>
      <c r="Z8" s="3">
        <v>0</v>
      </c>
      <c r="AA8" s="3">
        <v>0</v>
      </c>
      <c r="AB8" s="3">
        <v>0</v>
      </c>
      <c r="AC8" s="3">
        <v>36</v>
      </c>
      <c r="AD8" s="3">
        <f t="shared" si="10"/>
        <v>28</v>
      </c>
      <c r="AE8" s="3">
        <v>0</v>
      </c>
      <c r="AF8" s="3">
        <v>0</v>
      </c>
      <c r="AG8" s="3">
        <v>0</v>
      </c>
      <c r="AH8" s="3">
        <f t="shared" si="11"/>
        <v>36</v>
      </c>
      <c r="AI8" s="3">
        <f t="shared" si="12"/>
        <v>28</v>
      </c>
      <c r="AJ8" s="3"/>
      <c r="AK8" s="3">
        <v>0</v>
      </c>
      <c r="AL8" s="3">
        <v>0</v>
      </c>
      <c r="AM8" s="3">
        <f t="shared" si="13"/>
        <v>36</v>
      </c>
      <c r="AN8" s="3">
        <f t="shared" si="14"/>
        <v>28</v>
      </c>
      <c r="AO8" s="3">
        <v>0</v>
      </c>
      <c r="AP8" s="3">
        <v>0</v>
      </c>
      <c r="AQ8" s="3">
        <v>0</v>
      </c>
      <c r="AR8" s="3">
        <f t="shared" si="15"/>
        <v>36</v>
      </c>
      <c r="AS8" s="3">
        <v>0</v>
      </c>
      <c r="AT8" s="3"/>
      <c r="AU8" s="3">
        <v>0</v>
      </c>
      <c r="AV8" s="3">
        <v>0</v>
      </c>
      <c r="AW8" s="3">
        <f t="shared" si="17"/>
        <v>36</v>
      </c>
      <c r="AX8" s="3">
        <f t="shared" si="18"/>
        <v>0</v>
      </c>
      <c r="AY8" s="3"/>
      <c r="AZ8" s="3"/>
      <c r="BA8" s="3"/>
      <c r="BB8" s="3">
        <f t="shared" si="19"/>
        <v>36</v>
      </c>
      <c r="BC8" s="3">
        <f t="shared" si="20"/>
        <v>0</v>
      </c>
      <c r="BD8" s="3"/>
      <c r="BE8" s="3">
        <v>0</v>
      </c>
      <c r="BF8" s="3">
        <v>0</v>
      </c>
      <c r="BG8" s="3">
        <f t="shared" si="21"/>
        <v>36</v>
      </c>
      <c r="BH8" s="3">
        <f t="shared" si="22"/>
        <v>0</v>
      </c>
      <c r="BI8" s="3">
        <v>14</v>
      </c>
      <c r="BJ8" s="3">
        <v>0</v>
      </c>
      <c r="BK8" s="3">
        <v>0</v>
      </c>
      <c r="BL8" s="3">
        <f t="shared" si="23"/>
        <v>36</v>
      </c>
      <c r="BM8" s="3">
        <f t="shared" si="24"/>
        <v>14</v>
      </c>
      <c r="BN8" s="3"/>
      <c r="BO8" s="3">
        <v>0</v>
      </c>
      <c r="BP8" s="3">
        <v>10</v>
      </c>
      <c r="BQ8" s="3">
        <f t="shared" si="25"/>
        <v>26</v>
      </c>
      <c r="BR8" s="3">
        <f t="shared" si="26"/>
        <v>14</v>
      </c>
      <c r="BS8" s="3"/>
      <c r="BT8" s="3">
        <v>0</v>
      </c>
      <c r="BU8" s="3">
        <v>0</v>
      </c>
      <c r="BV8" s="3">
        <v>28</v>
      </c>
      <c r="BW8" s="3">
        <f t="shared" si="28"/>
        <v>14</v>
      </c>
      <c r="BX8" s="3"/>
      <c r="BY8" s="3">
        <v>0</v>
      </c>
      <c r="BZ8" s="3">
        <v>1</v>
      </c>
      <c r="CA8" s="3">
        <f t="shared" ref="CA8" si="52">BV8+BY8-BZ8</f>
        <v>27</v>
      </c>
      <c r="CB8" s="3">
        <f t="shared" si="29"/>
        <v>14</v>
      </c>
      <c r="CC8" s="3"/>
      <c r="CD8" s="3">
        <v>0</v>
      </c>
      <c r="CE8" s="3">
        <v>1</v>
      </c>
      <c r="CF8" s="3">
        <f t="shared" si="30"/>
        <v>26</v>
      </c>
      <c r="CG8" s="3">
        <f t="shared" si="31"/>
        <v>14</v>
      </c>
      <c r="CH8" s="3"/>
      <c r="CI8" s="3">
        <v>0</v>
      </c>
      <c r="CJ8" s="3">
        <v>0</v>
      </c>
      <c r="CK8" s="3">
        <f t="shared" si="32"/>
        <v>26</v>
      </c>
      <c r="CL8" s="3">
        <f t="shared" si="33"/>
        <v>14</v>
      </c>
      <c r="CM8" s="3"/>
      <c r="CN8" s="3">
        <v>0</v>
      </c>
      <c r="CO8" s="3">
        <v>0</v>
      </c>
      <c r="CP8" s="3">
        <f t="shared" si="34"/>
        <v>26</v>
      </c>
      <c r="CQ8" s="3">
        <f t="shared" si="35"/>
        <v>14</v>
      </c>
      <c r="CR8" s="3">
        <v>0</v>
      </c>
      <c r="CS8" s="3">
        <v>0</v>
      </c>
      <c r="CT8" s="3">
        <v>5</v>
      </c>
      <c r="CU8" s="3">
        <f t="shared" si="36"/>
        <v>21</v>
      </c>
      <c r="CV8" s="3">
        <f t="shared" si="37"/>
        <v>14</v>
      </c>
      <c r="CW8" s="3"/>
      <c r="CX8" s="3">
        <v>0</v>
      </c>
      <c r="CY8" s="3">
        <v>0</v>
      </c>
      <c r="CZ8" s="3">
        <f t="shared" si="38"/>
        <v>21</v>
      </c>
      <c r="DA8" s="3">
        <f t="shared" si="39"/>
        <v>14</v>
      </c>
      <c r="DB8" s="3"/>
      <c r="DC8" s="3">
        <v>0</v>
      </c>
      <c r="DD8" s="3">
        <v>0</v>
      </c>
      <c r="DE8" s="3">
        <f t="shared" si="40"/>
        <v>21</v>
      </c>
      <c r="DF8" s="3">
        <f t="shared" si="41"/>
        <v>14</v>
      </c>
      <c r="DG8" s="3"/>
      <c r="DH8" s="3">
        <v>0</v>
      </c>
      <c r="DI8" s="3">
        <v>0</v>
      </c>
      <c r="DJ8" s="3">
        <f t="shared" si="42"/>
        <v>21</v>
      </c>
      <c r="DK8" s="3">
        <f t="shared" si="43"/>
        <v>14</v>
      </c>
      <c r="DL8" s="3"/>
      <c r="DM8" s="3"/>
      <c r="DN8" s="3"/>
      <c r="DO8" s="3">
        <f t="shared" si="44"/>
        <v>21</v>
      </c>
      <c r="DP8" s="3">
        <f t="shared" si="45"/>
        <v>14</v>
      </c>
      <c r="DQ8" s="3">
        <v>14</v>
      </c>
      <c r="DR8" s="3"/>
      <c r="DS8" s="3"/>
      <c r="DT8" s="3">
        <f t="shared" si="46"/>
        <v>21</v>
      </c>
      <c r="DU8" s="3">
        <f t="shared" si="47"/>
        <v>28</v>
      </c>
      <c r="DV8" s="3"/>
      <c r="DW8" s="3">
        <v>0</v>
      </c>
      <c r="DX8" s="3">
        <v>0</v>
      </c>
      <c r="DY8" s="3">
        <f t="shared" si="48"/>
        <v>21</v>
      </c>
      <c r="DZ8" s="3">
        <f t="shared" si="49"/>
        <v>28</v>
      </c>
      <c r="EA8" s="3"/>
      <c r="EB8" s="3">
        <v>0</v>
      </c>
      <c r="EC8" s="3">
        <v>0</v>
      </c>
      <c r="ED8" s="3">
        <f t="shared" si="50"/>
        <v>21</v>
      </c>
      <c r="EE8" s="3">
        <f t="shared" si="51"/>
        <v>28</v>
      </c>
      <c r="EF8" s="3"/>
      <c r="EG8" s="3"/>
      <c r="EH8" s="3">
        <v>0</v>
      </c>
    </row>
    <row r="9" spans="1:138" x14ac:dyDescent="0.35">
      <c r="A9" s="3">
        <v>30</v>
      </c>
      <c r="B9" s="2" t="s">
        <v>6</v>
      </c>
      <c r="C9" s="2" t="s">
        <v>19</v>
      </c>
      <c r="D9" s="3">
        <f t="shared" si="1"/>
        <v>30</v>
      </c>
      <c r="E9" s="3">
        <v>14</v>
      </c>
      <c r="F9" s="3">
        <v>84</v>
      </c>
      <c r="G9" s="3">
        <v>42</v>
      </c>
      <c r="H9" s="3">
        <v>15</v>
      </c>
      <c r="I9" s="3">
        <f t="shared" si="2"/>
        <v>57</v>
      </c>
      <c r="J9" s="3">
        <f t="shared" si="3"/>
        <v>56</v>
      </c>
      <c r="K9" s="3">
        <v>14</v>
      </c>
      <c r="L9" s="3">
        <v>14</v>
      </c>
      <c r="M9" s="3">
        <v>14</v>
      </c>
      <c r="N9" s="3">
        <f t="shared" si="4"/>
        <v>57</v>
      </c>
      <c r="O9" s="3">
        <f t="shared" si="5"/>
        <v>56</v>
      </c>
      <c r="P9" s="3"/>
      <c r="Q9" s="3"/>
      <c r="R9" s="3"/>
      <c r="S9" s="3">
        <f t="shared" si="6"/>
        <v>57</v>
      </c>
      <c r="T9" s="3">
        <f t="shared" ref="T9:T10" si="53">O9+P9-Q9</f>
        <v>56</v>
      </c>
      <c r="U9" s="3">
        <v>14</v>
      </c>
      <c r="V9" s="3">
        <v>14</v>
      </c>
      <c r="W9" s="3">
        <v>17</v>
      </c>
      <c r="X9" s="3">
        <f t="shared" si="8"/>
        <v>54</v>
      </c>
      <c r="Y9" s="3">
        <v>70</v>
      </c>
      <c r="Z9" s="3">
        <v>28</v>
      </c>
      <c r="AA9" s="3">
        <v>0</v>
      </c>
      <c r="AB9" s="3">
        <v>5</v>
      </c>
      <c r="AC9" s="3">
        <f t="shared" si="9"/>
        <v>49</v>
      </c>
      <c r="AD9" s="3">
        <f t="shared" si="10"/>
        <v>98</v>
      </c>
      <c r="AE9" s="3">
        <v>0</v>
      </c>
      <c r="AF9" s="3">
        <v>14</v>
      </c>
      <c r="AG9" s="3">
        <v>0</v>
      </c>
      <c r="AH9" s="3">
        <f t="shared" si="11"/>
        <v>63</v>
      </c>
      <c r="AI9" s="3">
        <f t="shared" si="12"/>
        <v>84</v>
      </c>
      <c r="AJ9" s="3"/>
      <c r="AK9" s="3">
        <v>0</v>
      </c>
      <c r="AL9" s="3">
        <v>0</v>
      </c>
      <c r="AM9" s="3">
        <f t="shared" si="13"/>
        <v>63</v>
      </c>
      <c r="AN9" s="3">
        <f t="shared" si="14"/>
        <v>84</v>
      </c>
      <c r="AO9" s="3">
        <v>0</v>
      </c>
      <c r="AP9" s="3">
        <v>0</v>
      </c>
      <c r="AQ9" s="3">
        <v>20</v>
      </c>
      <c r="AR9" s="3">
        <f t="shared" si="15"/>
        <v>43</v>
      </c>
      <c r="AS9" s="3">
        <v>70</v>
      </c>
      <c r="AT9" s="3"/>
      <c r="AU9" s="3">
        <v>0</v>
      </c>
      <c r="AV9" s="3">
        <v>0</v>
      </c>
      <c r="AW9" s="3">
        <f t="shared" si="17"/>
        <v>43</v>
      </c>
      <c r="AX9" s="3">
        <f t="shared" si="18"/>
        <v>70</v>
      </c>
      <c r="AY9" s="3"/>
      <c r="AZ9" s="3"/>
      <c r="BA9" s="3"/>
      <c r="BB9" s="3">
        <f t="shared" si="19"/>
        <v>43</v>
      </c>
      <c r="BC9" s="3">
        <f t="shared" si="20"/>
        <v>70</v>
      </c>
      <c r="BD9" s="3"/>
      <c r="BE9" s="3">
        <v>0</v>
      </c>
      <c r="BF9" s="3">
        <v>0</v>
      </c>
      <c r="BG9" s="3">
        <f t="shared" si="21"/>
        <v>43</v>
      </c>
      <c r="BH9" s="3">
        <f t="shared" si="22"/>
        <v>70</v>
      </c>
      <c r="BI9" s="3"/>
      <c r="BJ9" s="3">
        <v>0</v>
      </c>
      <c r="BK9" s="3">
        <v>12</v>
      </c>
      <c r="BL9" s="3">
        <f t="shared" si="23"/>
        <v>31</v>
      </c>
      <c r="BM9" s="3">
        <f t="shared" si="24"/>
        <v>70</v>
      </c>
      <c r="BN9" s="3"/>
      <c r="BO9" s="3">
        <v>0</v>
      </c>
      <c r="BP9" s="3">
        <v>9</v>
      </c>
      <c r="BQ9" s="3">
        <f t="shared" si="25"/>
        <v>22</v>
      </c>
      <c r="BR9" s="3">
        <f t="shared" si="26"/>
        <v>70</v>
      </c>
      <c r="BS9" s="3"/>
      <c r="BT9" s="3">
        <v>0</v>
      </c>
      <c r="BU9" s="3">
        <v>15</v>
      </c>
      <c r="BV9" s="3">
        <v>26</v>
      </c>
      <c r="BW9" s="3">
        <f t="shared" si="28"/>
        <v>70</v>
      </c>
      <c r="BX9" s="3"/>
      <c r="BY9" s="3">
        <v>14</v>
      </c>
      <c r="BZ9" s="3">
        <v>37</v>
      </c>
      <c r="CA9" s="3">
        <v>56</v>
      </c>
      <c r="CB9" s="3">
        <f t="shared" si="29"/>
        <v>56</v>
      </c>
      <c r="CC9" s="3"/>
      <c r="CD9" s="3">
        <v>14</v>
      </c>
      <c r="CE9" s="3">
        <v>28</v>
      </c>
      <c r="CF9" s="3">
        <f t="shared" si="30"/>
        <v>42</v>
      </c>
      <c r="CG9" s="3">
        <f t="shared" si="31"/>
        <v>42</v>
      </c>
      <c r="CH9" s="3"/>
      <c r="CI9" s="3">
        <v>14</v>
      </c>
      <c r="CJ9" s="3">
        <v>13</v>
      </c>
      <c r="CK9" s="3">
        <f t="shared" si="32"/>
        <v>43</v>
      </c>
      <c r="CL9" s="3">
        <f t="shared" si="33"/>
        <v>28</v>
      </c>
      <c r="CM9" s="3"/>
      <c r="CN9" s="3">
        <v>14</v>
      </c>
      <c r="CO9" s="3">
        <v>0</v>
      </c>
      <c r="CP9" s="3">
        <f t="shared" si="34"/>
        <v>57</v>
      </c>
      <c r="CQ9" s="3">
        <f t="shared" si="35"/>
        <v>14</v>
      </c>
      <c r="CR9" s="3">
        <v>14</v>
      </c>
      <c r="CS9" s="3">
        <v>0</v>
      </c>
      <c r="CT9" s="3">
        <v>6</v>
      </c>
      <c r="CU9" s="3">
        <f t="shared" si="36"/>
        <v>51</v>
      </c>
      <c r="CV9" s="3">
        <f t="shared" si="37"/>
        <v>28</v>
      </c>
      <c r="CW9" s="3"/>
      <c r="CX9" s="3">
        <v>0</v>
      </c>
      <c r="CY9" s="3">
        <v>6</v>
      </c>
      <c r="CZ9" s="3">
        <f t="shared" si="38"/>
        <v>45</v>
      </c>
      <c r="DA9" s="3">
        <f t="shared" si="39"/>
        <v>28</v>
      </c>
      <c r="DB9" s="3"/>
      <c r="DC9" s="3">
        <v>0</v>
      </c>
      <c r="DD9" s="3">
        <v>9</v>
      </c>
      <c r="DE9" s="3">
        <f t="shared" si="40"/>
        <v>36</v>
      </c>
      <c r="DF9" s="3">
        <f t="shared" si="41"/>
        <v>28</v>
      </c>
      <c r="DG9" s="3">
        <v>14</v>
      </c>
      <c r="DH9" s="3">
        <v>0</v>
      </c>
      <c r="DI9" s="3">
        <v>1</v>
      </c>
      <c r="DJ9" s="3">
        <f t="shared" si="42"/>
        <v>35</v>
      </c>
      <c r="DK9" s="3">
        <f t="shared" si="43"/>
        <v>42</v>
      </c>
      <c r="DL9" s="3"/>
      <c r="DM9" s="3"/>
      <c r="DN9" s="3"/>
      <c r="DO9" s="3">
        <f t="shared" si="44"/>
        <v>35</v>
      </c>
      <c r="DP9" s="3">
        <f t="shared" si="45"/>
        <v>42</v>
      </c>
      <c r="DQ9" s="3"/>
      <c r="DR9" s="3"/>
      <c r="DS9" s="3"/>
      <c r="DT9" s="3">
        <f t="shared" si="46"/>
        <v>35</v>
      </c>
      <c r="DU9" s="3">
        <f t="shared" si="47"/>
        <v>42</v>
      </c>
      <c r="DV9" s="3"/>
      <c r="DW9" s="3">
        <v>0</v>
      </c>
      <c r="DX9" s="3">
        <v>0</v>
      </c>
      <c r="DY9" s="3">
        <f t="shared" si="48"/>
        <v>35</v>
      </c>
      <c r="DZ9" s="3">
        <f t="shared" si="49"/>
        <v>42</v>
      </c>
      <c r="EA9" s="3"/>
      <c r="EB9" s="3">
        <v>0</v>
      </c>
      <c r="EC9" s="3">
        <v>0</v>
      </c>
      <c r="ED9" s="3">
        <f t="shared" si="50"/>
        <v>35</v>
      </c>
      <c r="EE9" s="3">
        <f t="shared" si="51"/>
        <v>42</v>
      </c>
      <c r="EF9" s="3"/>
      <c r="EG9" s="3"/>
      <c r="EH9" s="3">
        <v>0</v>
      </c>
    </row>
    <row r="10" spans="1:138" x14ac:dyDescent="0.35">
      <c r="A10" s="3">
        <v>31</v>
      </c>
      <c r="B10" s="2" t="s">
        <v>7</v>
      </c>
      <c r="C10" s="2" t="s">
        <v>20</v>
      </c>
      <c r="D10" s="3">
        <f t="shared" si="1"/>
        <v>31</v>
      </c>
      <c r="E10" s="3">
        <v>42</v>
      </c>
      <c r="F10" s="3"/>
      <c r="G10" s="3">
        <v>0</v>
      </c>
      <c r="H10" s="3">
        <v>2</v>
      </c>
      <c r="I10" s="3">
        <f t="shared" si="2"/>
        <v>29</v>
      </c>
      <c r="J10" s="3">
        <f t="shared" si="3"/>
        <v>42</v>
      </c>
      <c r="K10" s="3"/>
      <c r="L10" s="3">
        <v>14</v>
      </c>
      <c r="M10" s="3">
        <v>18</v>
      </c>
      <c r="N10" s="3">
        <f t="shared" si="4"/>
        <v>25</v>
      </c>
      <c r="O10" s="3">
        <f t="shared" si="5"/>
        <v>28</v>
      </c>
      <c r="P10" s="3"/>
      <c r="Q10" s="3"/>
      <c r="R10" s="3"/>
      <c r="S10" s="3">
        <f t="shared" si="6"/>
        <v>25</v>
      </c>
      <c r="T10" s="3">
        <f t="shared" si="53"/>
        <v>28</v>
      </c>
      <c r="U10" s="3">
        <v>14</v>
      </c>
      <c r="V10" s="3">
        <v>14</v>
      </c>
      <c r="W10" s="3">
        <v>9</v>
      </c>
      <c r="X10" s="3">
        <f t="shared" si="8"/>
        <v>30</v>
      </c>
      <c r="Y10" s="3">
        <f t="shared" si="0"/>
        <v>28</v>
      </c>
      <c r="Z10" s="3">
        <v>28</v>
      </c>
      <c r="AA10" s="3">
        <v>14</v>
      </c>
      <c r="AB10" s="3">
        <v>16</v>
      </c>
      <c r="AC10" s="3">
        <v>42</v>
      </c>
      <c r="AD10" s="3">
        <f t="shared" si="10"/>
        <v>42</v>
      </c>
      <c r="AE10" s="3">
        <v>28</v>
      </c>
      <c r="AF10" s="3">
        <v>28</v>
      </c>
      <c r="AG10" s="3">
        <v>28</v>
      </c>
      <c r="AH10" s="3">
        <f t="shared" si="11"/>
        <v>42</v>
      </c>
      <c r="AI10" s="3">
        <f t="shared" si="12"/>
        <v>42</v>
      </c>
      <c r="AJ10" s="3"/>
      <c r="AK10" s="3">
        <v>14</v>
      </c>
      <c r="AL10" s="3">
        <v>12</v>
      </c>
      <c r="AM10" s="3">
        <f t="shared" si="13"/>
        <v>44</v>
      </c>
      <c r="AN10" s="3">
        <f t="shared" si="14"/>
        <v>28</v>
      </c>
      <c r="AO10" s="3">
        <v>0</v>
      </c>
      <c r="AP10" s="3">
        <v>14</v>
      </c>
      <c r="AQ10" s="3">
        <v>5</v>
      </c>
      <c r="AR10" s="3">
        <f t="shared" si="15"/>
        <v>53</v>
      </c>
      <c r="AS10" s="3">
        <f t="shared" si="16"/>
        <v>14</v>
      </c>
      <c r="AT10" s="3"/>
      <c r="AU10" s="3">
        <v>0</v>
      </c>
      <c r="AV10" s="3">
        <v>1</v>
      </c>
      <c r="AW10" s="3">
        <f t="shared" si="17"/>
        <v>52</v>
      </c>
      <c r="AX10" s="3">
        <f t="shared" si="18"/>
        <v>14</v>
      </c>
      <c r="AY10" s="3"/>
      <c r="AZ10" s="3"/>
      <c r="BA10" s="3"/>
      <c r="BB10" s="3">
        <v>26</v>
      </c>
      <c r="BC10" s="3">
        <f t="shared" si="20"/>
        <v>14</v>
      </c>
      <c r="BD10" s="3">
        <v>14</v>
      </c>
      <c r="BE10" s="3">
        <v>28</v>
      </c>
      <c r="BF10" s="3">
        <v>14</v>
      </c>
      <c r="BG10" s="3">
        <f t="shared" si="21"/>
        <v>40</v>
      </c>
      <c r="BH10" s="3">
        <f t="shared" si="22"/>
        <v>0</v>
      </c>
      <c r="BI10" s="3">
        <v>28</v>
      </c>
      <c r="BJ10" s="3">
        <v>14</v>
      </c>
      <c r="BK10" s="3">
        <v>30</v>
      </c>
      <c r="BL10" s="3">
        <f t="shared" si="23"/>
        <v>24</v>
      </c>
      <c r="BM10" s="3">
        <f t="shared" si="24"/>
        <v>14</v>
      </c>
      <c r="BN10" s="3">
        <v>28</v>
      </c>
      <c r="BO10" s="3">
        <v>14</v>
      </c>
      <c r="BP10" s="3">
        <v>12</v>
      </c>
      <c r="BQ10" s="3">
        <f t="shared" si="25"/>
        <v>26</v>
      </c>
      <c r="BR10" s="3">
        <f t="shared" si="26"/>
        <v>28</v>
      </c>
      <c r="BS10" s="3"/>
      <c r="BT10" s="3">
        <v>0</v>
      </c>
      <c r="BU10" s="3">
        <v>6</v>
      </c>
      <c r="BV10" s="3">
        <v>40</v>
      </c>
      <c r="BW10" s="3">
        <f t="shared" si="28"/>
        <v>28</v>
      </c>
      <c r="BX10" s="3"/>
      <c r="BY10" s="3">
        <v>0</v>
      </c>
      <c r="BZ10" s="3">
        <v>24</v>
      </c>
      <c r="CA10" s="3">
        <v>27</v>
      </c>
      <c r="CB10" s="3">
        <f t="shared" si="29"/>
        <v>28</v>
      </c>
      <c r="CC10" s="3"/>
      <c r="CD10" s="3">
        <v>0</v>
      </c>
      <c r="CE10" s="3">
        <v>3</v>
      </c>
      <c r="CF10" s="3">
        <f t="shared" si="30"/>
        <v>24</v>
      </c>
      <c r="CG10" s="3">
        <f t="shared" si="31"/>
        <v>28</v>
      </c>
      <c r="CH10" s="3"/>
      <c r="CI10" s="3">
        <v>0</v>
      </c>
      <c r="CJ10" s="3">
        <v>0</v>
      </c>
      <c r="CK10" s="3">
        <f t="shared" si="32"/>
        <v>24</v>
      </c>
      <c r="CL10" s="3">
        <f t="shared" si="33"/>
        <v>28</v>
      </c>
      <c r="CM10" s="3">
        <v>14</v>
      </c>
      <c r="CN10" s="3">
        <v>14</v>
      </c>
      <c r="CO10" s="3">
        <v>1</v>
      </c>
      <c r="CP10" s="3">
        <f t="shared" si="34"/>
        <v>37</v>
      </c>
      <c r="CQ10" s="3">
        <f t="shared" si="35"/>
        <v>28</v>
      </c>
      <c r="CR10" s="3">
        <v>0</v>
      </c>
      <c r="CS10" s="3">
        <v>0</v>
      </c>
      <c r="CT10" s="3">
        <v>19</v>
      </c>
      <c r="CU10" s="3">
        <f t="shared" si="36"/>
        <v>18</v>
      </c>
      <c r="CV10" s="3">
        <f t="shared" si="37"/>
        <v>28</v>
      </c>
      <c r="CW10" s="3"/>
      <c r="CX10" s="3">
        <v>28</v>
      </c>
      <c r="CY10" s="3">
        <v>29</v>
      </c>
      <c r="CZ10" s="3">
        <f t="shared" si="38"/>
        <v>17</v>
      </c>
      <c r="DA10" s="3">
        <v>28</v>
      </c>
      <c r="DB10" s="3">
        <v>14</v>
      </c>
      <c r="DC10" s="3">
        <v>14</v>
      </c>
      <c r="DD10" s="3">
        <v>6</v>
      </c>
      <c r="DE10" s="3">
        <f t="shared" si="40"/>
        <v>25</v>
      </c>
      <c r="DF10" s="3">
        <f t="shared" si="41"/>
        <v>28</v>
      </c>
      <c r="DG10" s="3">
        <v>14</v>
      </c>
      <c r="DH10" s="3">
        <v>14</v>
      </c>
      <c r="DI10" s="3">
        <v>15</v>
      </c>
      <c r="DJ10" s="3">
        <f t="shared" si="42"/>
        <v>24</v>
      </c>
      <c r="DK10" s="3">
        <f t="shared" si="43"/>
        <v>28</v>
      </c>
      <c r="DL10" s="3"/>
      <c r="DM10" s="3"/>
      <c r="DN10" s="3"/>
      <c r="DO10" s="3">
        <f t="shared" si="44"/>
        <v>24</v>
      </c>
      <c r="DP10" s="3">
        <f t="shared" si="45"/>
        <v>28</v>
      </c>
      <c r="DQ10" s="3">
        <v>14</v>
      </c>
      <c r="DR10" s="3"/>
      <c r="DS10" s="3"/>
      <c r="DT10" s="3">
        <f t="shared" si="46"/>
        <v>24</v>
      </c>
      <c r="DU10" s="3">
        <f t="shared" si="47"/>
        <v>42</v>
      </c>
      <c r="DV10" s="3"/>
      <c r="DW10" s="3">
        <v>14</v>
      </c>
      <c r="DX10" s="3">
        <v>6</v>
      </c>
      <c r="DY10" s="3">
        <f t="shared" si="48"/>
        <v>32</v>
      </c>
      <c r="DZ10" s="3">
        <f t="shared" si="49"/>
        <v>28</v>
      </c>
      <c r="EA10" s="3"/>
      <c r="EB10" s="3">
        <v>0</v>
      </c>
      <c r="EC10" s="3">
        <v>0</v>
      </c>
      <c r="ED10" s="3">
        <f t="shared" si="50"/>
        <v>32</v>
      </c>
      <c r="EE10" s="3">
        <f t="shared" si="51"/>
        <v>28</v>
      </c>
      <c r="EF10" s="3"/>
      <c r="EG10" s="3"/>
      <c r="EH10" s="3">
        <v>0</v>
      </c>
    </row>
    <row r="11" spans="1:138" x14ac:dyDescent="0.35">
      <c r="B11" s="33" t="s">
        <v>32</v>
      </c>
      <c r="C11" s="33"/>
      <c r="D11" s="5">
        <f t="shared" ref="D11:R11" si="54">SUM(D4:D10)</f>
        <v>307</v>
      </c>
      <c r="E11" s="5">
        <f t="shared" si="54"/>
        <v>490</v>
      </c>
      <c r="F11" s="5">
        <f t="shared" si="54"/>
        <v>238</v>
      </c>
      <c r="G11" s="5">
        <f t="shared" si="54"/>
        <v>210</v>
      </c>
      <c r="H11" s="5"/>
      <c r="I11" s="6">
        <f t="shared" si="54"/>
        <v>380</v>
      </c>
      <c r="J11" s="6">
        <f t="shared" si="54"/>
        <v>546</v>
      </c>
      <c r="K11" s="6">
        <f t="shared" si="54"/>
        <v>224</v>
      </c>
      <c r="L11" s="6">
        <f t="shared" si="54"/>
        <v>210</v>
      </c>
      <c r="M11" s="6">
        <f t="shared" si="54"/>
        <v>311</v>
      </c>
      <c r="N11" s="5">
        <f t="shared" si="54"/>
        <v>279</v>
      </c>
      <c r="O11" s="5">
        <f t="shared" si="54"/>
        <v>602</v>
      </c>
      <c r="P11" s="5">
        <f t="shared" si="54"/>
        <v>0</v>
      </c>
      <c r="Q11" s="5">
        <f t="shared" si="54"/>
        <v>0</v>
      </c>
      <c r="R11" s="5">
        <f t="shared" si="54"/>
        <v>0</v>
      </c>
      <c r="S11" s="6">
        <f t="shared" ref="S11:W11" si="55">SUM(S4:S10)</f>
        <v>279</v>
      </c>
      <c r="T11" s="6">
        <f t="shared" si="55"/>
        <v>602</v>
      </c>
      <c r="U11" s="6">
        <f t="shared" si="55"/>
        <v>238</v>
      </c>
      <c r="V11" s="6">
        <f t="shared" si="55"/>
        <v>336</v>
      </c>
      <c r="W11" s="6">
        <f t="shared" si="55"/>
        <v>314</v>
      </c>
      <c r="X11" s="5">
        <f t="shared" ref="X11:AB11" si="56">SUM(X4:X10)</f>
        <v>301</v>
      </c>
      <c r="Y11" s="5">
        <f t="shared" si="56"/>
        <v>476</v>
      </c>
      <c r="Z11" s="5">
        <f t="shared" si="56"/>
        <v>238</v>
      </c>
      <c r="AA11" s="5">
        <f t="shared" si="56"/>
        <v>266</v>
      </c>
      <c r="AB11" s="5">
        <f t="shared" si="56"/>
        <v>290</v>
      </c>
      <c r="AC11" s="6">
        <f t="shared" ref="AC11:AG11" si="57">SUM(AC4:AC10)</f>
        <v>328</v>
      </c>
      <c r="AD11" s="6">
        <f t="shared" si="57"/>
        <v>448</v>
      </c>
      <c r="AE11" s="6">
        <f t="shared" si="57"/>
        <v>252</v>
      </c>
      <c r="AF11" s="6">
        <f t="shared" si="57"/>
        <v>350</v>
      </c>
      <c r="AG11" s="6">
        <f t="shared" si="57"/>
        <v>337</v>
      </c>
      <c r="AH11" s="5">
        <f t="shared" ref="AH11:AL11" si="58">SUM(AH4:AH10)</f>
        <v>341</v>
      </c>
      <c r="AI11" s="5">
        <f t="shared" si="58"/>
        <v>350</v>
      </c>
      <c r="AJ11" s="5">
        <f t="shared" si="58"/>
        <v>238</v>
      </c>
      <c r="AK11" s="5">
        <f t="shared" si="58"/>
        <v>294</v>
      </c>
      <c r="AL11" s="5">
        <f t="shared" si="58"/>
        <v>311</v>
      </c>
      <c r="AM11" s="6">
        <f t="shared" ref="AM11:AQ11" si="59">SUM(AM4:AM10)</f>
        <v>324</v>
      </c>
      <c r="AN11" s="6">
        <f t="shared" si="59"/>
        <v>294</v>
      </c>
      <c r="AO11" s="6">
        <f t="shared" si="59"/>
        <v>336</v>
      </c>
      <c r="AP11" s="6">
        <f t="shared" si="59"/>
        <v>364</v>
      </c>
      <c r="AQ11" s="6">
        <f t="shared" si="59"/>
        <v>322</v>
      </c>
      <c r="AR11" s="5">
        <f t="shared" ref="AR11:AV11" si="60">SUM(AR4:AR10)</f>
        <v>366</v>
      </c>
      <c r="AS11" s="5">
        <f t="shared" si="60"/>
        <v>224</v>
      </c>
      <c r="AT11" s="5">
        <f t="shared" si="60"/>
        <v>252</v>
      </c>
      <c r="AU11" s="5">
        <f t="shared" si="60"/>
        <v>364</v>
      </c>
      <c r="AV11" s="5">
        <f t="shared" si="60"/>
        <v>305</v>
      </c>
      <c r="AW11" s="6">
        <f t="shared" ref="AW11:BA11" si="61">SUM(AW4:AW10)</f>
        <v>425</v>
      </c>
      <c r="AX11" s="6">
        <f t="shared" si="61"/>
        <v>112</v>
      </c>
      <c r="AY11" s="6">
        <f t="shared" si="61"/>
        <v>70</v>
      </c>
      <c r="AZ11" s="6">
        <f t="shared" si="61"/>
        <v>0</v>
      </c>
      <c r="BA11" s="6">
        <f t="shared" si="61"/>
        <v>0</v>
      </c>
      <c r="BB11" s="5">
        <f t="shared" ref="BB11:BF11" si="62">SUM(BB4:BB10)</f>
        <v>337</v>
      </c>
      <c r="BC11" s="5">
        <f t="shared" si="62"/>
        <v>182</v>
      </c>
      <c r="BD11" s="5">
        <f t="shared" si="62"/>
        <v>266</v>
      </c>
      <c r="BE11" s="5">
        <f t="shared" si="62"/>
        <v>238</v>
      </c>
      <c r="BF11" s="5">
        <f t="shared" si="62"/>
        <v>205</v>
      </c>
      <c r="BG11" s="6">
        <f t="shared" ref="BG11:BK11" si="63">SUM(BG4:BG10)</f>
        <v>370</v>
      </c>
      <c r="BH11" s="6">
        <f t="shared" si="63"/>
        <v>210</v>
      </c>
      <c r="BI11" s="6">
        <f t="shared" si="63"/>
        <v>224</v>
      </c>
      <c r="BJ11" s="6">
        <f t="shared" si="63"/>
        <v>238</v>
      </c>
      <c r="BK11" s="6">
        <f t="shared" si="63"/>
        <v>351</v>
      </c>
      <c r="BL11" s="5">
        <f t="shared" ref="BL11:BP11" si="64">SUM(BL4:BL10)</f>
        <v>257</v>
      </c>
      <c r="BM11" s="5">
        <f t="shared" si="64"/>
        <v>196</v>
      </c>
      <c r="BN11" s="5">
        <f t="shared" si="64"/>
        <v>336</v>
      </c>
      <c r="BO11" s="5">
        <f t="shared" si="64"/>
        <v>308</v>
      </c>
      <c r="BP11" s="5">
        <f t="shared" si="64"/>
        <v>312</v>
      </c>
      <c r="BQ11" s="6">
        <f t="shared" ref="BQ11:BU11" si="65">SUM(BQ4:BQ10)</f>
        <v>253</v>
      </c>
      <c r="BR11" s="6">
        <f t="shared" si="65"/>
        <v>224</v>
      </c>
      <c r="BS11" s="6">
        <f t="shared" si="65"/>
        <v>350</v>
      </c>
      <c r="BT11" s="6">
        <f t="shared" si="65"/>
        <v>252</v>
      </c>
      <c r="BU11" s="6">
        <f t="shared" si="65"/>
        <v>190</v>
      </c>
      <c r="BV11" s="5">
        <f t="shared" ref="BV11:BZ11" si="66">SUM(BV4:BV10)</f>
        <v>329</v>
      </c>
      <c r="BW11" s="5">
        <f t="shared" si="66"/>
        <v>322</v>
      </c>
      <c r="BX11" s="5">
        <f t="shared" si="66"/>
        <v>140</v>
      </c>
      <c r="BY11" s="5">
        <f t="shared" si="66"/>
        <v>168</v>
      </c>
      <c r="BZ11" s="5">
        <f t="shared" si="66"/>
        <v>332</v>
      </c>
      <c r="CA11" s="6">
        <f t="shared" ref="CA11:CE11" si="67">SUM(CA4:CA10)</f>
        <v>200</v>
      </c>
      <c r="CB11" s="6">
        <f t="shared" si="67"/>
        <v>294</v>
      </c>
      <c r="CC11" s="6">
        <f t="shared" si="67"/>
        <v>280</v>
      </c>
      <c r="CD11" s="6">
        <f t="shared" si="67"/>
        <v>294</v>
      </c>
      <c r="CE11" s="6">
        <f t="shared" si="67"/>
        <v>226</v>
      </c>
      <c r="CF11" s="5">
        <f t="shared" ref="CF11:CJ11" si="68">SUM(CF4:CF10)</f>
        <v>268</v>
      </c>
      <c r="CG11" s="5">
        <f t="shared" si="68"/>
        <v>280</v>
      </c>
      <c r="CH11" s="5">
        <f t="shared" si="68"/>
        <v>280</v>
      </c>
      <c r="CI11" s="5">
        <f t="shared" si="68"/>
        <v>266</v>
      </c>
      <c r="CJ11" s="5">
        <f t="shared" si="68"/>
        <v>197</v>
      </c>
      <c r="CK11" s="6">
        <f t="shared" ref="CK11:CO11" si="69">SUM(CK4:CK10)</f>
        <v>337</v>
      </c>
      <c r="CL11" s="6">
        <f t="shared" si="69"/>
        <v>294</v>
      </c>
      <c r="CM11" s="6">
        <f t="shared" si="69"/>
        <v>192</v>
      </c>
      <c r="CN11" s="6">
        <f t="shared" si="69"/>
        <v>252</v>
      </c>
      <c r="CO11" s="6">
        <f t="shared" si="69"/>
        <v>208</v>
      </c>
      <c r="CP11" s="5">
        <f t="shared" ref="CP11:CT11" si="70">SUM(CP4:CP10)</f>
        <v>381</v>
      </c>
      <c r="CQ11" s="5">
        <f t="shared" si="70"/>
        <v>234</v>
      </c>
      <c r="CR11" s="5">
        <f t="shared" si="70"/>
        <v>238</v>
      </c>
      <c r="CS11" s="5">
        <f t="shared" si="70"/>
        <v>252</v>
      </c>
      <c r="CT11" s="5">
        <f t="shared" si="70"/>
        <v>327</v>
      </c>
      <c r="CU11" s="6">
        <f t="shared" ref="CU11:CY11" si="71">SUM(CU4:CU10)</f>
        <v>306</v>
      </c>
      <c r="CV11" s="6">
        <f t="shared" si="71"/>
        <v>220</v>
      </c>
      <c r="CW11" s="6">
        <f t="shared" si="71"/>
        <v>270</v>
      </c>
      <c r="CX11" s="6">
        <f t="shared" si="71"/>
        <v>308</v>
      </c>
      <c r="CY11" s="6">
        <f t="shared" si="71"/>
        <v>291</v>
      </c>
      <c r="CZ11" s="5">
        <f t="shared" ref="CZ11:DD11" si="72">SUM(CZ4:CZ10)</f>
        <v>323</v>
      </c>
      <c r="DA11" s="5">
        <f t="shared" si="72"/>
        <v>210</v>
      </c>
      <c r="DB11" s="5">
        <f t="shared" si="72"/>
        <v>322</v>
      </c>
      <c r="DC11" s="5">
        <f t="shared" si="72"/>
        <v>322</v>
      </c>
      <c r="DD11" s="5">
        <f t="shared" si="72"/>
        <v>326</v>
      </c>
      <c r="DE11" s="6">
        <f t="shared" ref="DE11:DI11" si="73">SUM(DE4:DE10)</f>
        <v>319</v>
      </c>
      <c r="DF11" s="6">
        <f t="shared" si="73"/>
        <v>210</v>
      </c>
      <c r="DG11" s="6">
        <f t="shared" si="73"/>
        <v>322</v>
      </c>
      <c r="DH11" s="6">
        <f t="shared" si="73"/>
        <v>322</v>
      </c>
      <c r="DI11" s="6">
        <f t="shared" si="73"/>
        <v>280</v>
      </c>
      <c r="DJ11" s="5">
        <f t="shared" ref="DJ11:DN11" si="74">SUM(DJ4:DJ10)</f>
        <v>361</v>
      </c>
      <c r="DK11" s="5">
        <f t="shared" si="74"/>
        <v>210</v>
      </c>
      <c r="DL11" s="5">
        <f t="shared" si="74"/>
        <v>42</v>
      </c>
      <c r="DM11" s="5">
        <f t="shared" si="74"/>
        <v>0</v>
      </c>
      <c r="DN11" s="5">
        <f t="shared" si="74"/>
        <v>0</v>
      </c>
      <c r="DO11" s="6">
        <f t="shared" ref="DO11:DS11" si="75">SUM(DO4:DO10)</f>
        <v>361</v>
      </c>
      <c r="DP11" s="6">
        <f t="shared" si="75"/>
        <v>252</v>
      </c>
      <c r="DQ11" s="6">
        <f t="shared" si="75"/>
        <v>266</v>
      </c>
      <c r="DR11" s="6">
        <f t="shared" si="75"/>
        <v>0</v>
      </c>
      <c r="DS11" s="6">
        <f t="shared" si="75"/>
        <v>0</v>
      </c>
      <c r="DT11" s="5">
        <f t="shared" ref="DT11:DX11" si="76">SUM(DT4:DT10)</f>
        <v>361</v>
      </c>
      <c r="DU11" s="5">
        <f t="shared" si="76"/>
        <v>518</v>
      </c>
      <c r="DV11" s="5">
        <f t="shared" si="76"/>
        <v>210</v>
      </c>
      <c r="DW11" s="5">
        <f t="shared" si="76"/>
        <v>280</v>
      </c>
      <c r="DX11" s="5">
        <f t="shared" si="76"/>
        <v>243</v>
      </c>
      <c r="DY11" s="6">
        <f t="shared" ref="DY11:EC11" si="77">SUM(DY4:DY10)</f>
        <v>398</v>
      </c>
      <c r="DZ11" s="6">
        <f t="shared" si="77"/>
        <v>448</v>
      </c>
      <c r="EA11" s="6">
        <f t="shared" si="77"/>
        <v>238</v>
      </c>
      <c r="EB11" s="6">
        <f t="shared" si="77"/>
        <v>252</v>
      </c>
      <c r="EC11" s="6">
        <f t="shared" si="77"/>
        <v>191</v>
      </c>
      <c r="ED11" s="5">
        <f t="shared" ref="ED11:EH11" si="78">SUM(ED4:ED10)</f>
        <v>459</v>
      </c>
      <c r="EE11" s="5">
        <f t="shared" si="78"/>
        <v>434</v>
      </c>
      <c r="EF11" s="5">
        <f t="shared" si="78"/>
        <v>0</v>
      </c>
      <c r="EG11" s="5">
        <f t="shared" si="78"/>
        <v>0</v>
      </c>
      <c r="EH11" s="5">
        <f t="shared" si="78"/>
        <v>112</v>
      </c>
    </row>
    <row r="12" spans="1:138" s="1" customFormat="1" ht="43.5" x14ac:dyDescent="0.35">
      <c r="B12" s="4" t="s">
        <v>21</v>
      </c>
      <c r="C12" s="4" t="s">
        <v>22</v>
      </c>
      <c r="D12" s="5" t="s">
        <v>46</v>
      </c>
      <c r="E12" s="5" t="s">
        <v>47</v>
      </c>
      <c r="F12" s="5" t="s">
        <v>48</v>
      </c>
      <c r="G12" s="5" t="s">
        <v>49</v>
      </c>
      <c r="H12" s="5" t="s">
        <v>50</v>
      </c>
      <c r="I12" s="6" t="s">
        <v>51</v>
      </c>
      <c r="J12" s="6" t="s">
        <v>47</v>
      </c>
      <c r="K12" s="6" t="s">
        <v>48</v>
      </c>
      <c r="L12" s="6" t="s">
        <v>49</v>
      </c>
      <c r="M12" s="6" t="s">
        <v>52</v>
      </c>
      <c r="N12" s="5" t="s">
        <v>46</v>
      </c>
      <c r="O12" s="5" t="s">
        <v>47</v>
      </c>
      <c r="P12" s="5" t="s">
        <v>48</v>
      </c>
      <c r="Q12" s="5" t="s">
        <v>49</v>
      </c>
      <c r="R12" s="5" t="s">
        <v>50</v>
      </c>
      <c r="S12" s="6" t="s">
        <v>46</v>
      </c>
      <c r="T12" s="6" t="s">
        <v>47</v>
      </c>
      <c r="U12" s="6" t="s">
        <v>48</v>
      </c>
      <c r="V12" s="6" t="s">
        <v>49</v>
      </c>
      <c r="W12" s="6" t="s">
        <v>50</v>
      </c>
      <c r="X12" s="5" t="s">
        <v>46</v>
      </c>
      <c r="Y12" s="5" t="s">
        <v>47</v>
      </c>
      <c r="Z12" s="5" t="s">
        <v>48</v>
      </c>
      <c r="AA12" s="5" t="s">
        <v>49</v>
      </c>
      <c r="AB12" s="5" t="s">
        <v>50</v>
      </c>
      <c r="AC12" s="6" t="s">
        <v>46</v>
      </c>
      <c r="AD12" s="6" t="s">
        <v>47</v>
      </c>
      <c r="AE12" s="6" t="s">
        <v>48</v>
      </c>
      <c r="AF12" s="6" t="s">
        <v>49</v>
      </c>
      <c r="AG12" s="6" t="s">
        <v>50</v>
      </c>
      <c r="AH12" s="5" t="s">
        <v>46</v>
      </c>
      <c r="AI12" s="5" t="s">
        <v>47</v>
      </c>
      <c r="AJ12" s="5" t="s">
        <v>48</v>
      </c>
      <c r="AK12" s="5" t="s">
        <v>49</v>
      </c>
      <c r="AL12" s="5" t="s">
        <v>50</v>
      </c>
      <c r="AM12" s="6" t="s">
        <v>46</v>
      </c>
      <c r="AN12" s="6" t="s">
        <v>47</v>
      </c>
      <c r="AO12" s="6" t="s">
        <v>48</v>
      </c>
      <c r="AP12" s="6" t="s">
        <v>49</v>
      </c>
      <c r="AQ12" s="6" t="s">
        <v>50</v>
      </c>
      <c r="AR12" s="5" t="s">
        <v>46</v>
      </c>
      <c r="AS12" s="5" t="s">
        <v>47</v>
      </c>
      <c r="AT12" s="5" t="s">
        <v>48</v>
      </c>
      <c r="AU12" s="5" t="s">
        <v>49</v>
      </c>
      <c r="AV12" s="5" t="s">
        <v>50</v>
      </c>
      <c r="AW12" s="6" t="s">
        <v>46</v>
      </c>
      <c r="AX12" s="6" t="s">
        <v>47</v>
      </c>
      <c r="AY12" s="6" t="s">
        <v>48</v>
      </c>
      <c r="AZ12" s="6" t="s">
        <v>49</v>
      </c>
      <c r="BA12" s="6" t="s">
        <v>50</v>
      </c>
      <c r="BB12" s="5" t="s">
        <v>46</v>
      </c>
      <c r="BC12" s="5" t="s">
        <v>47</v>
      </c>
      <c r="BD12" s="5" t="s">
        <v>48</v>
      </c>
      <c r="BE12" s="5" t="s">
        <v>49</v>
      </c>
      <c r="BF12" s="5" t="s">
        <v>50</v>
      </c>
      <c r="BG12" s="6" t="s">
        <v>46</v>
      </c>
      <c r="BH12" s="6" t="s">
        <v>47</v>
      </c>
      <c r="BI12" s="6" t="s">
        <v>48</v>
      </c>
      <c r="BJ12" s="6" t="s">
        <v>49</v>
      </c>
      <c r="BK12" s="6" t="s">
        <v>50</v>
      </c>
      <c r="BL12" s="5" t="s">
        <v>46</v>
      </c>
      <c r="BM12" s="5" t="s">
        <v>47</v>
      </c>
      <c r="BN12" s="5" t="s">
        <v>48</v>
      </c>
      <c r="BO12" s="5" t="s">
        <v>49</v>
      </c>
      <c r="BP12" s="5" t="s">
        <v>50</v>
      </c>
      <c r="BQ12" s="6" t="s">
        <v>46</v>
      </c>
      <c r="BR12" s="6" t="s">
        <v>47</v>
      </c>
      <c r="BS12" s="6" t="s">
        <v>48</v>
      </c>
      <c r="BT12" s="6" t="s">
        <v>49</v>
      </c>
      <c r="BU12" s="6" t="s">
        <v>50</v>
      </c>
      <c r="BV12" s="5" t="s">
        <v>46</v>
      </c>
      <c r="BW12" s="5" t="s">
        <v>47</v>
      </c>
      <c r="BX12" s="5" t="s">
        <v>48</v>
      </c>
      <c r="BY12" s="5" t="s">
        <v>49</v>
      </c>
      <c r="BZ12" s="5" t="s">
        <v>50</v>
      </c>
      <c r="CA12" s="6" t="s">
        <v>46</v>
      </c>
      <c r="CB12" s="6" t="s">
        <v>47</v>
      </c>
      <c r="CC12" s="6" t="s">
        <v>48</v>
      </c>
      <c r="CD12" s="6" t="s">
        <v>49</v>
      </c>
      <c r="CE12" s="6" t="s">
        <v>50</v>
      </c>
      <c r="CF12" s="5" t="s">
        <v>46</v>
      </c>
      <c r="CG12" s="5" t="s">
        <v>47</v>
      </c>
      <c r="CH12" s="5" t="s">
        <v>48</v>
      </c>
      <c r="CI12" s="5" t="s">
        <v>49</v>
      </c>
      <c r="CJ12" s="5" t="s">
        <v>50</v>
      </c>
      <c r="CK12" s="6" t="s">
        <v>46</v>
      </c>
      <c r="CL12" s="6" t="s">
        <v>47</v>
      </c>
      <c r="CM12" s="6" t="s">
        <v>48</v>
      </c>
      <c r="CN12" s="6" t="s">
        <v>49</v>
      </c>
      <c r="CO12" s="6" t="s">
        <v>50</v>
      </c>
      <c r="CP12" s="5" t="s">
        <v>46</v>
      </c>
      <c r="CQ12" s="5" t="s">
        <v>47</v>
      </c>
      <c r="CR12" s="5" t="s">
        <v>48</v>
      </c>
      <c r="CS12" s="5" t="s">
        <v>49</v>
      </c>
      <c r="CT12" s="5" t="s">
        <v>50</v>
      </c>
      <c r="CU12" s="6" t="s">
        <v>46</v>
      </c>
      <c r="CV12" s="6" t="s">
        <v>47</v>
      </c>
      <c r="CW12" s="6" t="s">
        <v>48</v>
      </c>
      <c r="CX12" s="6" t="s">
        <v>49</v>
      </c>
      <c r="CY12" s="6" t="s">
        <v>50</v>
      </c>
      <c r="CZ12" s="5" t="s">
        <v>46</v>
      </c>
      <c r="DA12" s="5" t="s">
        <v>47</v>
      </c>
      <c r="DB12" s="5" t="s">
        <v>48</v>
      </c>
      <c r="DC12" s="5" t="s">
        <v>49</v>
      </c>
      <c r="DD12" s="5" t="s">
        <v>50</v>
      </c>
      <c r="DE12" s="6" t="s">
        <v>46</v>
      </c>
      <c r="DF12" s="6" t="s">
        <v>47</v>
      </c>
      <c r="DG12" s="6" t="s">
        <v>48</v>
      </c>
      <c r="DH12" s="6" t="s">
        <v>49</v>
      </c>
      <c r="DI12" s="6" t="s">
        <v>50</v>
      </c>
      <c r="DJ12" s="5" t="s">
        <v>46</v>
      </c>
      <c r="DK12" s="5" t="s">
        <v>47</v>
      </c>
      <c r="DL12" s="5" t="s">
        <v>48</v>
      </c>
      <c r="DM12" s="5" t="s">
        <v>49</v>
      </c>
      <c r="DN12" s="5" t="s">
        <v>50</v>
      </c>
      <c r="DO12" s="6" t="s">
        <v>46</v>
      </c>
      <c r="DP12" s="6" t="s">
        <v>47</v>
      </c>
      <c r="DQ12" s="6" t="s">
        <v>48</v>
      </c>
      <c r="DR12" s="6" t="s">
        <v>49</v>
      </c>
      <c r="DS12" s="6" t="s">
        <v>50</v>
      </c>
      <c r="DT12" s="5" t="s">
        <v>46</v>
      </c>
      <c r="DU12" s="5" t="s">
        <v>47</v>
      </c>
      <c r="DV12" s="5" t="s">
        <v>48</v>
      </c>
      <c r="DW12" s="5" t="s">
        <v>49</v>
      </c>
      <c r="DX12" s="5" t="s">
        <v>50</v>
      </c>
      <c r="DY12" s="6" t="s">
        <v>46</v>
      </c>
      <c r="DZ12" s="6" t="s">
        <v>47</v>
      </c>
      <c r="EA12" s="6" t="s">
        <v>48</v>
      </c>
      <c r="EB12" s="6" t="s">
        <v>49</v>
      </c>
      <c r="EC12" s="6" t="s">
        <v>50</v>
      </c>
      <c r="ED12" s="5" t="s">
        <v>46</v>
      </c>
      <c r="EE12" s="5" t="s">
        <v>47</v>
      </c>
      <c r="EF12" s="5" t="s">
        <v>48</v>
      </c>
      <c r="EG12" s="5" t="s">
        <v>49</v>
      </c>
      <c r="EH12" s="5" t="s">
        <v>50</v>
      </c>
    </row>
    <row r="13" spans="1:138" x14ac:dyDescent="0.35">
      <c r="A13" s="12">
        <v>80</v>
      </c>
      <c r="B13" s="2" t="s">
        <v>26</v>
      </c>
      <c r="C13" s="2" t="s">
        <v>25</v>
      </c>
      <c r="D13" s="3">
        <f t="shared" ref="D13:D19" si="79">A13</f>
        <v>80</v>
      </c>
      <c r="E13" s="18">
        <v>189</v>
      </c>
      <c r="F13" s="3">
        <v>105</v>
      </c>
      <c r="G13" s="3">
        <v>92</v>
      </c>
      <c r="H13" s="3">
        <v>142</v>
      </c>
      <c r="I13" s="3">
        <f>D13+G13-H13</f>
        <v>30</v>
      </c>
      <c r="J13" s="3">
        <f t="shared" ref="J13:J19" si="80">E13+F13-G13</f>
        <v>202</v>
      </c>
      <c r="K13" s="3">
        <v>52</v>
      </c>
      <c r="L13" s="3">
        <v>184</v>
      </c>
      <c r="M13" s="3">
        <v>131</v>
      </c>
      <c r="N13" s="3">
        <f>I13+L13-M13</f>
        <v>83</v>
      </c>
      <c r="O13" s="3">
        <f t="shared" ref="O13:O19" si="81">J13+K13-L13</f>
        <v>70</v>
      </c>
      <c r="P13" s="3">
        <v>52</v>
      </c>
      <c r="Q13" s="3">
        <v>104</v>
      </c>
      <c r="R13" s="3">
        <v>39</v>
      </c>
      <c r="S13" s="3">
        <f>N13+Q13-R13</f>
        <v>148</v>
      </c>
      <c r="T13" s="3">
        <v>13</v>
      </c>
      <c r="U13" s="3">
        <f>27+19</f>
        <v>46</v>
      </c>
      <c r="V13" s="3">
        <v>44</v>
      </c>
      <c r="W13" s="3">
        <v>82</v>
      </c>
      <c r="X13" s="3">
        <f>S13+V13-W13</f>
        <v>110</v>
      </c>
      <c r="Y13" s="3">
        <f t="shared" ref="Y13:Y17" si="82">T13+U13-V13</f>
        <v>15</v>
      </c>
      <c r="Z13" s="3">
        <v>104</v>
      </c>
      <c r="AA13" s="3">
        <v>64</v>
      </c>
      <c r="AB13" s="3">
        <v>102</v>
      </c>
      <c r="AC13" s="3">
        <f>X13+AA13-AB13</f>
        <v>72</v>
      </c>
      <c r="AD13" s="3">
        <f t="shared" ref="AD13:AD19" si="83">Y13+Z13-AA13</f>
        <v>55</v>
      </c>
      <c r="AE13" s="3">
        <v>64</v>
      </c>
      <c r="AF13" s="3">
        <v>76</v>
      </c>
      <c r="AG13" s="3">
        <v>99</v>
      </c>
      <c r="AH13" s="3">
        <f>AC13+AF13-AG13</f>
        <v>49</v>
      </c>
      <c r="AI13" s="3">
        <f t="shared" ref="AI13:AI19" si="84">AD13+AE13-AF13</f>
        <v>43</v>
      </c>
      <c r="AJ13" s="3">
        <v>25</v>
      </c>
      <c r="AK13" s="3">
        <v>56</v>
      </c>
      <c r="AL13" s="3">
        <v>78</v>
      </c>
      <c r="AM13" s="3">
        <v>70</v>
      </c>
      <c r="AN13" s="3">
        <f t="shared" ref="AN13:AN18" si="85">AI13+AJ13-AK13</f>
        <v>12</v>
      </c>
      <c r="AO13" s="3">
        <v>32</v>
      </c>
      <c r="AP13" s="3">
        <v>44</v>
      </c>
      <c r="AQ13" s="3">
        <v>42</v>
      </c>
      <c r="AR13" s="3">
        <f>AM13+AP13-AQ13</f>
        <v>72</v>
      </c>
      <c r="AS13" s="3">
        <f t="shared" ref="AS13:AS18" si="86">AN13+AO13-AP13</f>
        <v>0</v>
      </c>
      <c r="AT13" s="3">
        <v>72</v>
      </c>
      <c r="AU13" s="3"/>
      <c r="AV13" s="3"/>
      <c r="AW13" s="3">
        <f>AR13+AU13-AV13</f>
        <v>72</v>
      </c>
      <c r="AX13" s="3">
        <f t="shared" ref="AX13:AX19" si="87">AS13+AT13-AU13</f>
        <v>72</v>
      </c>
      <c r="AY13" s="3"/>
      <c r="AZ13" s="3">
        <v>64</v>
      </c>
      <c r="BA13" s="3"/>
      <c r="BB13" s="3">
        <f>AW13+AZ13-BA13</f>
        <v>136</v>
      </c>
      <c r="BC13" s="3">
        <f t="shared" ref="BC13:BC19" si="88">AX13+AY13-AZ13</f>
        <v>8</v>
      </c>
      <c r="BD13" s="3">
        <v>24</v>
      </c>
      <c r="BE13" s="3">
        <v>32</v>
      </c>
      <c r="BF13" s="3">
        <v>97</v>
      </c>
      <c r="BG13" s="3">
        <f>BB13+BE13-BF13</f>
        <v>71</v>
      </c>
      <c r="BH13" s="3">
        <f t="shared" ref="BH13:BH19" si="89">BC13+BD13-BE13</f>
        <v>0</v>
      </c>
      <c r="BI13" s="3">
        <v>44</v>
      </c>
      <c r="BJ13" s="3">
        <v>32</v>
      </c>
      <c r="BK13" s="3">
        <v>57</v>
      </c>
      <c r="BL13" s="3">
        <f>BG13+BJ13-BK13</f>
        <v>46</v>
      </c>
      <c r="BM13" s="3">
        <f t="shared" ref="BM13:BM19" si="90">BH13+BI13-BJ13</f>
        <v>12</v>
      </c>
      <c r="BN13" s="3">
        <f>78+32</f>
        <v>110</v>
      </c>
      <c r="BO13" s="3">
        <v>90</v>
      </c>
      <c r="BP13" s="3">
        <v>72</v>
      </c>
      <c r="BQ13" s="3">
        <f>BL13+BO13-BP13</f>
        <v>64</v>
      </c>
      <c r="BR13" s="3">
        <f t="shared" ref="BR13:BR19" si="91">BM13+BN13-BO13</f>
        <v>32</v>
      </c>
      <c r="BS13" s="3">
        <v>120</v>
      </c>
      <c r="BT13" s="3">
        <v>136</v>
      </c>
      <c r="BU13" s="3">
        <v>148</v>
      </c>
      <c r="BV13" s="3">
        <v>20</v>
      </c>
      <c r="BW13" s="3">
        <f t="shared" ref="BW13:BW19" si="92">BR13+BS13-BT13</f>
        <v>16</v>
      </c>
      <c r="BX13" s="3">
        <f>48+76</f>
        <v>124</v>
      </c>
      <c r="BY13" s="3">
        <v>92</v>
      </c>
      <c r="BZ13" s="3">
        <v>122</v>
      </c>
      <c r="CA13" s="3">
        <v>39</v>
      </c>
      <c r="CB13" s="3">
        <f t="shared" ref="CB13:CB19" si="93">BW13+BX13-BY13</f>
        <v>48</v>
      </c>
      <c r="CC13" s="3">
        <v>88</v>
      </c>
      <c r="CD13" s="3">
        <v>92</v>
      </c>
      <c r="CE13" s="3">
        <v>91</v>
      </c>
      <c r="CF13" s="3">
        <f>CA13+CD13-CE13</f>
        <v>40</v>
      </c>
      <c r="CG13" s="3">
        <f t="shared" ref="CG13:CG19" si="94">CB13+CC13-CD13</f>
        <v>44</v>
      </c>
      <c r="CH13" s="3">
        <v>96</v>
      </c>
      <c r="CI13" s="3">
        <v>108</v>
      </c>
      <c r="CJ13" s="3">
        <v>95</v>
      </c>
      <c r="CK13" s="3">
        <f>CF13+CI13-CJ13</f>
        <v>53</v>
      </c>
      <c r="CL13" s="3">
        <f t="shared" ref="CL13:CL19" si="95">CG13+CH13-CI13</f>
        <v>32</v>
      </c>
      <c r="CM13" s="3">
        <v>80</v>
      </c>
      <c r="CN13" s="3">
        <v>96</v>
      </c>
      <c r="CO13" s="3">
        <v>144</v>
      </c>
      <c r="CP13" s="3">
        <f>CK13+CN13-CO13</f>
        <v>5</v>
      </c>
      <c r="CQ13" s="3">
        <f t="shared" ref="CQ13:CQ19" si="96">CL13+CM13-CN13</f>
        <v>16</v>
      </c>
      <c r="CR13" s="3">
        <v>137</v>
      </c>
      <c r="CS13" s="3">
        <v>112</v>
      </c>
      <c r="CT13" s="3">
        <v>54</v>
      </c>
      <c r="CU13" s="3">
        <f>CP13+CS13-CT13</f>
        <v>63</v>
      </c>
      <c r="CV13" s="3">
        <f t="shared" ref="CV13:CV19" si="97">CQ13+CR13-CS13</f>
        <v>41</v>
      </c>
      <c r="CW13" s="3">
        <v>83</v>
      </c>
      <c r="CX13" s="3">
        <v>64</v>
      </c>
      <c r="CY13" s="3">
        <v>69</v>
      </c>
      <c r="CZ13" s="3">
        <f>CU13+CX13-CY13</f>
        <v>58</v>
      </c>
      <c r="DA13" s="3">
        <f t="shared" ref="DA13:DA19" si="98">CV13+CW13-CX13</f>
        <v>60</v>
      </c>
      <c r="DB13" s="3">
        <v>60</v>
      </c>
      <c r="DC13" s="3">
        <v>60</v>
      </c>
      <c r="DD13" s="3">
        <v>64</v>
      </c>
      <c r="DE13" s="3">
        <f>CZ13+DC13-DD13</f>
        <v>54</v>
      </c>
      <c r="DF13" s="3">
        <f t="shared" ref="DF13:DF19" si="99">DA13+DB13-DC13</f>
        <v>60</v>
      </c>
      <c r="DG13" s="3">
        <v>120</v>
      </c>
      <c r="DH13" s="3">
        <v>64</v>
      </c>
      <c r="DI13" s="3">
        <v>90</v>
      </c>
      <c r="DJ13" s="3">
        <f>DE13+DH13-DI13</f>
        <v>28</v>
      </c>
      <c r="DK13" s="3">
        <f t="shared" ref="DK13:DK19" si="100">DF13+DG13-DH13</f>
        <v>116</v>
      </c>
      <c r="DL13" s="3">
        <v>120</v>
      </c>
      <c r="DM13" s="3">
        <v>104</v>
      </c>
      <c r="DN13" s="3">
        <v>79</v>
      </c>
      <c r="DO13" s="3">
        <f>DJ13+DM13-DN13</f>
        <v>53</v>
      </c>
      <c r="DP13" s="3">
        <f t="shared" ref="DP13:DP19" si="101">DK13+DL13-DM13</f>
        <v>132</v>
      </c>
      <c r="DQ13" s="3"/>
      <c r="DR13" s="3">
        <v>56</v>
      </c>
      <c r="DS13" s="3">
        <v>37</v>
      </c>
      <c r="DT13" s="3">
        <f>DO13+DR13-DS13</f>
        <v>72</v>
      </c>
      <c r="DU13" s="3">
        <f t="shared" ref="DU13:DU19" si="102">DP13+DQ13-DR13</f>
        <v>76</v>
      </c>
      <c r="DV13" s="3"/>
      <c r="DW13" s="3">
        <v>32</v>
      </c>
      <c r="DX13" s="3">
        <v>63</v>
      </c>
      <c r="DY13" s="3">
        <f>DT13+DW13-DX13</f>
        <v>41</v>
      </c>
      <c r="DZ13" s="3">
        <f t="shared" ref="DZ13:DZ18" si="103">DU13+DV13-DW13</f>
        <v>44</v>
      </c>
      <c r="EA13" s="3">
        <v>48</v>
      </c>
      <c r="EB13" s="3">
        <v>60</v>
      </c>
      <c r="EC13" s="3">
        <v>77</v>
      </c>
      <c r="ED13" s="3">
        <f>DY13+EB13-EC13</f>
        <v>24</v>
      </c>
      <c r="EE13" s="3">
        <f t="shared" ref="EE13:EE19" si="104">DZ13+EA13-EB13</f>
        <v>32</v>
      </c>
      <c r="EF13" s="3"/>
      <c r="EG13" s="3"/>
      <c r="EH13" s="3">
        <v>171</v>
      </c>
    </row>
    <row r="14" spans="1:138" x14ac:dyDescent="0.35">
      <c r="A14" s="12">
        <v>25</v>
      </c>
      <c r="B14" s="2" t="s">
        <v>8</v>
      </c>
      <c r="C14" s="2" t="s">
        <v>27</v>
      </c>
      <c r="D14" s="3">
        <f t="shared" si="79"/>
        <v>25</v>
      </c>
      <c r="E14" s="18">
        <v>30</v>
      </c>
      <c r="F14" s="3"/>
      <c r="G14" s="3">
        <v>0</v>
      </c>
      <c r="H14" s="3">
        <v>5</v>
      </c>
      <c r="I14" s="3">
        <f t="shared" ref="I14:I19" si="105">D14+G14-H14</f>
        <v>20</v>
      </c>
      <c r="J14" s="3">
        <f t="shared" si="80"/>
        <v>30</v>
      </c>
      <c r="K14" s="3">
        <v>32</v>
      </c>
      <c r="L14" s="3">
        <v>0</v>
      </c>
      <c r="M14" s="3">
        <v>0</v>
      </c>
      <c r="N14" s="3">
        <f t="shared" ref="N14:N19" si="106">I14+L14-M14</f>
        <v>20</v>
      </c>
      <c r="O14" s="3">
        <f t="shared" si="81"/>
        <v>62</v>
      </c>
      <c r="P14" s="3"/>
      <c r="Q14" s="3">
        <v>0</v>
      </c>
      <c r="R14" s="3">
        <v>0</v>
      </c>
      <c r="S14" s="3">
        <f t="shared" ref="S14:S19" si="107">N14+Q14-R14</f>
        <v>20</v>
      </c>
      <c r="T14" s="3">
        <f t="shared" ref="T14:T17" si="108">O14+P14-Q14</f>
        <v>62</v>
      </c>
      <c r="U14" s="3">
        <v>0</v>
      </c>
      <c r="V14" s="3">
        <v>0</v>
      </c>
      <c r="W14" s="3">
        <v>0</v>
      </c>
      <c r="X14" s="3">
        <f t="shared" ref="X14:X19" si="109">S14+V14-W14</f>
        <v>20</v>
      </c>
      <c r="Y14" s="3">
        <f t="shared" si="82"/>
        <v>62</v>
      </c>
      <c r="Z14" s="3">
        <v>0</v>
      </c>
      <c r="AA14" s="3">
        <v>0</v>
      </c>
      <c r="AB14" s="3">
        <v>0</v>
      </c>
      <c r="AC14" s="3">
        <f t="shared" ref="AC14:AC19" si="110">X14+AA14-AB14</f>
        <v>20</v>
      </c>
      <c r="AD14" s="3">
        <f t="shared" si="83"/>
        <v>62</v>
      </c>
      <c r="AE14" s="3">
        <v>0</v>
      </c>
      <c r="AF14" s="3">
        <v>0</v>
      </c>
      <c r="AG14" s="3">
        <v>0</v>
      </c>
      <c r="AH14" s="3">
        <f t="shared" ref="AH14:AH19" si="111">AC14+AF14-AG14</f>
        <v>20</v>
      </c>
      <c r="AI14" s="3">
        <f t="shared" si="84"/>
        <v>62</v>
      </c>
      <c r="AJ14" s="3"/>
      <c r="AK14" s="3">
        <v>0</v>
      </c>
      <c r="AL14" s="3">
        <v>20</v>
      </c>
      <c r="AM14" s="3">
        <v>25</v>
      </c>
      <c r="AN14" s="3">
        <f t="shared" si="85"/>
        <v>62</v>
      </c>
      <c r="AO14" s="3">
        <v>0</v>
      </c>
      <c r="AP14" s="3">
        <v>16</v>
      </c>
      <c r="AQ14" s="3">
        <v>21</v>
      </c>
      <c r="AR14" s="3">
        <f t="shared" ref="AR14:AR19" si="112">AM14+AP14-AQ14</f>
        <v>20</v>
      </c>
      <c r="AS14" s="3">
        <f t="shared" si="86"/>
        <v>46</v>
      </c>
      <c r="AT14" s="3"/>
      <c r="AU14" s="3"/>
      <c r="AV14" s="3"/>
      <c r="AW14" s="3">
        <f t="shared" ref="AW14:AW19" si="113">AR14+AU14-AV14</f>
        <v>20</v>
      </c>
      <c r="AX14" s="3">
        <f t="shared" si="87"/>
        <v>46</v>
      </c>
      <c r="AY14" s="3">
        <v>12</v>
      </c>
      <c r="AZ14" s="3">
        <v>56</v>
      </c>
      <c r="BA14" s="3"/>
      <c r="BB14" s="3">
        <f t="shared" ref="BB14:BB19" si="114">AW14+AZ14-BA14</f>
        <v>76</v>
      </c>
      <c r="BC14" s="3">
        <f t="shared" si="88"/>
        <v>2</v>
      </c>
      <c r="BD14" s="3">
        <v>48</v>
      </c>
      <c r="BE14" s="3">
        <v>48</v>
      </c>
      <c r="BF14" s="3">
        <v>38</v>
      </c>
      <c r="BG14" s="3">
        <f t="shared" ref="BG14:BG19" si="115">BB14+BE14-BF14</f>
        <v>86</v>
      </c>
      <c r="BH14" s="3">
        <f t="shared" si="89"/>
        <v>2</v>
      </c>
      <c r="BI14" s="3">
        <v>45</v>
      </c>
      <c r="BJ14" s="3">
        <v>33</v>
      </c>
      <c r="BK14" s="3">
        <v>48</v>
      </c>
      <c r="BL14" s="3">
        <f t="shared" ref="BL14:BL19" si="116">BG14+BJ14-BK14</f>
        <v>71</v>
      </c>
      <c r="BM14" s="3">
        <f t="shared" si="90"/>
        <v>14</v>
      </c>
      <c r="BN14" s="3">
        <v>42</v>
      </c>
      <c r="BO14" s="3">
        <v>56</v>
      </c>
      <c r="BP14" s="3">
        <v>12</v>
      </c>
      <c r="BQ14" s="3">
        <f t="shared" ref="BQ14:BQ19" si="117">BL14+BO14-BP14</f>
        <v>115</v>
      </c>
      <c r="BR14" s="3">
        <f t="shared" si="91"/>
        <v>0</v>
      </c>
      <c r="BS14" s="3">
        <v>28</v>
      </c>
      <c r="BT14" s="3">
        <v>16</v>
      </c>
      <c r="BU14" s="3">
        <v>37</v>
      </c>
      <c r="BV14" s="3">
        <v>16</v>
      </c>
      <c r="BW14" s="3">
        <f t="shared" si="92"/>
        <v>12</v>
      </c>
      <c r="BX14" s="3">
        <v>28</v>
      </c>
      <c r="BY14" s="3">
        <v>28</v>
      </c>
      <c r="BZ14" s="3">
        <v>24</v>
      </c>
      <c r="CA14" s="3">
        <v>50</v>
      </c>
      <c r="CB14" s="3">
        <f t="shared" si="93"/>
        <v>12</v>
      </c>
      <c r="CC14" s="3">
        <v>57</v>
      </c>
      <c r="CD14" s="3">
        <v>33</v>
      </c>
      <c r="CE14" s="3">
        <v>67</v>
      </c>
      <c r="CF14" s="3">
        <f t="shared" ref="CF14:CF19" si="118">CA14+CD14-CE14</f>
        <v>16</v>
      </c>
      <c r="CG14" s="3">
        <f t="shared" si="94"/>
        <v>36</v>
      </c>
      <c r="CH14" s="3">
        <v>48</v>
      </c>
      <c r="CI14" s="3">
        <v>84</v>
      </c>
      <c r="CJ14" s="3">
        <v>45</v>
      </c>
      <c r="CK14" s="3">
        <f t="shared" ref="CK14:CK19" si="119">CF14+CI14-CJ14</f>
        <v>55</v>
      </c>
      <c r="CL14" s="3">
        <f t="shared" si="95"/>
        <v>0</v>
      </c>
      <c r="CM14" s="3">
        <v>56</v>
      </c>
      <c r="CN14" s="3">
        <v>40</v>
      </c>
      <c r="CO14" s="3">
        <v>30</v>
      </c>
      <c r="CP14" s="3">
        <v>32</v>
      </c>
      <c r="CQ14" s="3">
        <f t="shared" si="96"/>
        <v>16</v>
      </c>
      <c r="CR14" s="3">
        <v>37</v>
      </c>
      <c r="CS14" s="3">
        <v>16</v>
      </c>
      <c r="CT14" s="3">
        <v>10</v>
      </c>
      <c r="CU14" s="3">
        <f t="shared" ref="CU14:CU19" si="120">CP14+CS14-CT14</f>
        <v>38</v>
      </c>
      <c r="CV14" s="3">
        <f t="shared" si="97"/>
        <v>37</v>
      </c>
      <c r="CW14" s="3">
        <v>7</v>
      </c>
      <c r="CX14" s="3">
        <v>0</v>
      </c>
      <c r="CY14" s="3">
        <v>5</v>
      </c>
      <c r="CZ14" s="3">
        <f t="shared" ref="CZ14:CZ19" si="121">CU14+CX14-CY14</f>
        <v>33</v>
      </c>
      <c r="DA14" s="3">
        <f t="shared" si="98"/>
        <v>44</v>
      </c>
      <c r="DB14" s="3"/>
      <c r="DC14" s="3">
        <v>0</v>
      </c>
      <c r="DD14" s="3">
        <v>0</v>
      </c>
      <c r="DE14" s="3">
        <f t="shared" ref="DE14:DE19" si="122">CZ14+DC14-DD14</f>
        <v>33</v>
      </c>
      <c r="DF14" s="3">
        <f t="shared" si="99"/>
        <v>44</v>
      </c>
      <c r="DG14" s="3">
        <v>24</v>
      </c>
      <c r="DH14" s="3">
        <v>0</v>
      </c>
      <c r="DI14" s="3">
        <v>0</v>
      </c>
      <c r="DJ14" s="3">
        <f t="shared" ref="DJ14:DJ19" si="123">DE14+DH14-DI14</f>
        <v>33</v>
      </c>
      <c r="DK14" s="3">
        <f t="shared" si="100"/>
        <v>68</v>
      </c>
      <c r="DL14" s="3"/>
      <c r="DM14" s="3">
        <v>12</v>
      </c>
      <c r="DN14" s="3">
        <v>0</v>
      </c>
      <c r="DO14" s="3">
        <f t="shared" ref="DO14:DO19" si="124">DJ14+DM14-DN14</f>
        <v>45</v>
      </c>
      <c r="DP14" s="3">
        <f t="shared" si="101"/>
        <v>56</v>
      </c>
      <c r="DQ14" s="3"/>
      <c r="DR14" s="3">
        <v>16</v>
      </c>
      <c r="DS14" s="3">
        <v>1</v>
      </c>
      <c r="DT14" s="3">
        <f t="shared" ref="DT14:DT19" si="125">DO14+DR14-DS14</f>
        <v>60</v>
      </c>
      <c r="DU14" s="3">
        <f t="shared" si="102"/>
        <v>40</v>
      </c>
      <c r="DV14" s="3"/>
      <c r="DW14" s="3">
        <v>0</v>
      </c>
      <c r="DX14" s="3">
        <v>0</v>
      </c>
      <c r="DY14" s="3">
        <f t="shared" ref="DY14:DY19" si="126">DT14+DW14-DX14</f>
        <v>60</v>
      </c>
      <c r="DZ14" s="3">
        <f t="shared" si="103"/>
        <v>40</v>
      </c>
      <c r="EA14" s="3"/>
      <c r="EB14" s="3">
        <v>0</v>
      </c>
      <c r="EC14" s="3">
        <v>0</v>
      </c>
      <c r="ED14" s="3">
        <f t="shared" ref="ED14:ED19" si="127">DY14+EB14-EC14</f>
        <v>60</v>
      </c>
      <c r="EE14" s="3">
        <f t="shared" si="104"/>
        <v>40</v>
      </c>
      <c r="EF14" s="3"/>
      <c r="EG14" s="3"/>
      <c r="EH14" s="3">
        <v>8</v>
      </c>
    </row>
    <row r="15" spans="1:138" x14ac:dyDescent="0.35">
      <c r="A15" s="12">
        <v>56</v>
      </c>
      <c r="B15" s="2" t="s">
        <v>9</v>
      </c>
      <c r="C15" s="2" t="s">
        <v>40</v>
      </c>
      <c r="D15" s="3">
        <f t="shared" si="79"/>
        <v>56</v>
      </c>
      <c r="E15" s="18">
        <v>66</v>
      </c>
      <c r="F15" s="3"/>
      <c r="G15" s="3">
        <v>16</v>
      </c>
      <c r="H15" s="3">
        <v>32</v>
      </c>
      <c r="I15" s="3">
        <f t="shared" si="105"/>
        <v>40</v>
      </c>
      <c r="J15" s="3">
        <f t="shared" si="80"/>
        <v>50</v>
      </c>
      <c r="K15" s="3">
        <v>0</v>
      </c>
      <c r="L15" s="3">
        <v>44</v>
      </c>
      <c r="M15" s="3">
        <v>54</v>
      </c>
      <c r="N15" s="3">
        <f t="shared" si="106"/>
        <v>30</v>
      </c>
      <c r="O15" s="3">
        <f t="shared" si="81"/>
        <v>6</v>
      </c>
      <c r="P15" s="3">
        <v>48</v>
      </c>
      <c r="Q15" s="3">
        <v>48</v>
      </c>
      <c r="R15" s="3">
        <v>57</v>
      </c>
      <c r="S15" s="3">
        <f t="shared" si="107"/>
        <v>21</v>
      </c>
      <c r="T15" s="3">
        <v>0</v>
      </c>
      <c r="U15" s="3">
        <v>132</v>
      </c>
      <c r="V15" s="3">
        <v>88</v>
      </c>
      <c r="W15" s="3">
        <v>62</v>
      </c>
      <c r="X15" s="3">
        <f t="shared" si="109"/>
        <v>47</v>
      </c>
      <c r="Y15" s="3">
        <v>32</v>
      </c>
      <c r="Z15" s="3">
        <v>60</v>
      </c>
      <c r="AA15" s="3">
        <v>32</v>
      </c>
      <c r="AB15" s="3">
        <v>25</v>
      </c>
      <c r="AC15" s="3">
        <f t="shared" si="110"/>
        <v>54</v>
      </c>
      <c r="AD15" s="3">
        <f t="shared" si="83"/>
        <v>60</v>
      </c>
      <c r="AE15" s="3">
        <v>0</v>
      </c>
      <c r="AF15" s="3">
        <v>28</v>
      </c>
      <c r="AG15" s="3">
        <v>12</v>
      </c>
      <c r="AH15" s="3">
        <f t="shared" si="111"/>
        <v>70</v>
      </c>
      <c r="AI15" s="3">
        <f t="shared" si="84"/>
        <v>32</v>
      </c>
      <c r="AJ15" s="3">
        <v>25</v>
      </c>
      <c r="AK15" s="3">
        <v>28</v>
      </c>
      <c r="AL15" s="3">
        <v>79</v>
      </c>
      <c r="AM15" s="3">
        <v>20</v>
      </c>
      <c r="AN15" s="3">
        <f t="shared" si="85"/>
        <v>29</v>
      </c>
      <c r="AO15" s="3">
        <v>22</v>
      </c>
      <c r="AP15" s="3">
        <v>44</v>
      </c>
      <c r="AQ15" s="3">
        <v>3</v>
      </c>
      <c r="AR15" s="3">
        <f t="shared" si="112"/>
        <v>61</v>
      </c>
      <c r="AS15" s="3">
        <f t="shared" si="86"/>
        <v>7</v>
      </c>
      <c r="AT15" s="3">
        <v>28</v>
      </c>
      <c r="AU15" s="3"/>
      <c r="AV15" s="3"/>
      <c r="AW15" s="3">
        <f t="shared" si="113"/>
        <v>61</v>
      </c>
      <c r="AX15" s="3">
        <f t="shared" si="87"/>
        <v>35</v>
      </c>
      <c r="AY15" s="3">
        <v>25</v>
      </c>
      <c r="AZ15" s="3">
        <v>60</v>
      </c>
      <c r="BA15" s="3"/>
      <c r="BB15" s="3">
        <f t="shared" si="114"/>
        <v>121</v>
      </c>
      <c r="BC15" s="3">
        <f t="shared" si="88"/>
        <v>0</v>
      </c>
      <c r="BD15" s="3">
        <v>64</v>
      </c>
      <c r="BE15" s="3">
        <v>64</v>
      </c>
      <c r="BF15" s="3">
        <v>102</v>
      </c>
      <c r="BG15" s="3">
        <f t="shared" si="115"/>
        <v>83</v>
      </c>
      <c r="BH15" s="3">
        <f t="shared" si="89"/>
        <v>0</v>
      </c>
      <c r="BI15" s="3">
        <v>52</v>
      </c>
      <c r="BJ15" s="3">
        <v>32</v>
      </c>
      <c r="BK15" s="3">
        <v>62</v>
      </c>
      <c r="BL15" s="3">
        <f t="shared" si="116"/>
        <v>53</v>
      </c>
      <c r="BM15" s="3">
        <f t="shared" si="90"/>
        <v>20</v>
      </c>
      <c r="BN15" s="3">
        <v>82</v>
      </c>
      <c r="BO15" s="3">
        <v>70</v>
      </c>
      <c r="BP15" s="3">
        <v>16</v>
      </c>
      <c r="BQ15" s="3">
        <f t="shared" si="117"/>
        <v>107</v>
      </c>
      <c r="BR15" s="3">
        <f t="shared" si="91"/>
        <v>32</v>
      </c>
      <c r="BS15" s="3">
        <v>96</v>
      </c>
      <c r="BT15" s="3">
        <v>96</v>
      </c>
      <c r="BU15" s="3">
        <v>60</v>
      </c>
      <c r="BV15" s="3">
        <v>30</v>
      </c>
      <c r="BW15" s="3">
        <f t="shared" si="92"/>
        <v>32</v>
      </c>
      <c r="BX15" s="3">
        <v>28</v>
      </c>
      <c r="BY15" s="3">
        <v>32</v>
      </c>
      <c r="BZ15" s="3">
        <v>44</v>
      </c>
      <c r="CA15" s="3">
        <v>60</v>
      </c>
      <c r="CB15" s="3">
        <f t="shared" si="93"/>
        <v>28</v>
      </c>
      <c r="CC15" s="3">
        <v>48</v>
      </c>
      <c r="CD15" s="3">
        <v>16</v>
      </c>
      <c r="CE15" s="3">
        <v>26</v>
      </c>
      <c r="CF15" s="3">
        <f t="shared" si="118"/>
        <v>50</v>
      </c>
      <c r="CG15" s="3">
        <f t="shared" si="94"/>
        <v>60</v>
      </c>
      <c r="CH15" s="3">
        <v>20</v>
      </c>
      <c r="CI15" s="3">
        <v>48</v>
      </c>
      <c r="CJ15" s="3">
        <v>12</v>
      </c>
      <c r="CK15" s="3">
        <f t="shared" si="119"/>
        <v>86</v>
      </c>
      <c r="CL15" s="3">
        <f t="shared" si="95"/>
        <v>32</v>
      </c>
      <c r="CM15" s="3">
        <v>16</v>
      </c>
      <c r="CN15" s="3">
        <v>16</v>
      </c>
      <c r="CO15" s="3">
        <v>43</v>
      </c>
      <c r="CP15" s="3">
        <f t="shared" ref="CP15:CP19" si="128">CK15+CN15-CO15</f>
        <v>59</v>
      </c>
      <c r="CQ15" s="3">
        <f t="shared" si="96"/>
        <v>32</v>
      </c>
      <c r="CR15" s="3">
        <v>52</v>
      </c>
      <c r="CS15" s="3">
        <v>28</v>
      </c>
      <c r="CT15" s="3">
        <v>59</v>
      </c>
      <c r="CU15" s="3">
        <f t="shared" si="120"/>
        <v>28</v>
      </c>
      <c r="CV15" s="3">
        <f t="shared" si="97"/>
        <v>56</v>
      </c>
      <c r="CW15" s="3">
        <v>66</v>
      </c>
      <c r="CX15" s="3">
        <v>32</v>
      </c>
      <c r="CY15" s="3">
        <v>42</v>
      </c>
      <c r="CZ15" s="3">
        <f t="shared" si="121"/>
        <v>18</v>
      </c>
      <c r="DA15" s="3">
        <f t="shared" si="98"/>
        <v>90</v>
      </c>
      <c r="DB15" s="3">
        <v>64</v>
      </c>
      <c r="DC15" s="3">
        <v>64</v>
      </c>
      <c r="DD15" s="3">
        <v>23</v>
      </c>
      <c r="DE15" s="3">
        <f t="shared" si="122"/>
        <v>59</v>
      </c>
      <c r="DF15" s="3">
        <f t="shared" si="99"/>
        <v>90</v>
      </c>
      <c r="DG15" s="3"/>
      <c r="DH15" s="3">
        <v>48</v>
      </c>
      <c r="DI15" s="3">
        <v>42</v>
      </c>
      <c r="DJ15" s="3">
        <f t="shared" si="123"/>
        <v>65</v>
      </c>
      <c r="DK15" s="3">
        <f t="shared" si="100"/>
        <v>42</v>
      </c>
      <c r="DL15" s="3">
        <v>64</v>
      </c>
      <c r="DM15" s="3">
        <v>48</v>
      </c>
      <c r="DN15" s="3">
        <v>90</v>
      </c>
      <c r="DO15" s="3">
        <f t="shared" si="124"/>
        <v>23</v>
      </c>
      <c r="DP15" s="3">
        <f t="shared" si="101"/>
        <v>58</v>
      </c>
      <c r="DQ15" s="3">
        <v>20</v>
      </c>
      <c r="DR15" s="3">
        <v>60</v>
      </c>
      <c r="DS15" s="3">
        <v>20</v>
      </c>
      <c r="DT15" s="3">
        <f t="shared" si="125"/>
        <v>63</v>
      </c>
      <c r="DU15" s="3">
        <f t="shared" si="102"/>
        <v>18</v>
      </c>
      <c r="DV15" s="3"/>
      <c r="DW15" s="3">
        <v>12</v>
      </c>
      <c r="DX15" s="3">
        <v>5</v>
      </c>
      <c r="DY15" s="3">
        <f t="shared" si="126"/>
        <v>70</v>
      </c>
      <c r="DZ15" s="3">
        <f t="shared" si="103"/>
        <v>6</v>
      </c>
      <c r="EA15" s="3">
        <v>10</v>
      </c>
      <c r="EB15" s="3">
        <v>16</v>
      </c>
      <c r="EC15" s="3">
        <v>27</v>
      </c>
      <c r="ED15" s="3">
        <f t="shared" si="127"/>
        <v>59</v>
      </c>
      <c r="EE15" s="3">
        <f t="shared" si="104"/>
        <v>0</v>
      </c>
      <c r="EF15" s="3"/>
      <c r="EG15" s="3"/>
      <c r="EH15" s="3">
        <v>52</v>
      </c>
    </row>
    <row r="16" spans="1:138" x14ac:dyDescent="0.35">
      <c r="A16" s="12">
        <v>56</v>
      </c>
      <c r="B16" s="2" t="s">
        <v>24</v>
      </c>
      <c r="C16" s="2" t="s">
        <v>28</v>
      </c>
      <c r="D16" s="3">
        <f t="shared" si="79"/>
        <v>56</v>
      </c>
      <c r="E16" s="18">
        <v>32</v>
      </c>
      <c r="F16" s="3">
        <f>24+26</f>
        <v>50</v>
      </c>
      <c r="G16" s="3">
        <v>12</v>
      </c>
      <c r="H16" s="3">
        <v>48</v>
      </c>
      <c r="I16" s="3">
        <f t="shared" si="105"/>
        <v>20</v>
      </c>
      <c r="J16" s="3">
        <f t="shared" si="80"/>
        <v>70</v>
      </c>
      <c r="K16" s="3">
        <v>0</v>
      </c>
      <c r="L16" s="3">
        <v>12</v>
      </c>
      <c r="M16" s="3">
        <v>12</v>
      </c>
      <c r="N16" s="3">
        <f t="shared" si="106"/>
        <v>20</v>
      </c>
      <c r="O16" s="3">
        <f t="shared" si="81"/>
        <v>58</v>
      </c>
      <c r="P16" s="3"/>
      <c r="Q16" s="3">
        <v>32</v>
      </c>
      <c r="R16" s="3">
        <v>6</v>
      </c>
      <c r="S16" s="3">
        <f t="shared" si="107"/>
        <v>46</v>
      </c>
      <c r="T16" s="3">
        <v>20</v>
      </c>
      <c r="U16" s="3">
        <v>0</v>
      </c>
      <c r="V16" s="3">
        <v>0</v>
      </c>
      <c r="W16" s="3">
        <v>0</v>
      </c>
      <c r="X16" s="3">
        <f t="shared" si="109"/>
        <v>46</v>
      </c>
      <c r="Y16" s="3">
        <f t="shared" si="82"/>
        <v>20</v>
      </c>
      <c r="Z16" s="3">
        <v>16</v>
      </c>
      <c r="AA16" s="3">
        <v>0</v>
      </c>
      <c r="AB16" s="3">
        <v>0</v>
      </c>
      <c r="AC16" s="3">
        <f t="shared" si="110"/>
        <v>46</v>
      </c>
      <c r="AD16" s="3">
        <f t="shared" si="83"/>
        <v>36</v>
      </c>
      <c r="AE16" s="3">
        <v>27</v>
      </c>
      <c r="AF16" s="3">
        <v>16</v>
      </c>
      <c r="AG16" s="3">
        <v>43</v>
      </c>
      <c r="AH16" s="3">
        <f t="shared" si="111"/>
        <v>19</v>
      </c>
      <c r="AI16" s="3">
        <f t="shared" si="84"/>
        <v>47</v>
      </c>
      <c r="AJ16" s="3"/>
      <c r="AK16" s="3">
        <v>16</v>
      </c>
      <c r="AL16" s="3">
        <v>26</v>
      </c>
      <c r="AM16" s="3">
        <v>35</v>
      </c>
      <c r="AN16" s="3">
        <f t="shared" si="85"/>
        <v>31</v>
      </c>
      <c r="AO16" s="3">
        <v>1</v>
      </c>
      <c r="AP16" s="3">
        <v>0</v>
      </c>
      <c r="AQ16" s="3">
        <v>3</v>
      </c>
      <c r="AR16" s="3">
        <f t="shared" si="112"/>
        <v>32</v>
      </c>
      <c r="AS16" s="3">
        <f t="shared" si="86"/>
        <v>32</v>
      </c>
      <c r="AT16" s="3"/>
      <c r="AU16" s="3"/>
      <c r="AV16" s="3"/>
      <c r="AW16" s="3">
        <f t="shared" si="113"/>
        <v>32</v>
      </c>
      <c r="AX16" s="3">
        <f t="shared" si="87"/>
        <v>32</v>
      </c>
      <c r="AY16" s="3">
        <v>0</v>
      </c>
      <c r="AZ16" s="3">
        <v>32</v>
      </c>
      <c r="BA16" s="3"/>
      <c r="BB16" s="3">
        <f t="shared" si="114"/>
        <v>64</v>
      </c>
      <c r="BC16" s="3">
        <f t="shared" si="88"/>
        <v>0</v>
      </c>
      <c r="BD16" s="3">
        <v>0</v>
      </c>
      <c r="BE16" s="3">
        <v>0</v>
      </c>
      <c r="BF16" s="3">
        <v>21</v>
      </c>
      <c r="BG16" s="3">
        <f t="shared" si="115"/>
        <v>43</v>
      </c>
      <c r="BH16" s="3">
        <f t="shared" si="89"/>
        <v>0</v>
      </c>
      <c r="BI16" s="3">
        <v>5</v>
      </c>
      <c r="BJ16" s="3">
        <v>5</v>
      </c>
      <c r="BK16" s="3">
        <v>10</v>
      </c>
      <c r="BL16" s="3">
        <f t="shared" si="116"/>
        <v>38</v>
      </c>
      <c r="BM16" s="3">
        <f t="shared" si="90"/>
        <v>0</v>
      </c>
      <c r="BN16" s="3">
        <v>16</v>
      </c>
      <c r="BO16" s="3">
        <v>0</v>
      </c>
      <c r="BP16" s="3">
        <v>21</v>
      </c>
      <c r="BQ16" s="3">
        <f t="shared" si="117"/>
        <v>17</v>
      </c>
      <c r="BR16" s="3">
        <f t="shared" si="91"/>
        <v>16</v>
      </c>
      <c r="BS16" s="3">
        <v>12</v>
      </c>
      <c r="BT16" s="3">
        <v>28</v>
      </c>
      <c r="BU16" s="3">
        <v>27</v>
      </c>
      <c r="BV16" s="3">
        <v>14</v>
      </c>
      <c r="BW16" s="3">
        <f t="shared" si="92"/>
        <v>0</v>
      </c>
      <c r="BX16" s="3">
        <v>16</v>
      </c>
      <c r="BY16" s="3">
        <v>16</v>
      </c>
      <c r="BZ16" s="3">
        <v>38</v>
      </c>
      <c r="CA16" s="3">
        <v>30</v>
      </c>
      <c r="CB16" s="3">
        <f t="shared" si="93"/>
        <v>0</v>
      </c>
      <c r="CC16" s="3">
        <v>16</v>
      </c>
      <c r="CD16" s="3">
        <v>0</v>
      </c>
      <c r="CE16" s="3">
        <v>21</v>
      </c>
      <c r="CF16" s="3">
        <f t="shared" si="118"/>
        <v>9</v>
      </c>
      <c r="CG16" s="3">
        <f t="shared" si="94"/>
        <v>16</v>
      </c>
      <c r="CH16" s="3">
        <v>12</v>
      </c>
      <c r="CI16" s="3">
        <v>28</v>
      </c>
      <c r="CJ16" s="3">
        <v>1</v>
      </c>
      <c r="CK16" s="3">
        <f t="shared" si="119"/>
        <v>36</v>
      </c>
      <c r="CL16" s="3">
        <f t="shared" si="95"/>
        <v>0</v>
      </c>
      <c r="CM16" s="3">
        <v>16</v>
      </c>
      <c r="CN16" s="3">
        <v>16</v>
      </c>
      <c r="CO16" s="3">
        <v>23</v>
      </c>
      <c r="CP16" s="3">
        <f t="shared" si="128"/>
        <v>29</v>
      </c>
      <c r="CQ16" s="3">
        <f t="shared" si="96"/>
        <v>0</v>
      </c>
      <c r="CR16" s="3">
        <v>32</v>
      </c>
      <c r="CS16" s="3">
        <v>32</v>
      </c>
      <c r="CT16" s="3">
        <v>14</v>
      </c>
      <c r="CU16" s="3">
        <f t="shared" si="120"/>
        <v>47</v>
      </c>
      <c r="CV16" s="3">
        <f t="shared" si="97"/>
        <v>0</v>
      </c>
      <c r="CW16" s="3">
        <v>36</v>
      </c>
      <c r="CX16" s="3">
        <v>16</v>
      </c>
      <c r="CY16" s="3">
        <v>28</v>
      </c>
      <c r="CZ16" s="3">
        <f t="shared" si="121"/>
        <v>35</v>
      </c>
      <c r="DA16" s="3">
        <f t="shared" si="98"/>
        <v>20</v>
      </c>
      <c r="DB16" s="3">
        <v>16</v>
      </c>
      <c r="DC16" s="3">
        <v>16</v>
      </c>
      <c r="DD16" s="3">
        <v>8</v>
      </c>
      <c r="DE16" s="3">
        <f t="shared" si="122"/>
        <v>43</v>
      </c>
      <c r="DF16" s="3">
        <f t="shared" si="99"/>
        <v>20</v>
      </c>
      <c r="DG16" s="3">
        <v>11</v>
      </c>
      <c r="DH16" s="3">
        <v>12</v>
      </c>
      <c r="DI16" s="3">
        <v>7</v>
      </c>
      <c r="DJ16" s="3">
        <f t="shared" si="123"/>
        <v>48</v>
      </c>
      <c r="DK16" s="3">
        <f t="shared" si="100"/>
        <v>19</v>
      </c>
      <c r="DL16" s="3">
        <v>45</v>
      </c>
      <c r="DM16" s="3">
        <v>28</v>
      </c>
      <c r="DN16" s="3">
        <v>13</v>
      </c>
      <c r="DO16" s="3">
        <f t="shared" si="124"/>
        <v>63</v>
      </c>
      <c r="DP16" s="3">
        <f t="shared" si="101"/>
        <v>36</v>
      </c>
      <c r="DQ16" s="3"/>
      <c r="DR16" s="3">
        <v>32</v>
      </c>
      <c r="DS16" s="3">
        <v>24</v>
      </c>
      <c r="DT16" s="3">
        <f t="shared" si="125"/>
        <v>71</v>
      </c>
      <c r="DU16" s="3">
        <f t="shared" si="102"/>
        <v>4</v>
      </c>
      <c r="DV16" s="3"/>
      <c r="DW16" s="3">
        <v>0</v>
      </c>
      <c r="DX16" s="3">
        <v>2</v>
      </c>
      <c r="DY16" s="3">
        <f t="shared" si="126"/>
        <v>69</v>
      </c>
      <c r="DZ16" s="3">
        <f t="shared" si="103"/>
        <v>4</v>
      </c>
      <c r="EA16" s="3">
        <v>12</v>
      </c>
      <c r="EB16" s="3">
        <v>0</v>
      </c>
      <c r="EC16" s="3">
        <v>6</v>
      </c>
      <c r="ED16" s="3">
        <f t="shared" si="127"/>
        <v>63</v>
      </c>
      <c r="EE16" s="3">
        <f t="shared" si="104"/>
        <v>16</v>
      </c>
      <c r="EF16" s="3"/>
      <c r="EG16" s="3"/>
      <c r="EH16" s="3">
        <v>16</v>
      </c>
    </row>
    <row r="17" spans="1:138" x14ac:dyDescent="0.35">
      <c r="A17" s="12">
        <v>40</v>
      </c>
      <c r="B17" s="2" t="s">
        <v>10</v>
      </c>
      <c r="C17" s="2" t="s">
        <v>41</v>
      </c>
      <c r="D17" s="3">
        <f t="shared" si="79"/>
        <v>40</v>
      </c>
      <c r="E17" s="18">
        <v>37</v>
      </c>
      <c r="F17" s="3"/>
      <c r="G17" s="3">
        <v>0</v>
      </c>
      <c r="H17" s="3">
        <v>5</v>
      </c>
      <c r="I17" s="3">
        <f t="shared" si="105"/>
        <v>35</v>
      </c>
      <c r="J17" s="3">
        <f t="shared" si="80"/>
        <v>37</v>
      </c>
      <c r="K17" s="3">
        <v>0</v>
      </c>
      <c r="L17" s="3">
        <v>0</v>
      </c>
      <c r="M17" s="3">
        <v>0</v>
      </c>
      <c r="N17" s="3">
        <f t="shared" si="106"/>
        <v>35</v>
      </c>
      <c r="O17" s="3">
        <f t="shared" si="81"/>
        <v>37</v>
      </c>
      <c r="P17" s="3"/>
      <c r="Q17" s="3">
        <v>0</v>
      </c>
      <c r="R17" s="3">
        <v>0</v>
      </c>
      <c r="S17" s="3">
        <f t="shared" si="107"/>
        <v>35</v>
      </c>
      <c r="T17" s="3">
        <f t="shared" si="108"/>
        <v>37</v>
      </c>
      <c r="U17" s="3">
        <v>0</v>
      </c>
      <c r="V17" s="3">
        <v>0</v>
      </c>
      <c r="W17" s="3">
        <v>1</v>
      </c>
      <c r="X17" s="3">
        <f t="shared" si="109"/>
        <v>34</v>
      </c>
      <c r="Y17" s="3">
        <f t="shared" si="82"/>
        <v>37</v>
      </c>
      <c r="Z17" s="3">
        <v>32</v>
      </c>
      <c r="AA17" s="3">
        <v>16</v>
      </c>
      <c r="AB17" s="3">
        <v>16</v>
      </c>
      <c r="AC17" s="3">
        <f t="shared" si="110"/>
        <v>34</v>
      </c>
      <c r="AD17" s="3">
        <f t="shared" si="83"/>
        <v>53</v>
      </c>
      <c r="AE17" s="3">
        <v>0</v>
      </c>
      <c r="AF17" s="3">
        <v>12</v>
      </c>
      <c r="AG17" s="3">
        <v>11</v>
      </c>
      <c r="AH17" s="3">
        <f t="shared" si="111"/>
        <v>35</v>
      </c>
      <c r="AI17" s="3">
        <f t="shared" si="84"/>
        <v>41</v>
      </c>
      <c r="AJ17" s="3"/>
      <c r="AK17" s="3">
        <v>24</v>
      </c>
      <c r="AL17" s="3">
        <v>49</v>
      </c>
      <c r="AM17" s="3">
        <v>25</v>
      </c>
      <c r="AN17" s="3">
        <f t="shared" si="85"/>
        <v>17</v>
      </c>
      <c r="AO17" s="3">
        <v>0</v>
      </c>
      <c r="AP17" s="3">
        <v>12</v>
      </c>
      <c r="AQ17" s="3">
        <v>17</v>
      </c>
      <c r="AR17" s="3">
        <f t="shared" si="112"/>
        <v>20</v>
      </c>
      <c r="AS17" s="3">
        <f t="shared" si="86"/>
        <v>5</v>
      </c>
      <c r="AT17" s="3"/>
      <c r="AU17" s="3"/>
      <c r="AV17" s="3"/>
      <c r="AW17" s="3">
        <f t="shared" si="113"/>
        <v>20</v>
      </c>
      <c r="AX17" s="3">
        <f t="shared" si="87"/>
        <v>5</v>
      </c>
      <c r="AY17" s="3">
        <v>0</v>
      </c>
      <c r="AZ17" s="3">
        <v>0</v>
      </c>
      <c r="BA17" s="3"/>
      <c r="BB17" s="3">
        <f t="shared" si="114"/>
        <v>20</v>
      </c>
      <c r="BC17" s="3">
        <f t="shared" si="88"/>
        <v>5</v>
      </c>
      <c r="BD17" s="3">
        <v>12</v>
      </c>
      <c r="BE17" s="3">
        <v>12</v>
      </c>
      <c r="BF17" s="3">
        <v>14</v>
      </c>
      <c r="BG17" s="3">
        <f t="shared" si="115"/>
        <v>18</v>
      </c>
      <c r="BH17" s="3">
        <f t="shared" si="89"/>
        <v>5</v>
      </c>
      <c r="BI17" s="3">
        <v>0</v>
      </c>
      <c r="BJ17" s="3">
        <v>0</v>
      </c>
      <c r="BK17" s="3">
        <v>10</v>
      </c>
      <c r="BL17" s="3">
        <f t="shared" si="116"/>
        <v>8</v>
      </c>
      <c r="BM17" s="3">
        <f t="shared" si="90"/>
        <v>5</v>
      </c>
      <c r="BN17" s="3"/>
      <c r="BO17" s="3">
        <v>0</v>
      </c>
      <c r="BP17" s="3">
        <v>0</v>
      </c>
      <c r="BQ17" s="3">
        <f t="shared" si="117"/>
        <v>8</v>
      </c>
      <c r="BR17" s="3">
        <f t="shared" si="91"/>
        <v>5</v>
      </c>
      <c r="BS17" s="3">
        <v>7</v>
      </c>
      <c r="BT17" s="3">
        <v>0</v>
      </c>
      <c r="BU17" s="3">
        <v>1</v>
      </c>
      <c r="BV17" s="3">
        <v>10</v>
      </c>
      <c r="BW17" s="3">
        <f t="shared" si="92"/>
        <v>12</v>
      </c>
      <c r="BX17" s="3"/>
      <c r="BY17" s="3">
        <v>12</v>
      </c>
      <c r="BZ17" s="3">
        <v>0</v>
      </c>
      <c r="CA17" s="3">
        <v>24</v>
      </c>
      <c r="CB17" s="3">
        <f t="shared" si="93"/>
        <v>0</v>
      </c>
      <c r="CC17" s="3">
        <v>64</v>
      </c>
      <c r="CD17" s="3">
        <v>0</v>
      </c>
      <c r="CE17" s="3">
        <v>0</v>
      </c>
      <c r="CF17" s="3">
        <f t="shared" si="118"/>
        <v>24</v>
      </c>
      <c r="CG17" s="3">
        <f t="shared" si="94"/>
        <v>64</v>
      </c>
      <c r="CH17" s="3"/>
      <c r="CI17" s="3">
        <v>0</v>
      </c>
      <c r="CJ17" s="3">
        <v>0</v>
      </c>
      <c r="CK17" s="3">
        <f t="shared" si="119"/>
        <v>24</v>
      </c>
      <c r="CL17" s="3">
        <f t="shared" si="95"/>
        <v>64</v>
      </c>
      <c r="CM17" s="3"/>
      <c r="CN17" s="3">
        <v>0</v>
      </c>
      <c r="CO17" s="3">
        <v>0</v>
      </c>
      <c r="CP17" s="3">
        <f t="shared" si="128"/>
        <v>24</v>
      </c>
      <c r="CQ17" s="3">
        <f t="shared" si="96"/>
        <v>64</v>
      </c>
      <c r="CR17" s="3">
        <v>0</v>
      </c>
      <c r="CS17" s="3">
        <v>0</v>
      </c>
      <c r="CT17" s="3">
        <v>0</v>
      </c>
      <c r="CU17" s="3">
        <f t="shared" si="120"/>
        <v>24</v>
      </c>
      <c r="CV17" s="3">
        <f t="shared" si="97"/>
        <v>64</v>
      </c>
      <c r="CW17" s="3">
        <v>0</v>
      </c>
      <c r="CX17" s="3">
        <v>0</v>
      </c>
      <c r="CY17" s="3">
        <v>0</v>
      </c>
      <c r="CZ17" s="3">
        <f t="shared" si="121"/>
        <v>24</v>
      </c>
      <c r="DA17" s="3">
        <f t="shared" si="98"/>
        <v>64</v>
      </c>
      <c r="DB17" s="3"/>
      <c r="DC17" s="3">
        <v>0</v>
      </c>
      <c r="DD17" s="3">
        <v>0</v>
      </c>
      <c r="DE17" s="3">
        <f t="shared" si="122"/>
        <v>24</v>
      </c>
      <c r="DF17" s="3">
        <f t="shared" si="99"/>
        <v>64</v>
      </c>
      <c r="DG17" s="3"/>
      <c r="DH17" s="3">
        <v>0</v>
      </c>
      <c r="DI17" s="3">
        <v>0</v>
      </c>
      <c r="DJ17" s="3">
        <f t="shared" si="123"/>
        <v>24</v>
      </c>
      <c r="DK17" s="3">
        <f t="shared" si="100"/>
        <v>64</v>
      </c>
      <c r="DL17" s="3"/>
      <c r="DM17" s="3">
        <v>0</v>
      </c>
      <c r="DN17" s="3">
        <v>0</v>
      </c>
      <c r="DO17" s="3">
        <f t="shared" si="124"/>
        <v>24</v>
      </c>
      <c r="DP17" s="3">
        <f t="shared" si="101"/>
        <v>64</v>
      </c>
      <c r="DQ17" s="3"/>
      <c r="DR17" s="3">
        <v>0</v>
      </c>
      <c r="DS17" s="3">
        <v>0</v>
      </c>
      <c r="DT17" s="3">
        <f t="shared" si="125"/>
        <v>24</v>
      </c>
      <c r="DU17" s="3">
        <f t="shared" si="102"/>
        <v>64</v>
      </c>
      <c r="DV17" s="3"/>
      <c r="DW17" s="3">
        <v>0</v>
      </c>
      <c r="DX17" s="3">
        <v>0</v>
      </c>
      <c r="DY17" s="3">
        <f t="shared" si="126"/>
        <v>24</v>
      </c>
      <c r="DZ17" s="3">
        <v>52</v>
      </c>
      <c r="EA17" s="3"/>
      <c r="EB17" s="3">
        <v>0</v>
      </c>
      <c r="EC17" s="3">
        <v>0</v>
      </c>
      <c r="ED17" s="3">
        <f t="shared" si="127"/>
        <v>24</v>
      </c>
      <c r="EE17" s="3">
        <f t="shared" si="104"/>
        <v>52</v>
      </c>
      <c r="EF17" s="3"/>
      <c r="EG17" s="3"/>
      <c r="EH17" s="3">
        <v>8</v>
      </c>
    </row>
    <row r="18" spans="1:138" x14ac:dyDescent="0.35">
      <c r="A18" s="12">
        <v>42</v>
      </c>
      <c r="B18" s="2" t="s">
        <v>11</v>
      </c>
      <c r="C18" s="2" t="s">
        <v>29</v>
      </c>
      <c r="D18" s="3">
        <f t="shared" si="79"/>
        <v>42</v>
      </c>
      <c r="E18" s="18">
        <v>32</v>
      </c>
      <c r="F18" s="3">
        <f>30+29</f>
        <v>59</v>
      </c>
      <c r="G18" s="3">
        <v>32</v>
      </c>
      <c r="H18" s="3">
        <v>44</v>
      </c>
      <c r="I18" s="3">
        <f t="shared" si="105"/>
        <v>30</v>
      </c>
      <c r="J18" s="3">
        <f t="shared" si="80"/>
        <v>59</v>
      </c>
      <c r="K18" s="3">
        <v>93</v>
      </c>
      <c r="L18" s="3">
        <v>100</v>
      </c>
      <c r="M18" s="3">
        <v>87</v>
      </c>
      <c r="N18" s="3">
        <f t="shared" si="106"/>
        <v>43</v>
      </c>
      <c r="O18" s="3">
        <f t="shared" si="81"/>
        <v>52</v>
      </c>
      <c r="P18" s="3">
        <v>32</v>
      </c>
      <c r="Q18" s="3">
        <v>72</v>
      </c>
      <c r="R18" s="3">
        <v>59</v>
      </c>
      <c r="S18" s="3">
        <f t="shared" si="107"/>
        <v>56</v>
      </c>
      <c r="T18" s="3">
        <v>0</v>
      </c>
      <c r="U18" s="3">
        <v>102</v>
      </c>
      <c r="V18" s="3">
        <v>48</v>
      </c>
      <c r="W18" s="3">
        <v>73</v>
      </c>
      <c r="X18" s="3">
        <f t="shared" si="109"/>
        <v>31</v>
      </c>
      <c r="Y18" s="3">
        <v>47</v>
      </c>
      <c r="Z18" s="3">
        <v>97</v>
      </c>
      <c r="AA18" s="3">
        <v>112</v>
      </c>
      <c r="AB18" s="3">
        <v>89</v>
      </c>
      <c r="AC18" s="3">
        <f t="shared" si="110"/>
        <v>54</v>
      </c>
      <c r="AD18" s="3">
        <f t="shared" si="83"/>
        <v>32</v>
      </c>
      <c r="AE18" s="3">
        <v>57</v>
      </c>
      <c r="AF18" s="3">
        <v>48</v>
      </c>
      <c r="AG18" s="3">
        <v>86</v>
      </c>
      <c r="AH18" s="3">
        <f t="shared" si="111"/>
        <v>16</v>
      </c>
      <c r="AI18" s="3">
        <f t="shared" si="84"/>
        <v>41</v>
      </c>
      <c r="AJ18" s="3">
        <v>96</v>
      </c>
      <c r="AK18" s="3">
        <v>96</v>
      </c>
      <c r="AL18" s="3">
        <v>104</v>
      </c>
      <c r="AM18" s="3">
        <v>26</v>
      </c>
      <c r="AN18" s="3">
        <f t="shared" si="85"/>
        <v>41</v>
      </c>
      <c r="AO18" s="3">
        <v>55</v>
      </c>
      <c r="AP18" s="3">
        <v>96</v>
      </c>
      <c r="AQ18" s="3">
        <v>37</v>
      </c>
      <c r="AR18" s="3">
        <f t="shared" si="112"/>
        <v>85</v>
      </c>
      <c r="AS18" s="3">
        <f t="shared" si="86"/>
        <v>0</v>
      </c>
      <c r="AT18" s="3">
        <v>21</v>
      </c>
      <c r="AU18" s="3"/>
      <c r="AV18" s="3"/>
      <c r="AW18" s="3">
        <f t="shared" si="113"/>
        <v>85</v>
      </c>
      <c r="AX18" s="3">
        <f t="shared" si="87"/>
        <v>21</v>
      </c>
      <c r="AY18" s="3">
        <v>31</v>
      </c>
      <c r="AZ18" s="3">
        <v>52</v>
      </c>
      <c r="BA18" s="3"/>
      <c r="BB18" s="3">
        <f t="shared" si="114"/>
        <v>137</v>
      </c>
      <c r="BC18" s="3">
        <f t="shared" si="88"/>
        <v>0</v>
      </c>
      <c r="BD18" s="3">
        <v>32</v>
      </c>
      <c r="BE18" s="3">
        <v>32</v>
      </c>
      <c r="BF18" s="3">
        <v>104</v>
      </c>
      <c r="BG18" s="3">
        <f t="shared" si="115"/>
        <v>65</v>
      </c>
      <c r="BH18" s="3">
        <f t="shared" si="89"/>
        <v>0</v>
      </c>
      <c r="BI18" s="3">
        <v>28</v>
      </c>
      <c r="BJ18" s="3">
        <v>16</v>
      </c>
      <c r="BK18" s="3">
        <v>31</v>
      </c>
      <c r="BL18" s="3">
        <f t="shared" si="116"/>
        <v>50</v>
      </c>
      <c r="BM18" s="3">
        <f t="shared" si="90"/>
        <v>12</v>
      </c>
      <c r="BN18" s="3">
        <v>56</v>
      </c>
      <c r="BO18" s="3">
        <v>68</v>
      </c>
      <c r="BP18" s="3">
        <v>12</v>
      </c>
      <c r="BQ18" s="3">
        <f t="shared" si="117"/>
        <v>106</v>
      </c>
      <c r="BR18" s="3">
        <f t="shared" si="91"/>
        <v>0</v>
      </c>
      <c r="BS18" s="3">
        <v>16</v>
      </c>
      <c r="BT18" s="3">
        <v>0</v>
      </c>
      <c r="BU18" s="3">
        <v>20</v>
      </c>
      <c r="BV18" s="3">
        <v>10</v>
      </c>
      <c r="BW18" s="3">
        <f t="shared" si="92"/>
        <v>16</v>
      </c>
      <c r="BX18" s="3">
        <v>16</v>
      </c>
      <c r="BY18" s="3">
        <v>32</v>
      </c>
      <c r="BZ18" s="3">
        <v>28</v>
      </c>
      <c r="CA18" s="3">
        <v>41</v>
      </c>
      <c r="CB18" s="3">
        <f t="shared" si="93"/>
        <v>0</v>
      </c>
      <c r="CC18" s="3">
        <v>60</v>
      </c>
      <c r="CD18" s="3">
        <v>16</v>
      </c>
      <c r="CE18" s="3">
        <v>32</v>
      </c>
      <c r="CF18" s="3">
        <f t="shared" si="118"/>
        <v>25</v>
      </c>
      <c r="CG18" s="3">
        <f t="shared" si="94"/>
        <v>44</v>
      </c>
      <c r="CH18" s="3">
        <v>20</v>
      </c>
      <c r="CI18" s="3">
        <v>64</v>
      </c>
      <c r="CJ18" s="3">
        <v>47</v>
      </c>
      <c r="CK18" s="3">
        <f t="shared" si="119"/>
        <v>42</v>
      </c>
      <c r="CL18" s="3">
        <f t="shared" si="95"/>
        <v>0</v>
      </c>
      <c r="CM18" s="3">
        <v>40</v>
      </c>
      <c r="CN18" s="3">
        <v>40</v>
      </c>
      <c r="CO18" s="3">
        <v>33</v>
      </c>
      <c r="CP18" s="3">
        <f t="shared" si="128"/>
        <v>49</v>
      </c>
      <c r="CQ18" s="3">
        <f t="shared" si="96"/>
        <v>0</v>
      </c>
      <c r="CR18" s="3">
        <v>28</v>
      </c>
      <c r="CS18" s="3">
        <v>28</v>
      </c>
      <c r="CT18" s="3">
        <v>2</v>
      </c>
      <c r="CU18" s="3">
        <f t="shared" si="120"/>
        <v>75</v>
      </c>
      <c r="CV18" s="3">
        <f t="shared" si="97"/>
        <v>0</v>
      </c>
      <c r="CW18" s="3">
        <v>16</v>
      </c>
      <c r="CX18" s="3">
        <v>0</v>
      </c>
      <c r="CY18" s="3">
        <v>0</v>
      </c>
      <c r="CZ18" s="3">
        <f t="shared" si="121"/>
        <v>75</v>
      </c>
      <c r="DA18" s="3">
        <f t="shared" si="98"/>
        <v>16</v>
      </c>
      <c r="DB18" s="3"/>
      <c r="DC18" s="3">
        <v>0</v>
      </c>
      <c r="DD18" s="3">
        <v>2</v>
      </c>
      <c r="DE18" s="3">
        <f t="shared" si="122"/>
        <v>73</v>
      </c>
      <c r="DF18" s="3">
        <f t="shared" si="99"/>
        <v>16</v>
      </c>
      <c r="DG18" s="3">
        <v>37</v>
      </c>
      <c r="DH18" s="3">
        <v>16</v>
      </c>
      <c r="DI18" s="3">
        <v>45</v>
      </c>
      <c r="DJ18" s="3">
        <f t="shared" si="123"/>
        <v>44</v>
      </c>
      <c r="DK18" s="3">
        <f t="shared" si="100"/>
        <v>37</v>
      </c>
      <c r="DL18" s="3">
        <v>35</v>
      </c>
      <c r="DM18" s="3">
        <v>44</v>
      </c>
      <c r="DN18" s="3">
        <v>35</v>
      </c>
      <c r="DO18" s="3">
        <f t="shared" si="124"/>
        <v>53</v>
      </c>
      <c r="DP18" s="3">
        <f t="shared" si="101"/>
        <v>28</v>
      </c>
      <c r="DQ18" s="3"/>
      <c r="DR18" s="3">
        <v>28</v>
      </c>
      <c r="DS18" s="3">
        <v>4</v>
      </c>
      <c r="DT18" s="3">
        <f t="shared" si="125"/>
        <v>77</v>
      </c>
      <c r="DU18" s="3">
        <f t="shared" si="102"/>
        <v>0</v>
      </c>
      <c r="DV18" s="3">
        <v>24</v>
      </c>
      <c r="DW18" s="3">
        <v>16</v>
      </c>
      <c r="DX18" s="3">
        <v>1</v>
      </c>
      <c r="DY18" s="3">
        <f t="shared" si="126"/>
        <v>92</v>
      </c>
      <c r="DZ18" s="3">
        <f t="shared" si="103"/>
        <v>8</v>
      </c>
      <c r="EA18" s="3">
        <v>80</v>
      </c>
      <c r="EB18" s="3">
        <v>60</v>
      </c>
      <c r="EC18" s="3">
        <v>131</v>
      </c>
      <c r="ED18" s="3">
        <f t="shared" si="127"/>
        <v>21</v>
      </c>
      <c r="EE18" s="3">
        <f t="shared" si="104"/>
        <v>28</v>
      </c>
      <c r="EF18" s="3"/>
      <c r="EG18" s="3"/>
      <c r="EH18" s="3">
        <v>52</v>
      </c>
    </row>
    <row r="19" spans="1:138" x14ac:dyDescent="0.35">
      <c r="A19" s="12">
        <v>20</v>
      </c>
      <c r="B19" s="2" t="s">
        <v>12</v>
      </c>
      <c r="C19" s="2" t="s">
        <v>30</v>
      </c>
      <c r="D19" s="3">
        <f t="shared" si="79"/>
        <v>20</v>
      </c>
      <c r="E19" s="18">
        <v>35</v>
      </c>
      <c r="F19" s="3">
        <f>18+43</f>
        <v>61</v>
      </c>
      <c r="G19" s="3">
        <v>32</v>
      </c>
      <c r="H19" s="3">
        <v>22</v>
      </c>
      <c r="I19" s="3">
        <f t="shared" si="105"/>
        <v>30</v>
      </c>
      <c r="J19" s="3">
        <f t="shared" si="80"/>
        <v>64</v>
      </c>
      <c r="K19" s="3">
        <v>28</v>
      </c>
      <c r="L19" s="3">
        <v>0</v>
      </c>
      <c r="M19" s="3">
        <v>10</v>
      </c>
      <c r="N19" s="3">
        <f t="shared" si="106"/>
        <v>20</v>
      </c>
      <c r="O19" s="3">
        <f t="shared" si="81"/>
        <v>92</v>
      </c>
      <c r="P19" s="3"/>
      <c r="Q19" s="3">
        <v>32</v>
      </c>
      <c r="R19" s="3">
        <v>28</v>
      </c>
      <c r="S19" s="3">
        <f t="shared" si="107"/>
        <v>24</v>
      </c>
      <c r="T19" s="3">
        <v>51</v>
      </c>
      <c r="U19" s="3">
        <v>0</v>
      </c>
      <c r="V19" s="3">
        <v>0</v>
      </c>
      <c r="W19" s="3">
        <v>0</v>
      </c>
      <c r="X19" s="3">
        <f t="shared" si="109"/>
        <v>24</v>
      </c>
      <c r="Y19" s="3">
        <v>49</v>
      </c>
      <c r="Z19" s="3">
        <v>12</v>
      </c>
      <c r="AA19" s="3">
        <v>0</v>
      </c>
      <c r="AB19" s="3">
        <v>10</v>
      </c>
      <c r="AC19" s="3">
        <f t="shared" si="110"/>
        <v>14</v>
      </c>
      <c r="AD19" s="3">
        <f t="shared" si="83"/>
        <v>61</v>
      </c>
      <c r="AE19" s="3">
        <v>0</v>
      </c>
      <c r="AF19" s="3">
        <v>16</v>
      </c>
      <c r="AG19" s="3">
        <v>10</v>
      </c>
      <c r="AH19" s="3">
        <f t="shared" si="111"/>
        <v>20</v>
      </c>
      <c r="AI19" s="3">
        <f t="shared" si="84"/>
        <v>45</v>
      </c>
      <c r="AJ19" s="3">
        <v>4</v>
      </c>
      <c r="AK19" s="3">
        <v>12</v>
      </c>
      <c r="AL19" s="3">
        <v>32</v>
      </c>
      <c r="AM19" s="3">
        <v>25</v>
      </c>
      <c r="AN19" s="3">
        <v>40</v>
      </c>
      <c r="AO19" s="3">
        <v>12</v>
      </c>
      <c r="AP19" s="3">
        <v>0</v>
      </c>
      <c r="AQ19" s="3">
        <v>5</v>
      </c>
      <c r="AR19" s="3">
        <f t="shared" si="112"/>
        <v>20</v>
      </c>
      <c r="AS19" s="3">
        <v>40</v>
      </c>
      <c r="AT19" s="3"/>
      <c r="AU19" s="3"/>
      <c r="AV19" s="3"/>
      <c r="AW19" s="3">
        <f t="shared" si="113"/>
        <v>20</v>
      </c>
      <c r="AX19" s="3">
        <f t="shared" si="87"/>
        <v>40</v>
      </c>
      <c r="AY19" s="3"/>
      <c r="AZ19" s="3">
        <v>16</v>
      </c>
      <c r="BA19" s="3"/>
      <c r="BB19" s="3">
        <f t="shared" si="114"/>
        <v>36</v>
      </c>
      <c r="BC19" s="3">
        <f t="shared" si="88"/>
        <v>24</v>
      </c>
      <c r="BD19" s="3">
        <v>0</v>
      </c>
      <c r="BE19" s="3">
        <v>12</v>
      </c>
      <c r="BF19" s="3">
        <v>19</v>
      </c>
      <c r="BG19" s="3">
        <f t="shared" si="115"/>
        <v>29</v>
      </c>
      <c r="BH19" s="3">
        <f t="shared" si="89"/>
        <v>12</v>
      </c>
      <c r="BI19" s="3">
        <v>0</v>
      </c>
      <c r="BJ19" s="3">
        <v>0</v>
      </c>
      <c r="BK19" s="3">
        <v>0</v>
      </c>
      <c r="BL19" s="3">
        <f t="shared" si="116"/>
        <v>29</v>
      </c>
      <c r="BM19" s="3">
        <f t="shared" si="90"/>
        <v>12</v>
      </c>
      <c r="BN19" s="3"/>
      <c r="BO19" s="3">
        <v>0</v>
      </c>
      <c r="BP19" s="3">
        <v>2</v>
      </c>
      <c r="BQ19" s="3">
        <f t="shared" si="117"/>
        <v>27</v>
      </c>
      <c r="BR19" s="3">
        <f t="shared" si="91"/>
        <v>12</v>
      </c>
      <c r="BS19" s="3"/>
      <c r="BT19" s="3">
        <v>0</v>
      </c>
      <c r="BU19" s="3">
        <v>5</v>
      </c>
      <c r="BV19" s="3">
        <v>20</v>
      </c>
      <c r="BW19" s="3">
        <f t="shared" si="92"/>
        <v>12</v>
      </c>
      <c r="BX19" s="3">
        <v>4</v>
      </c>
      <c r="BY19" s="3">
        <v>16</v>
      </c>
      <c r="BZ19" s="3">
        <v>0</v>
      </c>
      <c r="CA19" s="3">
        <v>17</v>
      </c>
      <c r="CB19" s="3">
        <f t="shared" si="93"/>
        <v>0</v>
      </c>
      <c r="CC19" s="3">
        <v>28</v>
      </c>
      <c r="CD19" s="3">
        <v>12</v>
      </c>
      <c r="CE19" s="3">
        <v>17</v>
      </c>
      <c r="CF19" s="3">
        <f t="shared" si="118"/>
        <v>12</v>
      </c>
      <c r="CG19" s="3">
        <f t="shared" si="94"/>
        <v>16</v>
      </c>
      <c r="CH19" s="3"/>
      <c r="CI19" s="3">
        <v>16</v>
      </c>
      <c r="CJ19" s="3">
        <v>3</v>
      </c>
      <c r="CK19" s="3">
        <f t="shared" si="119"/>
        <v>25</v>
      </c>
      <c r="CL19" s="3">
        <f t="shared" si="95"/>
        <v>0</v>
      </c>
      <c r="CM19" s="3"/>
      <c r="CN19" s="3">
        <v>0</v>
      </c>
      <c r="CO19" s="3">
        <v>0</v>
      </c>
      <c r="CP19" s="3">
        <f t="shared" si="128"/>
        <v>25</v>
      </c>
      <c r="CQ19" s="3">
        <f t="shared" si="96"/>
        <v>0</v>
      </c>
      <c r="CR19" s="3">
        <v>16</v>
      </c>
      <c r="CS19" s="3">
        <v>0</v>
      </c>
      <c r="CT19" s="3">
        <v>4</v>
      </c>
      <c r="CU19" s="3">
        <f t="shared" si="120"/>
        <v>21</v>
      </c>
      <c r="CV19" s="3">
        <f t="shared" si="97"/>
        <v>16</v>
      </c>
      <c r="CW19" s="3">
        <v>36</v>
      </c>
      <c r="CX19" s="3">
        <v>16</v>
      </c>
      <c r="CY19" s="3">
        <v>5</v>
      </c>
      <c r="CZ19" s="3">
        <f t="shared" si="121"/>
        <v>32</v>
      </c>
      <c r="DA19" s="3">
        <f t="shared" si="98"/>
        <v>36</v>
      </c>
      <c r="DB19" s="3"/>
      <c r="DC19" s="3">
        <v>0</v>
      </c>
      <c r="DD19" s="3">
        <v>0</v>
      </c>
      <c r="DE19" s="3">
        <f t="shared" si="122"/>
        <v>32</v>
      </c>
      <c r="DF19" s="3">
        <f t="shared" si="99"/>
        <v>36</v>
      </c>
      <c r="DG19" s="3">
        <v>0</v>
      </c>
      <c r="DH19" s="3">
        <v>0</v>
      </c>
      <c r="DI19" s="3">
        <v>11</v>
      </c>
      <c r="DJ19" s="3">
        <f t="shared" si="123"/>
        <v>21</v>
      </c>
      <c r="DK19" s="3">
        <f t="shared" si="100"/>
        <v>36</v>
      </c>
      <c r="DL19" s="3">
        <v>22</v>
      </c>
      <c r="DM19" s="3">
        <v>32</v>
      </c>
      <c r="DN19" s="3">
        <v>14</v>
      </c>
      <c r="DO19" s="3">
        <f t="shared" si="124"/>
        <v>39</v>
      </c>
      <c r="DP19" s="3">
        <f t="shared" si="101"/>
        <v>26</v>
      </c>
      <c r="DQ19" s="3"/>
      <c r="DR19" s="3">
        <v>0</v>
      </c>
      <c r="DS19" s="3">
        <v>12</v>
      </c>
      <c r="DT19" s="3">
        <f t="shared" si="125"/>
        <v>27</v>
      </c>
      <c r="DU19" s="3">
        <f t="shared" si="102"/>
        <v>26</v>
      </c>
      <c r="DV19" s="3"/>
      <c r="DW19" s="3">
        <v>12</v>
      </c>
      <c r="DX19" s="3">
        <v>5</v>
      </c>
      <c r="DY19" s="3">
        <f t="shared" si="126"/>
        <v>34</v>
      </c>
      <c r="DZ19" s="3">
        <v>0</v>
      </c>
      <c r="EA19" s="3"/>
      <c r="EB19" s="3">
        <v>0</v>
      </c>
      <c r="EC19" s="3">
        <v>2</v>
      </c>
      <c r="ED19" s="3">
        <f t="shared" si="127"/>
        <v>32</v>
      </c>
      <c r="EE19" s="3">
        <f t="shared" si="104"/>
        <v>0</v>
      </c>
      <c r="EF19" s="3"/>
      <c r="EG19" s="3"/>
      <c r="EH19" s="3">
        <v>0</v>
      </c>
    </row>
    <row r="20" spans="1:138" x14ac:dyDescent="0.35">
      <c r="B20" s="33" t="s">
        <v>32</v>
      </c>
      <c r="C20" s="33"/>
      <c r="D20" s="5">
        <f>SUM(D13:D19)</f>
        <v>319</v>
      </c>
      <c r="E20" s="5">
        <f>SUM(E13:E19)</f>
        <v>421</v>
      </c>
      <c r="F20" s="5">
        <f t="shared" ref="F20:H20" si="129">SUM(F13:F19)</f>
        <v>275</v>
      </c>
      <c r="G20" s="5">
        <f t="shared" si="129"/>
        <v>184</v>
      </c>
      <c r="H20" s="5">
        <f t="shared" si="129"/>
        <v>298</v>
      </c>
      <c r="I20" s="6">
        <f>SUM(I13:I19)</f>
        <v>205</v>
      </c>
      <c r="J20" s="6">
        <f>SUM(J13:J19)</f>
        <v>512</v>
      </c>
      <c r="K20" s="6">
        <f t="shared" ref="K20:M20" si="130">SUM(K13:K19)</f>
        <v>205</v>
      </c>
      <c r="L20" s="6">
        <f t="shared" si="130"/>
        <v>340</v>
      </c>
      <c r="M20" s="6">
        <f t="shared" si="130"/>
        <v>294</v>
      </c>
      <c r="N20" s="5">
        <f>SUM(N13:N19)</f>
        <v>251</v>
      </c>
      <c r="O20" s="5">
        <f>SUM(O13:O19)</f>
        <v>377</v>
      </c>
      <c r="P20" s="5">
        <f t="shared" ref="P20:R20" si="131">SUM(P13:P19)</f>
        <v>132</v>
      </c>
      <c r="Q20" s="5">
        <f t="shared" si="131"/>
        <v>288</v>
      </c>
      <c r="R20" s="5">
        <f t="shared" si="131"/>
        <v>189</v>
      </c>
      <c r="S20" s="6">
        <f>SUM(S13:S19)</f>
        <v>350</v>
      </c>
      <c r="T20" s="6">
        <f>SUM(T13:T19)</f>
        <v>183</v>
      </c>
      <c r="U20" s="6">
        <f t="shared" ref="U20:W20" si="132">SUM(U13:U19)</f>
        <v>280</v>
      </c>
      <c r="V20" s="6">
        <f t="shared" si="132"/>
        <v>180</v>
      </c>
      <c r="W20" s="6">
        <f t="shared" si="132"/>
        <v>218</v>
      </c>
      <c r="X20" s="5">
        <f>SUM(X13:X19)</f>
        <v>312</v>
      </c>
      <c r="Y20" s="5">
        <f>SUM(Y13:Y19)</f>
        <v>262</v>
      </c>
      <c r="Z20" s="5">
        <f t="shared" ref="Z20:AB20" si="133">SUM(Z13:Z19)</f>
        <v>321</v>
      </c>
      <c r="AA20" s="5">
        <f t="shared" si="133"/>
        <v>224</v>
      </c>
      <c r="AB20" s="5">
        <f t="shared" si="133"/>
        <v>242</v>
      </c>
      <c r="AC20" s="6">
        <f>SUM(AC13:AC19)</f>
        <v>294</v>
      </c>
      <c r="AD20" s="6">
        <f>SUM(AD13:AD19)</f>
        <v>359</v>
      </c>
      <c r="AE20" s="6">
        <f t="shared" ref="AE20:AG20" si="134">SUM(AE13:AE19)</f>
        <v>148</v>
      </c>
      <c r="AF20" s="6">
        <f t="shared" si="134"/>
        <v>196</v>
      </c>
      <c r="AG20" s="6">
        <f t="shared" si="134"/>
        <v>261</v>
      </c>
      <c r="AH20" s="5">
        <f>SUM(AH13:AH19)</f>
        <v>229</v>
      </c>
      <c r="AI20" s="5">
        <f>SUM(AI13:AI19)</f>
        <v>311</v>
      </c>
      <c r="AJ20" s="5">
        <f t="shared" ref="AJ20:AL20" si="135">SUM(AJ13:AJ19)</f>
        <v>150</v>
      </c>
      <c r="AK20" s="5">
        <f t="shared" si="135"/>
        <v>232</v>
      </c>
      <c r="AL20" s="5">
        <f t="shared" si="135"/>
        <v>388</v>
      </c>
      <c r="AM20" s="6">
        <f>SUM(AM13:AM19)</f>
        <v>226</v>
      </c>
      <c r="AN20" s="6">
        <f>SUM(AN13:AN19)</f>
        <v>232</v>
      </c>
      <c r="AO20" s="6">
        <f t="shared" ref="AO20:AQ20" si="136">SUM(AO13:AO19)</f>
        <v>122</v>
      </c>
      <c r="AP20" s="6">
        <f t="shared" si="136"/>
        <v>212</v>
      </c>
      <c r="AQ20" s="6">
        <f t="shared" si="136"/>
        <v>128</v>
      </c>
      <c r="AR20" s="5">
        <f>SUM(AR13:AR19)</f>
        <v>310</v>
      </c>
      <c r="AS20" s="5">
        <f>SUM(AS13:AS19)</f>
        <v>130</v>
      </c>
      <c r="AT20" s="5">
        <f t="shared" ref="AT20:AV20" si="137">SUM(AT13:AT19)</f>
        <v>121</v>
      </c>
      <c r="AU20" s="5">
        <f t="shared" si="137"/>
        <v>0</v>
      </c>
      <c r="AV20" s="5">
        <f t="shared" si="137"/>
        <v>0</v>
      </c>
      <c r="AW20" s="6">
        <f>SUM(AW13:AW19)</f>
        <v>310</v>
      </c>
      <c r="AX20" s="6">
        <f>SUM(AX13:AX19)</f>
        <v>251</v>
      </c>
      <c r="AY20" s="6">
        <f t="shared" ref="AY20:BA20" si="138">SUM(AY13:AY19)</f>
        <v>68</v>
      </c>
      <c r="AZ20" s="6">
        <f t="shared" si="138"/>
        <v>280</v>
      </c>
      <c r="BA20" s="6">
        <f t="shared" si="138"/>
        <v>0</v>
      </c>
      <c r="BB20" s="5">
        <f>SUM(BB13:BB19)</f>
        <v>590</v>
      </c>
      <c r="BC20" s="5">
        <f>SUM(BC13:BC19)</f>
        <v>39</v>
      </c>
      <c r="BD20" s="5">
        <f t="shared" ref="BD20:BF20" si="139">SUM(BD13:BD19)</f>
        <v>180</v>
      </c>
      <c r="BE20" s="5">
        <f t="shared" si="139"/>
        <v>200</v>
      </c>
      <c r="BF20" s="5">
        <f t="shared" si="139"/>
        <v>395</v>
      </c>
      <c r="BG20" s="6">
        <f>SUM(BG13:BG19)</f>
        <v>395</v>
      </c>
      <c r="BH20" s="6">
        <f>SUM(BH13:BH19)</f>
        <v>19</v>
      </c>
      <c r="BI20" s="6">
        <f t="shared" ref="BI20:BK20" si="140">SUM(BI13:BI19)</f>
        <v>174</v>
      </c>
      <c r="BJ20" s="6">
        <f t="shared" si="140"/>
        <v>118</v>
      </c>
      <c r="BK20" s="6">
        <f t="shared" si="140"/>
        <v>218</v>
      </c>
      <c r="BL20" s="5">
        <f>SUM(BL13:BL19)</f>
        <v>295</v>
      </c>
      <c r="BM20" s="5">
        <f>SUM(BM13:BM19)</f>
        <v>75</v>
      </c>
      <c r="BN20" s="5">
        <f t="shared" ref="BN20:BP20" si="141">SUM(BN13:BN19)</f>
        <v>306</v>
      </c>
      <c r="BO20" s="5">
        <f t="shared" si="141"/>
        <v>284</v>
      </c>
      <c r="BP20" s="5">
        <f t="shared" si="141"/>
        <v>135</v>
      </c>
      <c r="BQ20" s="6">
        <f>SUM(BQ13:BQ19)</f>
        <v>444</v>
      </c>
      <c r="BR20" s="6">
        <f>SUM(BR13:BR19)</f>
        <v>97</v>
      </c>
      <c r="BS20" s="6">
        <f t="shared" ref="BS20:BU20" si="142">SUM(BS13:BS19)</f>
        <v>279</v>
      </c>
      <c r="BT20" s="6">
        <f t="shared" si="142"/>
        <v>276</v>
      </c>
      <c r="BU20" s="6">
        <f t="shared" si="142"/>
        <v>298</v>
      </c>
      <c r="BV20" s="5">
        <f>SUM(BV13:BV19)</f>
        <v>120</v>
      </c>
      <c r="BW20" s="5">
        <f>SUM(BW13:BW19)</f>
        <v>100</v>
      </c>
      <c r="BX20" s="5">
        <f t="shared" ref="BX20:BZ20" si="143">SUM(BX13:BX19)</f>
        <v>216</v>
      </c>
      <c r="BY20" s="5">
        <f t="shared" si="143"/>
        <v>228</v>
      </c>
      <c r="BZ20" s="5">
        <f t="shared" si="143"/>
        <v>256</v>
      </c>
      <c r="CA20" s="6">
        <f>SUM(CA13:CA19)</f>
        <v>261</v>
      </c>
      <c r="CB20" s="6">
        <f>SUM(CB13:CB19)</f>
        <v>88</v>
      </c>
      <c r="CC20" s="6">
        <f t="shared" ref="CC20:CE20" si="144">SUM(CC13:CC19)</f>
        <v>361</v>
      </c>
      <c r="CD20" s="6">
        <f t="shared" si="144"/>
        <v>169</v>
      </c>
      <c r="CE20" s="6">
        <f t="shared" si="144"/>
        <v>254</v>
      </c>
      <c r="CF20" s="5">
        <f>SUM(CF13:CF19)</f>
        <v>176</v>
      </c>
      <c r="CG20" s="5">
        <f>SUM(CG13:CG19)</f>
        <v>280</v>
      </c>
      <c r="CH20" s="5">
        <f t="shared" ref="CH20:CJ20" si="145">SUM(CH13:CH19)</f>
        <v>196</v>
      </c>
      <c r="CI20" s="5">
        <f t="shared" si="145"/>
        <v>348</v>
      </c>
      <c r="CJ20" s="5">
        <f t="shared" si="145"/>
        <v>203</v>
      </c>
      <c r="CK20" s="6">
        <f>SUM(CK13:CK19)</f>
        <v>321</v>
      </c>
      <c r="CL20" s="6">
        <f>SUM(CL13:CL19)</f>
        <v>128</v>
      </c>
      <c r="CM20" s="6">
        <f t="shared" ref="CM20:CO20" si="146">SUM(CM13:CM19)</f>
        <v>208</v>
      </c>
      <c r="CN20" s="6">
        <f t="shared" si="146"/>
        <v>208</v>
      </c>
      <c r="CO20" s="6">
        <f t="shared" si="146"/>
        <v>273</v>
      </c>
      <c r="CP20" s="5">
        <f>SUM(CP13:CP19)</f>
        <v>223</v>
      </c>
      <c r="CQ20" s="5">
        <f>SUM(CQ13:CQ19)</f>
        <v>128</v>
      </c>
      <c r="CR20" s="5">
        <f t="shared" ref="CR20:CT20" si="147">SUM(CR13:CR19)</f>
        <v>302</v>
      </c>
      <c r="CS20" s="5">
        <f t="shared" si="147"/>
        <v>216</v>
      </c>
      <c r="CT20" s="5">
        <f t="shared" si="147"/>
        <v>143</v>
      </c>
      <c r="CU20" s="6">
        <f>SUM(CU13:CU19)</f>
        <v>296</v>
      </c>
      <c r="CV20" s="6">
        <f>SUM(CV13:CV19)</f>
        <v>214</v>
      </c>
      <c r="CW20" s="6">
        <f t="shared" ref="CW20:CY20" si="148">SUM(CW13:CW19)</f>
        <v>244</v>
      </c>
      <c r="CX20" s="6">
        <f t="shared" si="148"/>
        <v>128</v>
      </c>
      <c r="CY20" s="6">
        <f t="shared" si="148"/>
        <v>149</v>
      </c>
      <c r="CZ20" s="5">
        <f>SUM(CZ13:CZ19)</f>
        <v>275</v>
      </c>
      <c r="DA20" s="5">
        <f>SUM(DA13:DA19)</f>
        <v>330</v>
      </c>
      <c r="DB20" s="5">
        <f t="shared" ref="DB20:DD20" si="149">SUM(DB13:DB19)</f>
        <v>140</v>
      </c>
      <c r="DC20" s="5">
        <f t="shared" si="149"/>
        <v>140</v>
      </c>
      <c r="DD20" s="5">
        <f t="shared" si="149"/>
        <v>97</v>
      </c>
      <c r="DE20" s="6">
        <f>SUM(DE13:DE19)</f>
        <v>318</v>
      </c>
      <c r="DF20" s="6">
        <f>SUM(DF13:DF19)</f>
        <v>330</v>
      </c>
      <c r="DG20" s="6">
        <f t="shared" ref="DG20:DI20" si="150">SUM(DG13:DG19)</f>
        <v>192</v>
      </c>
      <c r="DH20" s="6">
        <f t="shared" si="150"/>
        <v>140</v>
      </c>
      <c r="DI20" s="6">
        <f t="shared" si="150"/>
        <v>195</v>
      </c>
      <c r="DJ20" s="5">
        <f>SUM(DJ13:DJ19)</f>
        <v>263</v>
      </c>
      <c r="DK20" s="5">
        <f>SUM(DK13:DK19)</f>
        <v>382</v>
      </c>
      <c r="DL20" s="5">
        <f t="shared" ref="DL20:DN20" si="151">SUM(DL13:DL19)</f>
        <v>286</v>
      </c>
      <c r="DM20" s="5">
        <f t="shared" si="151"/>
        <v>268</v>
      </c>
      <c r="DN20" s="5">
        <f t="shared" si="151"/>
        <v>231</v>
      </c>
      <c r="DO20" s="6">
        <f>SUM(DO13:DO19)</f>
        <v>300</v>
      </c>
      <c r="DP20" s="6">
        <f>SUM(DP13:DP19)</f>
        <v>400</v>
      </c>
      <c r="DQ20" s="6">
        <f t="shared" ref="DQ20:DS20" si="152">SUM(DQ13:DQ19)</f>
        <v>20</v>
      </c>
      <c r="DR20" s="6">
        <f t="shared" si="152"/>
        <v>192</v>
      </c>
      <c r="DS20" s="6">
        <f t="shared" si="152"/>
        <v>98</v>
      </c>
      <c r="DT20" s="5">
        <f>SUM(DT13:DT19)</f>
        <v>394</v>
      </c>
      <c r="DU20" s="5">
        <f>SUM(DU13:DU19)</f>
        <v>228</v>
      </c>
      <c r="DV20" s="5">
        <f t="shared" ref="DV20:DX20" si="153">SUM(DV13:DV19)</f>
        <v>24</v>
      </c>
      <c r="DW20" s="5">
        <f t="shared" si="153"/>
        <v>72</v>
      </c>
      <c r="DX20" s="5">
        <f t="shared" si="153"/>
        <v>76</v>
      </c>
      <c r="DY20" s="6">
        <f>SUM(DY13:DY19)</f>
        <v>390</v>
      </c>
      <c r="DZ20" s="6">
        <f>SUM(DZ13:DZ19)</f>
        <v>154</v>
      </c>
      <c r="EA20" s="6">
        <f t="shared" ref="EA20:EC20" si="154">SUM(EA13:EA19)</f>
        <v>150</v>
      </c>
      <c r="EB20" s="6">
        <f t="shared" si="154"/>
        <v>136</v>
      </c>
      <c r="EC20" s="6">
        <f t="shared" si="154"/>
        <v>243</v>
      </c>
      <c r="ED20" s="5">
        <f>SUM(ED13:ED19)</f>
        <v>283</v>
      </c>
      <c r="EE20" s="5">
        <f>SUM(EE13:EE19)</f>
        <v>168</v>
      </c>
      <c r="EF20" s="5">
        <f t="shared" ref="EF20:EH20" si="155">SUM(EF13:EF19)</f>
        <v>0</v>
      </c>
      <c r="EG20" s="5">
        <f t="shared" si="155"/>
        <v>0</v>
      </c>
      <c r="EH20" s="5">
        <f t="shared" si="155"/>
        <v>307</v>
      </c>
    </row>
    <row r="21" spans="1:138" x14ac:dyDescent="0.35">
      <c r="B21" s="33" t="s">
        <v>39</v>
      </c>
      <c r="C21" s="33"/>
      <c r="D21" s="5">
        <f>D20+D11</f>
        <v>626</v>
      </c>
      <c r="E21" s="5">
        <f t="shared" ref="E21:R21" si="156">E20+E11</f>
        <v>911</v>
      </c>
      <c r="F21" s="5">
        <f t="shared" si="156"/>
        <v>513</v>
      </c>
      <c r="G21" s="5">
        <f t="shared" si="156"/>
        <v>394</v>
      </c>
      <c r="H21" s="5">
        <f t="shared" si="156"/>
        <v>298</v>
      </c>
      <c r="I21" s="6">
        <f t="shared" si="156"/>
        <v>585</v>
      </c>
      <c r="J21" s="6">
        <f t="shared" si="156"/>
        <v>1058</v>
      </c>
      <c r="K21" s="6">
        <f t="shared" si="156"/>
        <v>429</v>
      </c>
      <c r="L21" s="6">
        <f t="shared" si="156"/>
        <v>550</v>
      </c>
      <c r="M21" s="6">
        <f t="shared" si="156"/>
        <v>605</v>
      </c>
      <c r="N21" s="5">
        <f t="shared" si="156"/>
        <v>530</v>
      </c>
      <c r="O21" s="5">
        <f t="shared" si="156"/>
        <v>979</v>
      </c>
      <c r="P21" s="5">
        <f t="shared" si="156"/>
        <v>132</v>
      </c>
      <c r="Q21" s="5">
        <f t="shared" si="156"/>
        <v>288</v>
      </c>
      <c r="R21" s="5">
        <f t="shared" si="156"/>
        <v>189</v>
      </c>
      <c r="S21" s="6">
        <f t="shared" ref="S21:W21" si="157">S20+S11</f>
        <v>629</v>
      </c>
      <c r="T21" s="6">
        <f t="shared" si="157"/>
        <v>785</v>
      </c>
      <c r="U21" s="6">
        <f t="shared" si="157"/>
        <v>518</v>
      </c>
      <c r="V21" s="6">
        <f t="shared" si="157"/>
        <v>516</v>
      </c>
      <c r="W21" s="6">
        <f t="shared" si="157"/>
        <v>532</v>
      </c>
      <c r="X21" s="5">
        <f t="shared" ref="X21:AB21" si="158">X20+X11</f>
        <v>613</v>
      </c>
      <c r="Y21" s="5">
        <f t="shared" si="158"/>
        <v>738</v>
      </c>
      <c r="Z21" s="5">
        <f t="shared" si="158"/>
        <v>559</v>
      </c>
      <c r="AA21" s="5">
        <f t="shared" si="158"/>
        <v>490</v>
      </c>
      <c r="AB21" s="5">
        <f t="shared" si="158"/>
        <v>532</v>
      </c>
      <c r="AC21" s="6">
        <f t="shared" ref="AC21:AG21" si="159">AC20+AC11</f>
        <v>622</v>
      </c>
      <c r="AD21" s="6">
        <f t="shared" si="159"/>
        <v>807</v>
      </c>
      <c r="AE21" s="6">
        <f t="shared" si="159"/>
        <v>400</v>
      </c>
      <c r="AF21" s="6">
        <f t="shared" si="159"/>
        <v>546</v>
      </c>
      <c r="AG21" s="6">
        <f t="shared" si="159"/>
        <v>598</v>
      </c>
      <c r="AH21" s="5">
        <f t="shared" ref="AH21:AL21" si="160">AH20+AH11</f>
        <v>570</v>
      </c>
      <c r="AI21" s="5">
        <f t="shared" si="160"/>
        <v>661</v>
      </c>
      <c r="AJ21" s="5">
        <f t="shared" si="160"/>
        <v>388</v>
      </c>
      <c r="AK21" s="5">
        <f t="shared" si="160"/>
        <v>526</v>
      </c>
      <c r="AL21" s="5">
        <f t="shared" si="160"/>
        <v>699</v>
      </c>
      <c r="AM21" s="6">
        <f t="shared" ref="AM21:AQ21" si="161">AM20+AM11</f>
        <v>550</v>
      </c>
      <c r="AN21" s="6">
        <f t="shared" si="161"/>
        <v>526</v>
      </c>
      <c r="AO21" s="6">
        <f t="shared" si="161"/>
        <v>458</v>
      </c>
      <c r="AP21" s="6">
        <f t="shared" si="161"/>
        <v>576</v>
      </c>
      <c r="AQ21" s="6">
        <f t="shared" si="161"/>
        <v>450</v>
      </c>
      <c r="AR21" s="5">
        <f t="shared" ref="AR21:AV21" si="162">AR20+AR11</f>
        <v>676</v>
      </c>
      <c r="AS21" s="5">
        <f t="shared" si="162"/>
        <v>354</v>
      </c>
      <c r="AT21" s="5">
        <f t="shared" si="162"/>
        <v>373</v>
      </c>
      <c r="AU21" s="5">
        <f t="shared" si="162"/>
        <v>364</v>
      </c>
      <c r="AV21" s="5">
        <f t="shared" si="162"/>
        <v>305</v>
      </c>
      <c r="AW21" s="6">
        <f t="shared" ref="AW21:BA21" si="163">AW20+AW11</f>
        <v>735</v>
      </c>
      <c r="AX21" s="6">
        <f t="shared" si="163"/>
        <v>363</v>
      </c>
      <c r="AY21" s="6">
        <f t="shared" si="163"/>
        <v>138</v>
      </c>
      <c r="AZ21" s="6">
        <f t="shared" si="163"/>
        <v>280</v>
      </c>
      <c r="BA21" s="6">
        <f t="shared" si="163"/>
        <v>0</v>
      </c>
      <c r="BB21" s="5">
        <f t="shared" ref="BB21:BF21" si="164">BB20+BB11</f>
        <v>927</v>
      </c>
      <c r="BC21" s="5">
        <f t="shared" si="164"/>
        <v>221</v>
      </c>
      <c r="BD21" s="5">
        <f t="shared" si="164"/>
        <v>446</v>
      </c>
      <c r="BE21" s="5">
        <f t="shared" si="164"/>
        <v>438</v>
      </c>
      <c r="BF21" s="5">
        <f t="shared" si="164"/>
        <v>600</v>
      </c>
      <c r="BG21" s="6">
        <f t="shared" ref="BG21:BK21" si="165">BG20+BG11</f>
        <v>765</v>
      </c>
      <c r="BH21" s="6">
        <f t="shared" si="165"/>
        <v>229</v>
      </c>
      <c r="BI21" s="6">
        <f t="shared" si="165"/>
        <v>398</v>
      </c>
      <c r="BJ21" s="6">
        <f t="shared" si="165"/>
        <v>356</v>
      </c>
      <c r="BK21" s="6">
        <f t="shared" si="165"/>
        <v>569</v>
      </c>
      <c r="BL21" s="5">
        <f t="shared" ref="BL21:BP21" si="166">BL20+BL11</f>
        <v>552</v>
      </c>
      <c r="BM21" s="5">
        <f t="shared" si="166"/>
        <v>271</v>
      </c>
      <c r="BN21" s="5">
        <f t="shared" si="166"/>
        <v>642</v>
      </c>
      <c r="BO21" s="5">
        <f t="shared" si="166"/>
        <v>592</v>
      </c>
      <c r="BP21" s="5">
        <f t="shared" si="166"/>
        <v>447</v>
      </c>
      <c r="BQ21" s="6">
        <f t="shared" ref="BQ21:BU21" si="167">BQ20+BQ11</f>
        <v>697</v>
      </c>
      <c r="BR21" s="6">
        <f t="shared" si="167"/>
        <v>321</v>
      </c>
      <c r="BS21" s="6">
        <f t="shared" si="167"/>
        <v>629</v>
      </c>
      <c r="BT21" s="6">
        <f t="shared" si="167"/>
        <v>528</v>
      </c>
      <c r="BU21" s="6">
        <f t="shared" si="167"/>
        <v>488</v>
      </c>
      <c r="BV21" s="5">
        <f t="shared" ref="BV21:BZ21" si="168">BV20+BV11</f>
        <v>449</v>
      </c>
      <c r="BW21" s="5">
        <f t="shared" si="168"/>
        <v>422</v>
      </c>
      <c r="BX21" s="5">
        <f t="shared" si="168"/>
        <v>356</v>
      </c>
      <c r="BY21" s="5">
        <f t="shared" si="168"/>
        <v>396</v>
      </c>
      <c r="BZ21" s="5">
        <f t="shared" si="168"/>
        <v>588</v>
      </c>
      <c r="CA21" s="6">
        <f t="shared" ref="CA21:CE21" si="169">CA20+CA11</f>
        <v>461</v>
      </c>
      <c r="CB21" s="6">
        <f t="shared" si="169"/>
        <v>382</v>
      </c>
      <c r="CC21" s="6">
        <f t="shared" si="169"/>
        <v>641</v>
      </c>
      <c r="CD21" s="6">
        <f t="shared" si="169"/>
        <v>463</v>
      </c>
      <c r="CE21" s="6">
        <f t="shared" si="169"/>
        <v>480</v>
      </c>
      <c r="CF21" s="5">
        <f t="shared" ref="CF21:CJ21" si="170">CF20+CF11</f>
        <v>444</v>
      </c>
      <c r="CG21" s="5">
        <f t="shared" si="170"/>
        <v>560</v>
      </c>
      <c r="CH21" s="5">
        <f t="shared" si="170"/>
        <v>476</v>
      </c>
      <c r="CI21" s="5">
        <f t="shared" si="170"/>
        <v>614</v>
      </c>
      <c r="CJ21" s="5">
        <f t="shared" si="170"/>
        <v>400</v>
      </c>
      <c r="CK21" s="6">
        <f t="shared" ref="CK21:CO21" si="171">CK20+CK11</f>
        <v>658</v>
      </c>
      <c r="CL21" s="6">
        <f t="shared" si="171"/>
        <v>422</v>
      </c>
      <c r="CM21" s="6">
        <f t="shared" si="171"/>
        <v>400</v>
      </c>
      <c r="CN21" s="6">
        <f t="shared" si="171"/>
        <v>460</v>
      </c>
      <c r="CO21" s="6">
        <f t="shared" si="171"/>
        <v>481</v>
      </c>
      <c r="CP21" s="5">
        <f t="shared" ref="CP21:CT21" si="172">CP20+CP11</f>
        <v>604</v>
      </c>
      <c r="CQ21" s="5">
        <f t="shared" si="172"/>
        <v>362</v>
      </c>
      <c r="CR21" s="5">
        <f t="shared" si="172"/>
        <v>540</v>
      </c>
      <c r="CS21" s="5">
        <f t="shared" si="172"/>
        <v>468</v>
      </c>
      <c r="CT21" s="5">
        <f t="shared" si="172"/>
        <v>470</v>
      </c>
      <c r="CU21" s="6">
        <f t="shared" ref="CU21:CY21" si="173">CU20+CU11</f>
        <v>602</v>
      </c>
      <c r="CV21" s="6">
        <f t="shared" si="173"/>
        <v>434</v>
      </c>
      <c r="CW21" s="6">
        <f t="shared" si="173"/>
        <v>514</v>
      </c>
      <c r="CX21" s="6">
        <f t="shared" si="173"/>
        <v>436</v>
      </c>
      <c r="CY21" s="6">
        <f t="shared" si="173"/>
        <v>440</v>
      </c>
      <c r="CZ21" s="5">
        <f t="shared" ref="CZ21:DD21" si="174">CZ20+CZ11</f>
        <v>598</v>
      </c>
      <c r="DA21" s="5">
        <f t="shared" si="174"/>
        <v>540</v>
      </c>
      <c r="DB21" s="5">
        <f t="shared" si="174"/>
        <v>462</v>
      </c>
      <c r="DC21" s="5">
        <f t="shared" si="174"/>
        <v>462</v>
      </c>
      <c r="DD21" s="5">
        <f t="shared" si="174"/>
        <v>423</v>
      </c>
      <c r="DE21" s="6">
        <f t="shared" ref="DE21:DI21" si="175">DE20+DE11</f>
        <v>637</v>
      </c>
      <c r="DF21" s="6">
        <f t="shared" si="175"/>
        <v>540</v>
      </c>
      <c r="DG21" s="6">
        <f t="shared" si="175"/>
        <v>514</v>
      </c>
      <c r="DH21" s="6">
        <f t="shared" si="175"/>
        <v>462</v>
      </c>
      <c r="DI21" s="6">
        <f t="shared" si="175"/>
        <v>475</v>
      </c>
      <c r="DJ21" s="5">
        <f t="shared" ref="DJ21:DN21" si="176">DJ20+DJ11</f>
        <v>624</v>
      </c>
      <c r="DK21" s="5">
        <f t="shared" si="176"/>
        <v>592</v>
      </c>
      <c r="DL21" s="5">
        <f t="shared" si="176"/>
        <v>328</v>
      </c>
      <c r="DM21" s="5">
        <f t="shared" si="176"/>
        <v>268</v>
      </c>
      <c r="DN21" s="5">
        <f t="shared" si="176"/>
        <v>231</v>
      </c>
      <c r="DO21" s="6">
        <f t="shared" ref="DO21:DS21" si="177">DO20+DO11</f>
        <v>661</v>
      </c>
      <c r="DP21" s="6">
        <f t="shared" si="177"/>
        <v>652</v>
      </c>
      <c r="DQ21" s="6">
        <f t="shared" si="177"/>
        <v>286</v>
      </c>
      <c r="DR21" s="6">
        <f t="shared" si="177"/>
        <v>192</v>
      </c>
      <c r="DS21" s="6">
        <f t="shared" si="177"/>
        <v>98</v>
      </c>
      <c r="DT21" s="5">
        <f t="shared" ref="DT21:DX21" si="178">DT20+DT11</f>
        <v>755</v>
      </c>
      <c r="DU21" s="5">
        <f t="shared" si="178"/>
        <v>746</v>
      </c>
      <c r="DV21" s="5">
        <f t="shared" si="178"/>
        <v>234</v>
      </c>
      <c r="DW21" s="5">
        <f t="shared" si="178"/>
        <v>352</v>
      </c>
      <c r="DX21" s="5">
        <f t="shared" si="178"/>
        <v>319</v>
      </c>
      <c r="DY21" s="6">
        <f t="shared" ref="DY21:EC21" si="179">DY20+DY11</f>
        <v>788</v>
      </c>
      <c r="DZ21" s="6">
        <f t="shared" si="179"/>
        <v>602</v>
      </c>
      <c r="EA21" s="6">
        <f t="shared" si="179"/>
        <v>388</v>
      </c>
      <c r="EB21" s="6">
        <f t="shared" si="179"/>
        <v>388</v>
      </c>
      <c r="EC21" s="6">
        <f t="shared" si="179"/>
        <v>434</v>
      </c>
      <c r="ED21" s="5">
        <f t="shared" ref="ED21:EH21" si="180">ED20+ED11</f>
        <v>742</v>
      </c>
      <c r="EE21" s="5">
        <f t="shared" si="180"/>
        <v>602</v>
      </c>
      <c r="EF21" s="5">
        <f t="shared" si="180"/>
        <v>0</v>
      </c>
      <c r="EG21" s="5">
        <f t="shared" si="180"/>
        <v>0</v>
      </c>
      <c r="EH21" s="5">
        <f t="shared" si="180"/>
        <v>419</v>
      </c>
    </row>
    <row r="22" spans="1:138" ht="14.5" customHeight="1" x14ac:dyDescent="0.35"/>
    <row r="23" spans="1:138" s="16" customFormat="1" x14ac:dyDescent="0.35">
      <c r="C23" s="16" t="s">
        <v>44</v>
      </c>
      <c r="D23" s="16">
        <f t="shared" ref="D23:BO23" si="181">D13+D14+D17</f>
        <v>145</v>
      </c>
      <c r="E23" s="16">
        <f t="shared" si="181"/>
        <v>256</v>
      </c>
      <c r="F23" s="16">
        <f t="shared" si="181"/>
        <v>105</v>
      </c>
      <c r="G23" s="16">
        <f t="shared" si="181"/>
        <v>92</v>
      </c>
      <c r="H23" s="16">
        <f t="shared" si="181"/>
        <v>152</v>
      </c>
      <c r="I23" s="16">
        <f t="shared" si="181"/>
        <v>85</v>
      </c>
      <c r="J23" s="16">
        <f t="shared" si="181"/>
        <v>269</v>
      </c>
      <c r="K23" s="16">
        <f t="shared" si="181"/>
        <v>84</v>
      </c>
      <c r="L23" s="16">
        <f t="shared" si="181"/>
        <v>184</v>
      </c>
      <c r="M23" s="16">
        <f t="shared" si="181"/>
        <v>131</v>
      </c>
      <c r="N23" s="16">
        <f t="shared" si="181"/>
        <v>138</v>
      </c>
      <c r="O23" s="16">
        <f t="shared" si="181"/>
        <v>169</v>
      </c>
      <c r="P23" s="16">
        <f t="shared" si="181"/>
        <v>52</v>
      </c>
      <c r="Q23" s="16">
        <f t="shared" si="181"/>
        <v>104</v>
      </c>
      <c r="R23" s="16">
        <f t="shared" si="181"/>
        <v>39</v>
      </c>
      <c r="S23" s="16">
        <f t="shared" si="181"/>
        <v>203</v>
      </c>
      <c r="T23" s="16">
        <f t="shared" si="181"/>
        <v>112</v>
      </c>
      <c r="U23" s="16">
        <f t="shared" si="181"/>
        <v>46</v>
      </c>
      <c r="V23" s="16">
        <f t="shared" si="181"/>
        <v>44</v>
      </c>
      <c r="W23" s="16">
        <f t="shared" si="181"/>
        <v>83</v>
      </c>
      <c r="X23" s="16">
        <f t="shared" si="181"/>
        <v>164</v>
      </c>
      <c r="Y23" s="16">
        <f t="shared" si="181"/>
        <v>114</v>
      </c>
      <c r="Z23" s="16">
        <f t="shared" si="181"/>
        <v>136</v>
      </c>
      <c r="AA23" s="16">
        <f t="shared" si="181"/>
        <v>80</v>
      </c>
      <c r="AB23" s="16">
        <f t="shared" si="181"/>
        <v>118</v>
      </c>
      <c r="AC23" s="16">
        <f t="shared" si="181"/>
        <v>126</v>
      </c>
      <c r="AD23" s="16">
        <f t="shared" si="181"/>
        <v>170</v>
      </c>
      <c r="AE23" s="16">
        <f t="shared" si="181"/>
        <v>64</v>
      </c>
      <c r="AF23" s="16">
        <f t="shared" si="181"/>
        <v>88</v>
      </c>
      <c r="AG23" s="16">
        <f t="shared" si="181"/>
        <v>110</v>
      </c>
      <c r="AH23" s="16">
        <f t="shared" si="181"/>
        <v>104</v>
      </c>
      <c r="AI23" s="16">
        <f t="shared" si="181"/>
        <v>146</v>
      </c>
      <c r="AJ23" s="16">
        <f t="shared" si="181"/>
        <v>25</v>
      </c>
      <c r="AK23" s="16">
        <f t="shared" si="181"/>
        <v>80</v>
      </c>
      <c r="AL23" s="16">
        <f t="shared" si="181"/>
        <v>147</v>
      </c>
      <c r="AM23" s="16">
        <f t="shared" si="181"/>
        <v>120</v>
      </c>
      <c r="AN23" s="16">
        <f t="shared" si="181"/>
        <v>91</v>
      </c>
      <c r="AO23" s="16">
        <f t="shared" si="181"/>
        <v>32</v>
      </c>
      <c r="AP23" s="16">
        <f t="shared" si="181"/>
        <v>72</v>
      </c>
      <c r="AQ23" s="16">
        <f t="shared" si="181"/>
        <v>80</v>
      </c>
      <c r="AR23" s="16">
        <f t="shared" si="181"/>
        <v>112</v>
      </c>
      <c r="AS23" s="16">
        <f t="shared" si="181"/>
        <v>51</v>
      </c>
      <c r="AT23" s="16">
        <f t="shared" si="181"/>
        <v>72</v>
      </c>
      <c r="AU23" s="16">
        <f t="shared" si="181"/>
        <v>0</v>
      </c>
      <c r="AV23" s="16">
        <f t="shared" si="181"/>
        <v>0</v>
      </c>
      <c r="AW23" s="16">
        <f t="shared" si="181"/>
        <v>112</v>
      </c>
      <c r="AX23" s="16">
        <f t="shared" si="181"/>
        <v>123</v>
      </c>
      <c r="AY23" s="16">
        <f t="shared" si="181"/>
        <v>12</v>
      </c>
      <c r="AZ23" s="16">
        <f t="shared" si="181"/>
        <v>120</v>
      </c>
      <c r="BA23" s="16">
        <f t="shared" si="181"/>
        <v>0</v>
      </c>
      <c r="BB23" s="16">
        <f t="shared" si="181"/>
        <v>232</v>
      </c>
      <c r="BC23" s="16">
        <f t="shared" si="181"/>
        <v>15</v>
      </c>
      <c r="BD23" s="16">
        <f t="shared" si="181"/>
        <v>84</v>
      </c>
      <c r="BE23" s="16">
        <f t="shared" si="181"/>
        <v>92</v>
      </c>
      <c r="BF23" s="16">
        <f t="shared" si="181"/>
        <v>149</v>
      </c>
      <c r="BG23" s="16">
        <f t="shared" si="181"/>
        <v>175</v>
      </c>
      <c r="BH23" s="16">
        <f t="shared" si="181"/>
        <v>7</v>
      </c>
      <c r="BI23" s="16">
        <f t="shared" si="181"/>
        <v>89</v>
      </c>
      <c r="BJ23" s="16">
        <f t="shared" si="181"/>
        <v>65</v>
      </c>
      <c r="BK23" s="16">
        <f t="shared" si="181"/>
        <v>115</v>
      </c>
      <c r="BL23" s="16">
        <f t="shared" si="181"/>
        <v>125</v>
      </c>
      <c r="BM23" s="16">
        <f t="shared" si="181"/>
        <v>31</v>
      </c>
      <c r="BN23" s="16">
        <f t="shared" si="181"/>
        <v>152</v>
      </c>
      <c r="BO23" s="16">
        <f t="shared" si="181"/>
        <v>146</v>
      </c>
      <c r="BP23" s="16">
        <f t="shared" ref="BP23:EA23" si="182">BP13+BP14+BP17</f>
        <v>84</v>
      </c>
      <c r="BQ23" s="16">
        <f t="shared" si="182"/>
        <v>187</v>
      </c>
      <c r="BR23" s="16">
        <f t="shared" si="182"/>
        <v>37</v>
      </c>
      <c r="BS23" s="16">
        <f t="shared" si="182"/>
        <v>155</v>
      </c>
      <c r="BT23" s="16">
        <f t="shared" si="182"/>
        <v>152</v>
      </c>
      <c r="BU23" s="16">
        <f t="shared" si="182"/>
        <v>186</v>
      </c>
      <c r="BV23" s="16">
        <f t="shared" si="182"/>
        <v>46</v>
      </c>
      <c r="BW23" s="16">
        <f t="shared" si="182"/>
        <v>40</v>
      </c>
      <c r="BX23" s="16">
        <f t="shared" si="182"/>
        <v>152</v>
      </c>
      <c r="BY23" s="16">
        <f t="shared" si="182"/>
        <v>132</v>
      </c>
      <c r="BZ23" s="16">
        <f t="shared" si="182"/>
        <v>146</v>
      </c>
      <c r="CA23" s="16">
        <f t="shared" si="182"/>
        <v>113</v>
      </c>
      <c r="CB23" s="16">
        <f t="shared" si="182"/>
        <v>60</v>
      </c>
      <c r="CC23" s="16">
        <f t="shared" si="182"/>
        <v>209</v>
      </c>
      <c r="CD23" s="16">
        <f t="shared" si="182"/>
        <v>125</v>
      </c>
      <c r="CE23" s="16">
        <f t="shared" si="182"/>
        <v>158</v>
      </c>
      <c r="CF23" s="16">
        <f t="shared" si="182"/>
        <v>80</v>
      </c>
      <c r="CG23" s="16">
        <f t="shared" si="182"/>
        <v>144</v>
      </c>
      <c r="CH23" s="16">
        <f t="shared" si="182"/>
        <v>144</v>
      </c>
      <c r="CI23" s="16">
        <f t="shared" si="182"/>
        <v>192</v>
      </c>
      <c r="CJ23" s="16">
        <f t="shared" si="182"/>
        <v>140</v>
      </c>
      <c r="CK23" s="16">
        <f t="shared" si="182"/>
        <v>132</v>
      </c>
      <c r="CL23" s="16">
        <f t="shared" si="182"/>
        <v>96</v>
      </c>
      <c r="CM23" s="16">
        <f t="shared" si="182"/>
        <v>136</v>
      </c>
      <c r="CN23" s="16">
        <f t="shared" si="182"/>
        <v>136</v>
      </c>
      <c r="CO23" s="16">
        <f t="shared" si="182"/>
        <v>174</v>
      </c>
      <c r="CP23" s="16">
        <f t="shared" si="182"/>
        <v>61</v>
      </c>
      <c r="CQ23" s="16">
        <f t="shared" si="182"/>
        <v>96</v>
      </c>
      <c r="CR23" s="16">
        <f t="shared" si="182"/>
        <v>174</v>
      </c>
      <c r="CS23" s="16">
        <f t="shared" si="182"/>
        <v>128</v>
      </c>
      <c r="CT23" s="16">
        <f t="shared" si="182"/>
        <v>64</v>
      </c>
      <c r="CU23" s="16">
        <f t="shared" si="182"/>
        <v>125</v>
      </c>
      <c r="CV23" s="16">
        <f t="shared" si="182"/>
        <v>142</v>
      </c>
      <c r="CW23" s="16">
        <f t="shared" si="182"/>
        <v>90</v>
      </c>
      <c r="CX23" s="16">
        <f t="shared" si="182"/>
        <v>64</v>
      </c>
      <c r="CY23" s="16">
        <f t="shared" si="182"/>
        <v>74</v>
      </c>
      <c r="CZ23" s="16">
        <f t="shared" si="182"/>
        <v>115</v>
      </c>
      <c r="DA23" s="16">
        <f t="shared" si="182"/>
        <v>168</v>
      </c>
      <c r="DB23" s="16">
        <f t="shared" si="182"/>
        <v>60</v>
      </c>
      <c r="DC23" s="16">
        <f t="shared" si="182"/>
        <v>60</v>
      </c>
      <c r="DD23" s="16">
        <f t="shared" si="182"/>
        <v>64</v>
      </c>
      <c r="DE23" s="16">
        <f t="shared" si="182"/>
        <v>111</v>
      </c>
      <c r="DF23" s="16">
        <f t="shared" si="182"/>
        <v>168</v>
      </c>
      <c r="DG23" s="16">
        <f t="shared" si="182"/>
        <v>144</v>
      </c>
      <c r="DH23" s="16">
        <f t="shared" si="182"/>
        <v>64</v>
      </c>
      <c r="DI23" s="16">
        <f t="shared" si="182"/>
        <v>90</v>
      </c>
      <c r="DJ23" s="16">
        <f t="shared" si="182"/>
        <v>85</v>
      </c>
      <c r="DK23" s="16">
        <f t="shared" si="182"/>
        <v>248</v>
      </c>
      <c r="DL23" s="16">
        <f t="shared" si="182"/>
        <v>120</v>
      </c>
      <c r="DM23" s="16">
        <f t="shared" si="182"/>
        <v>116</v>
      </c>
      <c r="DN23" s="16">
        <f t="shared" si="182"/>
        <v>79</v>
      </c>
      <c r="DO23" s="16">
        <f t="shared" si="182"/>
        <v>122</v>
      </c>
      <c r="DP23" s="16">
        <f t="shared" si="182"/>
        <v>252</v>
      </c>
      <c r="DQ23" s="16">
        <f t="shared" si="182"/>
        <v>0</v>
      </c>
      <c r="DR23" s="16">
        <f t="shared" si="182"/>
        <v>72</v>
      </c>
      <c r="DS23" s="16">
        <f t="shared" si="182"/>
        <v>38</v>
      </c>
      <c r="DT23" s="16">
        <f t="shared" si="182"/>
        <v>156</v>
      </c>
      <c r="DU23" s="16">
        <f t="shared" si="182"/>
        <v>180</v>
      </c>
      <c r="DV23" s="16">
        <f t="shared" si="182"/>
        <v>0</v>
      </c>
      <c r="DW23" s="16">
        <f t="shared" si="182"/>
        <v>32</v>
      </c>
      <c r="DX23" s="16">
        <f t="shared" si="182"/>
        <v>63</v>
      </c>
      <c r="DY23" s="16">
        <f t="shared" si="182"/>
        <v>125</v>
      </c>
      <c r="DZ23" s="16">
        <f t="shared" si="182"/>
        <v>136</v>
      </c>
      <c r="EA23" s="16">
        <f t="shared" si="182"/>
        <v>48</v>
      </c>
      <c r="EB23" s="16">
        <f t="shared" ref="EB23:EF23" si="183">EB13+EB14+EB17</f>
        <v>60</v>
      </c>
      <c r="EC23" s="16">
        <f t="shared" si="183"/>
        <v>77</v>
      </c>
      <c r="ED23" s="16">
        <f t="shared" si="183"/>
        <v>108</v>
      </c>
      <c r="EE23" s="16">
        <f t="shared" si="183"/>
        <v>124</v>
      </c>
      <c r="EF23" s="16">
        <f t="shared" si="183"/>
        <v>0</v>
      </c>
      <c r="EG23" s="16">
        <f t="shared" ref="EG23:EH23" si="184">EG13+EG14+EG17</f>
        <v>0</v>
      </c>
      <c r="EH23" s="16">
        <f t="shared" si="184"/>
        <v>187</v>
      </c>
    </row>
    <row r="24" spans="1:138" s="16" customFormat="1" x14ac:dyDescent="0.35">
      <c r="C24" s="16" t="s">
        <v>45</v>
      </c>
      <c r="D24" s="16">
        <f t="shared" ref="D24:BO24" si="185">D15+D16+D18+D19</f>
        <v>174</v>
      </c>
      <c r="E24" s="16">
        <f t="shared" si="185"/>
        <v>165</v>
      </c>
      <c r="F24" s="16">
        <f t="shared" si="185"/>
        <v>170</v>
      </c>
      <c r="G24" s="16">
        <f t="shared" si="185"/>
        <v>92</v>
      </c>
      <c r="H24" s="16">
        <f t="shared" si="185"/>
        <v>146</v>
      </c>
      <c r="I24" s="16">
        <f t="shared" si="185"/>
        <v>120</v>
      </c>
      <c r="J24" s="16">
        <f t="shared" si="185"/>
        <v>243</v>
      </c>
      <c r="K24" s="16">
        <f t="shared" si="185"/>
        <v>121</v>
      </c>
      <c r="L24" s="16">
        <f t="shared" si="185"/>
        <v>156</v>
      </c>
      <c r="M24" s="16">
        <f t="shared" si="185"/>
        <v>163</v>
      </c>
      <c r="N24" s="16">
        <f t="shared" si="185"/>
        <v>113</v>
      </c>
      <c r="O24" s="16">
        <f t="shared" si="185"/>
        <v>208</v>
      </c>
      <c r="P24" s="16">
        <f t="shared" si="185"/>
        <v>80</v>
      </c>
      <c r="Q24" s="16">
        <f t="shared" si="185"/>
        <v>184</v>
      </c>
      <c r="R24" s="16">
        <f t="shared" si="185"/>
        <v>150</v>
      </c>
      <c r="S24" s="16">
        <f t="shared" si="185"/>
        <v>147</v>
      </c>
      <c r="T24" s="16">
        <f t="shared" si="185"/>
        <v>71</v>
      </c>
      <c r="U24" s="16">
        <f t="shared" si="185"/>
        <v>234</v>
      </c>
      <c r="V24" s="16">
        <f t="shared" si="185"/>
        <v>136</v>
      </c>
      <c r="W24" s="16">
        <f t="shared" si="185"/>
        <v>135</v>
      </c>
      <c r="X24" s="16">
        <f t="shared" si="185"/>
        <v>148</v>
      </c>
      <c r="Y24" s="16">
        <f t="shared" si="185"/>
        <v>148</v>
      </c>
      <c r="Z24" s="16">
        <f t="shared" si="185"/>
        <v>185</v>
      </c>
      <c r="AA24" s="16">
        <f t="shared" si="185"/>
        <v>144</v>
      </c>
      <c r="AB24" s="16">
        <f t="shared" si="185"/>
        <v>124</v>
      </c>
      <c r="AC24" s="16">
        <f t="shared" si="185"/>
        <v>168</v>
      </c>
      <c r="AD24" s="16">
        <f t="shared" si="185"/>
        <v>189</v>
      </c>
      <c r="AE24" s="16">
        <f t="shared" si="185"/>
        <v>84</v>
      </c>
      <c r="AF24" s="16">
        <f t="shared" si="185"/>
        <v>108</v>
      </c>
      <c r="AG24" s="16">
        <f t="shared" si="185"/>
        <v>151</v>
      </c>
      <c r="AH24" s="16">
        <f t="shared" si="185"/>
        <v>125</v>
      </c>
      <c r="AI24" s="16">
        <f t="shared" si="185"/>
        <v>165</v>
      </c>
      <c r="AJ24" s="16">
        <f t="shared" si="185"/>
        <v>125</v>
      </c>
      <c r="AK24" s="16">
        <f t="shared" si="185"/>
        <v>152</v>
      </c>
      <c r="AL24" s="16">
        <f t="shared" si="185"/>
        <v>241</v>
      </c>
      <c r="AM24" s="16">
        <f t="shared" si="185"/>
        <v>106</v>
      </c>
      <c r="AN24" s="16">
        <f t="shared" si="185"/>
        <v>141</v>
      </c>
      <c r="AO24" s="16">
        <f t="shared" si="185"/>
        <v>90</v>
      </c>
      <c r="AP24" s="16">
        <f t="shared" si="185"/>
        <v>140</v>
      </c>
      <c r="AQ24" s="16">
        <f t="shared" si="185"/>
        <v>48</v>
      </c>
      <c r="AR24" s="16">
        <f t="shared" si="185"/>
        <v>198</v>
      </c>
      <c r="AS24" s="16">
        <f t="shared" si="185"/>
        <v>79</v>
      </c>
      <c r="AT24" s="16">
        <f t="shared" si="185"/>
        <v>49</v>
      </c>
      <c r="AU24" s="16">
        <f t="shared" si="185"/>
        <v>0</v>
      </c>
      <c r="AV24" s="16">
        <f t="shared" si="185"/>
        <v>0</v>
      </c>
      <c r="AW24" s="16">
        <f t="shared" si="185"/>
        <v>198</v>
      </c>
      <c r="AX24" s="16">
        <f t="shared" si="185"/>
        <v>128</v>
      </c>
      <c r="AY24" s="16">
        <f t="shared" si="185"/>
        <v>56</v>
      </c>
      <c r="AZ24" s="16">
        <f t="shared" si="185"/>
        <v>160</v>
      </c>
      <c r="BA24" s="16">
        <f t="shared" si="185"/>
        <v>0</v>
      </c>
      <c r="BB24" s="16">
        <f t="shared" si="185"/>
        <v>358</v>
      </c>
      <c r="BC24" s="16">
        <f t="shared" si="185"/>
        <v>24</v>
      </c>
      <c r="BD24" s="16">
        <f t="shared" si="185"/>
        <v>96</v>
      </c>
      <c r="BE24" s="16">
        <f t="shared" si="185"/>
        <v>108</v>
      </c>
      <c r="BF24" s="16">
        <f t="shared" si="185"/>
        <v>246</v>
      </c>
      <c r="BG24" s="16">
        <f t="shared" si="185"/>
        <v>220</v>
      </c>
      <c r="BH24" s="16">
        <f t="shared" si="185"/>
        <v>12</v>
      </c>
      <c r="BI24" s="16">
        <f t="shared" si="185"/>
        <v>85</v>
      </c>
      <c r="BJ24" s="16">
        <f t="shared" si="185"/>
        <v>53</v>
      </c>
      <c r="BK24" s="16">
        <f t="shared" si="185"/>
        <v>103</v>
      </c>
      <c r="BL24" s="16">
        <f t="shared" si="185"/>
        <v>170</v>
      </c>
      <c r="BM24" s="16">
        <f t="shared" si="185"/>
        <v>44</v>
      </c>
      <c r="BN24" s="16">
        <f t="shared" si="185"/>
        <v>154</v>
      </c>
      <c r="BO24" s="16">
        <f t="shared" si="185"/>
        <v>138</v>
      </c>
      <c r="BP24" s="16">
        <f t="shared" ref="BP24:EA24" si="186">BP15+BP16+BP18+BP19</f>
        <v>51</v>
      </c>
      <c r="BQ24" s="16">
        <f t="shared" si="186"/>
        <v>257</v>
      </c>
      <c r="BR24" s="16">
        <f t="shared" si="186"/>
        <v>60</v>
      </c>
      <c r="BS24" s="16">
        <f t="shared" si="186"/>
        <v>124</v>
      </c>
      <c r="BT24" s="16">
        <f t="shared" si="186"/>
        <v>124</v>
      </c>
      <c r="BU24" s="16">
        <f t="shared" si="186"/>
        <v>112</v>
      </c>
      <c r="BV24" s="16">
        <f t="shared" si="186"/>
        <v>74</v>
      </c>
      <c r="BW24" s="16">
        <f t="shared" si="186"/>
        <v>60</v>
      </c>
      <c r="BX24" s="16">
        <f t="shared" si="186"/>
        <v>64</v>
      </c>
      <c r="BY24" s="16">
        <f t="shared" si="186"/>
        <v>96</v>
      </c>
      <c r="BZ24" s="16">
        <f t="shared" si="186"/>
        <v>110</v>
      </c>
      <c r="CA24" s="16">
        <f t="shared" si="186"/>
        <v>148</v>
      </c>
      <c r="CB24" s="16">
        <f t="shared" si="186"/>
        <v>28</v>
      </c>
      <c r="CC24" s="16">
        <f t="shared" si="186"/>
        <v>152</v>
      </c>
      <c r="CD24" s="16">
        <f t="shared" si="186"/>
        <v>44</v>
      </c>
      <c r="CE24" s="16">
        <f t="shared" si="186"/>
        <v>96</v>
      </c>
      <c r="CF24" s="16">
        <f t="shared" si="186"/>
        <v>96</v>
      </c>
      <c r="CG24" s="16">
        <f t="shared" si="186"/>
        <v>136</v>
      </c>
      <c r="CH24" s="16">
        <f t="shared" si="186"/>
        <v>52</v>
      </c>
      <c r="CI24" s="16">
        <f t="shared" si="186"/>
        <v>156</v>
      </c>
      <c r="CJ24" s="16">
        <f t="shared" si="186"/>
        <v>63</v>
      </c>
      <c r="CK24" s="16">
        <f t="shared" si="186"/>
        <v>189</v>
      </c>
      <c r="CL24" s="16">
        <f t="shared" si="186"/>
        <v>32</v>
      </c>
      <c r="CM24" s="16">
        <f t="shared" si="186"/>
        <v>72</v>
      </c>
      <c r="CN24" s="16">
        <f t="shared" si="186"/>
        <v>72</v>
      </c>
      <c r="CO24" s="16">
        <f t="shared" si="186"/>
        <v>99</v>
      </c>
      <c r="CP24" s="16">
        <f t="shared" si="186"/>
        <v>162</v>
      </c>
      <c r="CQ24" s="16">
        <f t="shared" si="186"/>
        <v>32</v>
      </c>
      <c r="CR24" s="16">
        <f t="shared" si="186"/>
        <v>128</v>
      </c>
      <c r="CS24" s="16">
        <f t="shared" si="186"/>
        <v>88</v>
      </c>
      <c r="CT24" s="16">
        <f t="shared" si="186"/>
        <v>79</v>
      </c>
      <c r="CU24" s="16">
        <f t="shared" si="186"/>
        <v>171</v>
      </c>
      <c r="CV24" s="16">
        <f t="shared" si="186"/>
        <v>72</v>
      </c>
      <c r="CW24" s="16">
        <f t="shared" si="186"/>
        <v>154</v>
      </c>
      <c r="CX24" s="16">
        <f t="shared" si="186"/>
        <v>64</v>
      </c>
      <c r="CY24" s="16">
        <f t="shared" si="186"/>
        <v>75</v>
      </c>
      <c r="CZ24" s="16">
        <f t="shared" si="186"/>
        <v>160</v>
      </c>
      <c r="DA24" s="16">
        <f t="shared" si="186"/>
        <v>162</v>
      </c>
      <c r="DB24" s="16">
        <f t="shared" si="186"/>
        <v>80</v>
      </c>
      <c r="DC24" s="16">
        <f t="shared" si="186"/>
        <v>80</v>
      </c>
      <c r="DD24" s="16">
        <f t="shared" si="186"/>
        <v>33</v>
      </c>
      <c r="DE24" s="16">
        <f t="shared" si="186"/>
        <v>207</v>
      </c>
      <c r="DF24" s="16">
        <f t="shared" si="186"/>
        <v>162</v>
      </c>
      <c r="DG24" s="16">
        <f t="shared" si="186"/>
        <v>48</v>
      </c>
      <c r="DH24" s="16">
        <f t="shared" si="186"/>
        <v>76</v>
      </c>
      <c r="DI24" s="16">
        <f t="shared" si="186"/>
        <v>105</v>
      </c>
      <c r="DJ24" s="16">
        <f t="shared" si="186"/>
        <v>178</v>
      </c>
      <c r="DK24" s="16">
        <f t="shared" si="186"/>
        <v>134</v>
      </c>
      <c r="DL24" s="16">
        <f t="shared" si="186"/>
        <v>166</v>
      </c>
      <c r="DM24" s="16">
        <f t="shared" si="186"/>
        <v>152</v>
      </c>
      <c r="DN24" s="16">
        <f t="shared" si="186"/>
        <v>152</v>
      </c>
      <c r="DO24" s="16">
        <f t="shared" si="186"/>
        <v>178</v>
      </c>
      <c r="DP24" s="16">
        <f t="shared" si="186"/>
        <v>148</v>
      </c>
      <c r="DQ24" s="16">
        <f t="shared" si="186"/>
        <v>20</v>
      </c>
      <c r="DR24" s="16">
        <f t="shared" si="186"/>
        <v>120</v>
      </c>
      <c r="DS24" s="16">
        <f t="shared" si="186"/>
        <v>60</v>
      </c>
      <c r="DT24" s="16">
        <f t="shared" si="186"/>
        <v>238</v>
      </c>
      <c r="DU24" s="16">
        <f t="shared" si="186"/>
        <v>48</v>
      </c>
      <c r="DV24" s="16">
        <f t="shared" si="186"/>
        <v>24</v>
      </c>
      <c r="DW24" s="16">
        <f t="shared" si="186"/>
        <v>40</v>
      </c>
      <c r="DX24" s="16">
        <f t="shared" si="186"/>
        <v>13</v>
      </c>
      <c r="DY24" s="16">
        <f t="shared" si="186"/>
        <v>265</v>
      </c>
      <c r="DZ24" s="16">
        <f t="shared" si="186"/>
        <v>18</v>
      </c>
      <c r="EA24" s="16">
        <f t="shared" si="186"/>
        <v>102</v>
      </c>
      <c r="EB24" s="16">
        <f t="shared" ref="EB24:EF24" si="187">EB15+EB16+EB18+EB19</f>
        <v>76</v>
      </c>
      <c r="EC24" s="16">
        <f t="shared" si="187"/>
        <v>166</v>
      </c>
      <c r="ED24" s="16">
        <f t="shared" si="187"/>
        <v>175</v>
      </c>
      <c r="EE24" s="16">
        <f t="shared" si="187"/>
        <v>44</v>
      </c>
      <c r="EF24" s="16">
        <f t="shared" si="187"/>
        <v>0</v>
      </c>
      <c r="EG24" s="16">
        <f t="shared" ref="EG24:EH24" si="188">EG15+EG16+EG18+EG19</f>
        <v>0</v>
      </c>
      <c r="EH24" s="16">
        <f t="shared" si="188"/>
        <v>120</v>
      </c>
    </row>
    <row r="25" spans="1:138" s="16" customFormat="1" x14ac:dyDescent="0.35"/>
    <row r="26" spans="1:138" x14ac:dyDescent="0.35">
      <c r="B26" s="16"/>
      <c r="C26" s="16"/>
      <c r="EA26" t="s">
        <v>53</v>
      </c>
      <c r="EF26" t="s">
        <v>53</v>
      </c>
    </row>
    <row r="27" spans="1:138" x14ac:dyDescent="0.35">
      <c r="B27" s="3">
        <v>52</v>
      </c>
      <c r="C27" s="12">
        <v>80</v>
      </c>
      <c r="EA27" t="s">
        <v>54</v>
      </c>
      <c r="EF27" t="s">
        <v>54</v>
      </c>
    </row>
    <row r="28" spans="1:138" x14ac:dyDescent="0.35">
      <c r="B28" s="3">
        <v>28</v>
      </c>
      <c r="C28" s="12">
        <v>25</v>
      </c>
      <c r="EA28" t="s">
        <v>55</v>
      </c>
      <c r="EF28" t="s">
        <v>55</v>
      </c>
    </row>
    <row r="29" spans="1:138" x14ac:dyDescent="0.35">
      <c r="B29" s="3">
        <v>70</v>
      </c>
      <c r="C29" s="12">
        <v>56</v>
      </c>
      <c r="EA29" t="s">
        <v>56</v>
      </c>
      <c r="EF29" t="s">
        <v>56</v>
      </c>
    </row>
    <row r="30" spans="1:138" x14ac:dyDescent="0.35">
      <c r="B30" s="3">
        <v>56</v>
      </c>
      <c r="C30" s="12">
        <v>56</v>
      </c>
    </row>
    <row r="31" spans="1:138" x14ac:dyDescent="0.35">
      <c r="B31" s="3">
        <v>40</v>
      </c>
      <c r="C31" s="12">
        <v>40</v>
      </c>
    </row>
    <row r="32" spans="1:138" x14ac:dyDescent="0.35">
      <c r="B32" s="3">
        <v>30</v>
      </c>
      <c r="C32" s="12">
        <v>42</v>
      </c>
    </row>
    <row r="33" spans="2:3" x14ac:dyDescent="0.35">
      <c r="B33" s="3">
        <v>31</v>
      </c>
      <c r="C33" s="12">
        <v>20</v>
      </c>
    </row>
    <row r="34" spans="2:3" x14ac:dyDescent="0.35">
      <c r="B34" s="12"/>
      <c r="C34" s="3"/>
    </row>
    <row r="35" spans="2:3" x14ac:dyDescent="0.35">
      <c r="B35" s="12"/>
    </row>
  </sheetData>
  <mergeCells count="30">
    <mergeCell ref="DE2:DI2"/>
    <mergeCell ref="CU2:CY2"/>
    <mergeCell ref="BV2:BZ2"/>
    <mergeCell ref="CA2:CE2"/>
    <mergeCell ref="CF2:CJ2"/>
    <mergeCell ref="AC2:AG2"/>
    <mergeCell ref="B21:C21"/>
    <mergeCell ref="D2:H2"/>
    <mergeCell ref="I2:M2"/>
    <mergeCell ref="X2:AB2"/>
    <mergeCell ref="S2:W2"/>
    <mergeCell ref="N2:R2"/>
    <mergeCell ref="B11:C11"/>
    <mergeCell ref="B20:C20"/>
    <mergeCell ref="ED2:EH2"/>
    <mergeCell ref="CK2:CO2"/>
    <mergeCell ref="CP2:CT2"/>
    <mergeCell ref="AH2:AL2"/>
    <mergeCell ref="AM2:AQ2"/>
    <mergeCell ref="DJ2:DN2"/>
    <mergeCell ref="DO2:DS2"/>
    <mergeCell ref="DT2:DX2"/>
    <mergeCell ref="DY2:EC2"/>
    <mergeCell ref="AR2:AV2"/>
    <mergeCell ref="BL2:BP2"/>
    <mergeCell ref="BQ2:BU2"/>
    <mergeCell ref="BB2:BF2"/>
    <mergeCell ref="BG2:BK2"/>
    <mergeCell ref="AW2:BA2"/>
    <mergeCell ref="CZ2:DD2"/>
  </mergeCells>
  <pageMargins left="0.7" right="0.7" top="0.75" bottom="0.75" header="0.3" footer="0.3"/>
  <headerFooter>
    <oddFooter>&amp;L_x000D_&amp;1#&amp;"Calibri Light"&amp;8&amp;K000000 Classified as Public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C129D-94FD-4A2B-9CD5-E18957C101C0}">
  <dimension ref="A2:FU35"/>
  <sheetViews>
    <sheetView zoomScale="60" zoomScaleNormal="60" workbookViewId="0">
      <pane xSplit="2" ySplit="3" topLeftCell="DX4" activePane="bottomRight" state="frozen"/>
      <selection pane="topRight" activeCell="C1" sqref="C1"/>
      <selection pane="bottomLeft" activeCell="A4" sqref="A4"/>
      <selection pane="bottomRight"/>
    </sheetView>
  </sheetViews>
  <sheetFormatPr defaultRowHeight="14.5" x14ac:dyDescent="0.35"/>
  <cols>
    <col min="1" max="1" width="16.6328125" bestFit="1" customWidth="1"/>
    <col min="2" max="2" width="14.453125" bestFit="1" customWidth="1"/>
    <col min="3" max="4" width="9.36328125" hidden="1" customWidth="1"/>
    <col min="5" max="5" width="10.08984375" hidden="1" customWidth="1"/>
    <col min="6" max="6" width="8.7265625" hidden="1" customWidth="1"/>
    <col min="7" max="7" width="9.1796875" hidden="1" customWidth="1"/>
    <col min="8" max="9" width="9.36328125" hidden="1" customWidth="1"/>
    <col min="10" max="10" width="10.08984375" hidden="1" customWidth="1"/>
    <col min="11" max="11" width="8.7265625" hidden="1" customWidth="1"/>
    <col min="12" max="12" width="9.1796875" hidden="1" customWidth="1"/>
    <col min="13" max="14" width="9.36328125" hidden="1" customWidth="1"/>
    <col min="15" max="15" width="10.08984375" hidden="1" customWidth="1"/>
    <col min="16" max="16" width="8.7265625" hidden="1" customWidth="1"/>
    <col min="17" max="17" width="9.1796875" hidden="1" customWidth="1"/>
    <col min="18" max="19" width="9.36328125" hidden="1" customWidth="1"/>
    <col min="20" max="20" width="10.08984375" hidden="1" customWidth="1"/>
    <col min="21" max="21" width="8.7265625" hidden="1" customWidth="1"/>
    <col min="22" max="22" width="9.1796875" hidden="1" customWidth="1"/>
    <col min="23" max="24" width="9.36328125" hidden="1" customWidth="1"/>
    <col min="25" max="25" width="10.08984375" hidden="1" customWidth="1"/>
    <col min="26" max="26" width="8.7265625" hidden="1" customWidth="1"/>
    <col min="27" max="27" width="9.1796875" hidden="1" customWidth="1"/>
    <col min="28" max="29" width="9.36328125" hidden="1" customWidth="1"/>
    <col min="30" max="30" width="10.08984375" hidden="1" customWidth="1"/>
    <col min="31" max="31" width="8.7265625" hidden="1" customWidth="1"/>
    <col min="32" max="32" width="9.1796875" hidden="1" customWidth="1"/>
    <col min="33" max="34" width="9.36328125" hidden="1" customWidth="1"/>
    <col min="35" max="35" width="10.08984375" hidden="1" customWidth="1"/>
    <col min="36" max="36" width="8.7265625" hidden="1" customWidth="1"/>
    <col min="37" max="37" width="9.1796875" hidden="1" customWidth="1"/>
    <col min="38" max="39" width="9.36328125" hidden="1" customWidth="1"/>
    <col min="40" max="40" width="10.08984375" hidden="1" customWidth="1"/>
    <col min="41" max="41" width="8.7265625" hidden="1" customWidth="1"/>
    <col min="42" max="42" width="9.1796875" hidden="1" customWidth="1"/>
    <col min="43" max="44" width="9.36328125" hidden="1" customWidth="1"/>
    <col min="45" max="45" width="10.08984375" hidden="1" customWidth="1"/>
    <col min="46" max="46" width="8.7265625" hidden="1" customWidth="1"/>
    <col min="47" max="47" width="9.1796875" hidden="1" customWidth="1"/>
    <col min="48" max="49" width="9.36328125" hidden="1" customWidth="1"/>
    <col min="50" max="50" width="10.08984375" hidden="1" customWidth="1"/>
    <col min="51" max="51" width="8.7265625" hidden="1" customWidth="1"/>
    <col min="52" max="52" width="9.1796875" hidden="1" customWidth="1"/>
    <col min="53" max="54" width="9.36328125" hidden="1" customWidth="1"/>
    <col min="55" max="55" width="10.08984375" hidden="1" customWidth="1"/>
    <col min="56" max="56" width="8.7265625" hidden="1" customWidth="1"/>
    <col min="57" max="57" width="9.1796875" hidden="1" customWidth="1"/>
    <col min="58" max="59" width="9.36328125" hidden="1" customWidth="1"/>
    <col min="60" max="60" width="10.08984375" hidden="1" customWidth="1"/>
    <col min="61" max="61" width="8.7265625" hidden="1" customWidth="1"/>
    <col min="62" max="62" width="9.1796875" hidden="1" customWidth="1"/>
    <col min="63" max="64" width="9.36328125" hidden="1" customWidth="1"/>
    <col min="65" max="65" width="10.08984375" hidden="1" customWidth="1"/>
    <col min="66" max="66" width="8.7265625" hidden="1" customWidth="1"/>
    <col min="67" max="67" width="9.1796875" hidden="1" customWidth="1"/>
    <col min="68" max="69" width="9.36328125" hidden="1" customWidth="1"/>
    <col min="70" max="70" width="10.08984375" hidden="1" customWidth="1"/>
    <col min="71" max="71" width="8.7265625" hidden="1" customWidth="1"/>
    <col min="72" max="72" width="9.1796875" hidden="1" customWidth="1"/>
    <col min="73" max="74" width="9.36328125" hidden="1" customWidth="1"/>
    <col min="75" max="75" width="10.08984375" hidden="1" customWidth="1"/>
    <col min="76" max="76" width="8.7265625" hidden="1" customWidth="1"/>
    <col min="77" max="77" width="9.1796875" hidden="1" customWidth="1"/>
    <col min="78" max="79" width="9.36328125" hidden="1" customWidth="1"/>
    <col min="80" max="80" width="10.08984375" hidden="1" customWidth="1"/>
    <col min="81" max="81" width="8.7265625" hidden="1" customWidth="1"/>
    <col min="82" max="82" width="9.1796875" hidden="1" customWidth="1"/>
    <col min="83" max="84" width="9.36328125" hidden="1" customWidth="1"/>
    <col min="85" max="85" width="10.08984375" hidden="1" customWidth="1"/>
    <col min="86" max="86" width="0" hidden="1" customWidth="1"/>
    <col min="87" max="87" width="9.1796875" hidden="1" customWidth="1"/>
    <col min="88" max="89" width="9.36328125" hidden="1" customWidth="1"/>
    <col min="90" max="90" width="10.08984375" hidden="1" customWidth="1"/>
    <col min="91" max="91" width="0" hidden="1" customWidth="1"/>
    <col min="92" max="92" width="9.1796875" hidden="1" customWidth="1"/>
    <col min="93" max="127" width="0" hidden="1" customWidth="1"/>
  </cols>
  <sheetData>
    <row r="2" spans="1:177" x14ac:dyDescent="0.35">
      <c r="A2" s="7" t="s">
        <v>38</v>
      </c>
      <c r="B2" s="7"/>
      <c r="C2" s="31">
        <v>46143</v>
      </c>
      <c r="D2" s="32"/>
      <c r="E2" s="32"/>
      <c r="F2" s="32"/>
      <c r="G2" s="32"/>
      <c r="H2" s="41">
        <v>46144</v>
      </c>
      <c r="I2" s="42"/>
      <c r="J2" s="42"/>
      <c r="K2" s="42"/>
      <c r="L2" s="42"/>
      <c r="M2" s="31">
        <v>46146</v>
      </c>
      <c r="N2" s="32"/>
      <c r="O2" s="32"/>
      <c r="P2" s="32"/>
      <c r="Q2" s="32"/>
      <c r="R2" s="41">
        <v>46147</v>
      </c>
      <c r="S2" s="42"/>
      <c r="T2" s="42"/>
      <c r="U2" s="42"/>
      <c r="V2" s="42"/>
      <c r="W2" s="31">
        <v>46148</v>
      </c>
      <c r="X2" s="32"/>
      <c r="Y2" s="32"/>
      <c r="Z2" s="32"/>
      <c r="AA2" s="32"/>
      <c r="AB2" s="41">
        <v>46149</v>
      </c>
      <c r="AC2" s="42"/>
      <c r="AD2" s="42"/>
      <c r="AE2" s="42"/>
      <c r="AF2" s="42"/>
      <c r="AG2" s="31">
        <v>46150</v>
      </c>
      <c r="AH2" s="32"/>
      <c r="AI2" s="32"/>
      <c r="AJ2" s="32"/>
      <c r="AK2" s="32"/>
      <c r="AL2" s="41">
        <v>46151</v>
      </c>
      <c r="AM2" s="42"/>
      <c r="AN2" s="42"/>
      <c r="AO2" s="42"/>
      <c r="AP2" s="42"/>
      <c r="AQ2" s="31">
        <v>46153</v>
      </c>
      <c r="AR2" s="32"/>
      <c r="AS2" s="32"/>
      <c r="AT2" s="32"/>
      <c r="AU2" s="32"/>
      <c r="AV2" s="41">
        <v>46154</v>
      </c>
      <c r="AW2" s="42"/>
      <c r="AX2" s="42"/>
      <c r="AY2" s="42"/>
      <c r="AZ2" s="42"/>
      <c r="BA2" s="31">
        <v>46155</v>
      </c>
      <c r="BB2" s="32"/>
      <c r="BC2" s="32"/>
      <c r="BD2" s="32"/>
      <c r="BE2" s="32"/>
      <c r="BF2" s="41">
        <v>46156</v>
      </c>
      <c r="BG2" s="42"/>
      <c r="BH2" s="42"/>
      <c r="BI2" s="42"/>
      <c r="BJ2" s="42"/>
      <c r="BK2" s="31">
        <v>46157</v>
      </c>
      <c r="BL2" s="32"/>
      <c r="BM2" s="32"/>
      <c r="BN2" s="32"/>
      <c r="BO2" s="32"/>
      <c r="BP2" s="41">
        <v>46158</v>
      </c>
      <c r="BQ2" s="42"/>
      <c r="BR2" s="42"/>
      <c r="BS2" s="42"/>
      <c r="BT2" s="42"/>
      <c r="BU2" s="31">
        <v>46160</v>
      </c>
      <c r="BV2" s="32"/>
      <c r="BW2" s="32"/>
      <c r="BX2" s="32"/>
      <c r="BY2" s="32"/>
      <c r="BZ2" s="41">
        <v>46161</v>
      </c>
      <c r="CA2" s="42"/>
      <c r="CB2" s="42"/>
      <c r="CC2" s="42"/>
      <c r="CD2" s="42"/>
      <c r="CE2" s="31">
        <v>46162</v>
      </c>
      <c r="CF2" s="32"/>
      <c r="CG2" s="32"/>
      <c r="CH2" s="32"/>
      <c r="CI2" s="32"/>
      <c r="CJ2" s="41">
        <v>46163</v>
      </c>
      <c r="CK2" s="42"/>
      <c r="CL2" s="42"/>
      <c r="CM2" s="42"/>
      <c r="CN2" s="42"/>
      <c r="CO2" s="31">
        <v>46164</v>
      </c>
      <c r="CP2" s="32"/>
      <c r="CQ2" s="32"/>
      <c r="CR2" s="32"/>
      <c r="CS2" s="32"/>
      <c r="CT2" s="41">
        <v>46165</v>
      </c>
      <c r="CU2" s="42"/>
      <c r="CV2" s="42"/>
      <c r="CW2" s="42"/>
      <c r="CX2" s="42"/>
      <c r="CY2" s="31">
        <v>46166</v>
      </c>
      <c r="CZ2" s="32"/>
      <c r="DA2" s="32"/>
      <c r="DB2" s="32"/>
      <c r="DC2" s="32"/>
      <c r="DD2" s="41">
        <v>46167</v>
      </c>
      <c r="DE2" s="42"/>
      <c r="DF2" s="42"/>
      <c r="DG2" s="42"/>
      <c r="DH2" s="42"/>
      <c r="DI2" s="31">
        <v>46168</v>
      </c>
      <c r="DJ2" s="32"/>
      <c r="DK2" s="32"/>
      <c r="DL2" s="32"/>
      <c r="DM2" s="32"/>
      <c r="DN2" s="41">
        <v>46169</v>
      </c>
      <c r="DO2" s="42"/>
      <c r="DP2" s="42"/>
      <c r="DQ2" s="42"/>
      <c r="DR2" s="42"/>
      <c r="DS2" s="31">
        <v>46170</v>
      </c>
      <c r="DT2" s="32"/>
      <c r="DU2" s="32"/>
      <c r="DV2" s="32"/>
      <c r="DW2" s="32"/>
      <c r="DX2" s="41">
        <v>46171</v>
      </c>
      <c r="DY2" s="42"/>
      <c r="DZ2" s="42"/>
      <c r="EA2" s="42"/>
      <c r="EB2" s="42"/>
      <c r="EC2" s="31">
        <v>46172</v>
      </c>
      <c r="ED2" s="32"/>
      <c r="EE2" s="32"/>
      <c r="EF2" s="32"/>
      <c r="EG2" s="32"/>
      <c r="EH2" s="41">
        <v>46173</v>
      </c>
      <c r="EI2" s="42"/>
      <c r="EJ2" s="42"/>
      <c r="EK2" s="42"/>
      <c r="EL2" s="42"/>
      <c r="EM2" s="31">
        <v>46174</v>
      </c>
      <c r="EN2" s="32"/>
      <c r="EO2" s="32"/>
      <c r="EP2" s="32"/>
      <c r="EQ2" s="32"/>
      <c r="ER2" s="31">
        <v>46174</v>
      </c>
      <c r="ES2" s="32"/>
      <c r="ET2" s="32"/>
      <c r="EU2" s="32"/>
      <c r="EV2" s="32"/>
      <c r="EW2" s="31">
        <v>46174</v>
      </c>
      <c r="EX2" s="32"/>
      <c r="EY2" s="32"/>
      <c r="EZ2" s="32"/>
      <c r="FA2" s="32"/>
      <c r="FB2" s="31">
        <v>46174</v>
      </c>
      <c r="FC2" s="32"/>
      <c r="FD2" s="32"/>
      <c r="FE2" s="32"/>
      <c r="FF2" s="32"/>
      <c r="FG2" s="31">
        <v>46174</v>
      </c>
      <c r="FH2" s="32"/>
      <c r="FI2" s="32"/>
      <c r="FJ2" s="32"/>
      <c r="FK2" s="32"/>
      <c r="FL2" s="31">
        <v>46174</v>
      </c>
      <c r="FM2" s="32"/>
      <c r="FN2" s="32"/>
      <c r="FO2" s="32"/>
      <c r="FP2" s="32"/>
      <c r="FQ2" s="31">
        <v>46174</v>
      </c>
      <c r="FR2" s="32"/>
      <c r="FS2" s="32"/>
      <c r="FT2" s="32"/>
      <c r="FU2" s="32"/>
    </row>
    <row r="3" spans="1:177" s="1" customFormat="1" ht="43.5" x14ac:dyDescent="0.35">
      <c r="A3" s="4" t="s">
        <v>21</v>
      </c>
      <c r="B3" s="4" t="s">
        <v>22</v>
      </c>
      <c r="C3" s="5" t="s">
        <v>46</v>
      </c>
      <c r="D3" s="5" t="s">
        <v>47</v>
      </c>
      <c r="E3" s="5" t="s">
        <v>48</v>
      </c>
      <c r="F3" s="5" t="s">
        <v>49</v>
      </c>
      <c r="G3" s="5" t="s">
        <v>50</v>
      </c>
      <c r="H3" s="6" t="s">
        <v>46</v>
      </c>
      <c r="I3" s="6" t="s">
        <v>47</v>
      </c>
      <c r="J3" s="6" t="s">
        <v>48</v>
      </c>
      <c r="K3" s="6" t="s">
        <v>49</v>
      </c>
      <c r="L3" s="6" t="s">
        <v>50</v>
      </c>
      <c r="M3" s="5" t="s">
        <v>46</v>
      </c>
      <c r="N3" s="5" t="s">
        <v>47</v>
      </c>
      <c r="O3" s="5" t="s">
        <v>48</v>
      </c>
      <c r="P3" s="5" t="s">
        <v>49</v>
      </c>
      <c r="Q3" s="5" t="s">
        <v>50</v>
      </c>
      <c r="R3" s="6" t="s">
        <v>46</v>
      </c>
      <c r="S3" s="6" t="s">
        <v>47</v>
      </c>
      <c r="T3" s="6" t="s">
        <v>48</v>
      </c>
      <c r="U3" s="6" t="s">
        <v>49</v>
      </c>
      <c r="V3" s="6" t="s">
        <v>50</v>
      </c>
      <c r="W3" s="5" t="s">
        <v>46</v>
      </c>
      <c r="X3" s="5" t="s">
        <v>47</v>
      </c>
      <c r="Y3" s="5" t="s">
        <v>48</v>
      </c>
      <c r="Z3" s="5" t="s">
        <v>49</v>
      </c>
      <c r="AA3" s="5" t="s">
        <v>50</v>
      </c>
      <c r="AB3" s="6" t="s">
        <v>46</v>
      </c>
      <c r="AC3" s="6" t="s">
        <v>47</v>
      </c>
      <c r="AD3" s="6" t="s">
        <v>48</v>
      </c>
      <c r="AE3" s="6" t="s">
        <v>49</v>
      </c>
      <c r="AF3" s="6" t="s">
        <v>50</v>
      </c>
      <c r="AG3" s="5" t="s">
        <v>46</v>
      </c>
      <c r="AH3" s="5" t="s">
        <v>47</v>
      </c>
      <c r="AI3" s="5" t="s">
        <v>48</v>
      </c>
      <c r="AJ3" s="5" t="s">
        <v>49</v>
      </c>
      <c r="AK3" s="5" t="s">
        <v>50</v>
      </c>
      <c r="AL3" s="6" t="s">
        <v>46</v>
      </c>
      <c r="AM3" s="6" t="s">
        <v>47</v>
      </c>
      <c r="AN3" s="6" t="s">
        <v>48</v>
      </c>
      <c r="AO3" s="6" t="s">
        <v>49</v>
      </c>
      <c r="AP3" s="6" t="s">
        <v>50</v>
      </c>
      <c r="AQ3" s="5" t="s">
        <v>46</v>
      </c>
      <c r="AR3" s="5" t="s">
        <v>47</v>
      </c>
      <c r="AS3" s="5" t="s">
        <v>48</v>
      </c>
      <c r="AT3" s="5" t="s">
        <v>49</v>
      </c>
      <c r="AU3" s="5" t="s">
        <v>50</v>
      </c>
      <c r="AV3" s="6" t="s">
        <v>46</v>
      </c>
      <c r="AW3" s="6" t="s">
        <v>47</v>
      </c>
      <c r="AX3" s="6" t="s">
        <v>48</v>
      </c>
      <c r="AY3" s="6" t="s">
        <v>49</v>
      </c>
      <c r="AZ3" s="6" t="s">
        <v>50</v>
      </c>
      <c r="BA3" s="5" t="s">
        <v>46</v>
      </c>
      <c r="BB3" s="5" t="s">
        <v>47</v>
      </c>
      <c r="BC3" s="5" t="s">
        <v>48</v>
      </c>
      <c r="BD3" s="5" t="s">
        <v>49</v>
      </c>
      <c r="BE3" s="5" t="s">
        <v>50</v>
      </c>
      <c r="BF3" s="6" t="s">
        <v>46</v>
      </c>
      <c r="BG3" s="6" t="s">
        <v>47</v>
      </c>
      <c r="BH3" s="6" t="s">
        <v>48</v>
      </c>
      <c r="BI3" s="6" t="s">
        <v>49</v>
      </c>
      <c r="BJ3" s="6" t="s">
        <v>50</v>
      </c>
      <c r="BK3" s="5" t="s">
        <v>46</v>
      </c>
      <c r="BL3" s="5" t="s">
        <v>47</v>
      </c>
      <c r="BM3" s="5" t="s">
        <v>48</v>
      </c>
      <c r="BN3" s="5" t="s">
        <v>49</v>
      </c>
      <c r="BO3" s="5" t="s">
        <v>50</v>
      </c>
      <c r="BP3" s="6" t="s">
        <v>46</v>
      </c>
      <c r="BQ3" s="6" t="s">
        <v>47</v>
      </c>
      <c r="BR3" s="6" t="s">
        <v>48</v>
      </c>
      <c r="BS3" s="6" t="s">
        <v>49</v>
      </c>
      <c r="BT3" s="6" t="s">
        <v>50</v>
      </c>
      <c r="BU3" s="5" t="s">
        <v>46</v>
      </c>
      <c r="BV3" s="5" t="s">
        <v>47</v>
      </c>
      <c r="BW3" s="5" t="s">
        <v>48</v>
      </c>
      <c r="BX3" s="5" t="s">
        <v>49</v>
      </c>
      <c r="BY3" s="5" t="s">
        <v>50</v>
      </c>
      <c r="BZ3" s="6" t="s">
        <v>46</v>
      </c>
      <c r="CA3" s="6" t="s">
        <v>47</v>
      </c>
      <c r="CB3" s="6" t="s">
        <v>48</v>
      </c>
      <c r="CC3" s="6" t="s">
        <v>49</v>
      </c>
      <c r="CD3" s="6" t="s">
        <v>50</v>
      </c>
      <c r="CE3" s="5" t="s">
        <v>46</v>
      </c>
      <c r="CF3" s="5" t="s">
        <v>47</v>
      </c>
      <c r="CG3" s="5" t="s">
        <v>48</v>
      </c>
      <c r="CH3" s="5" t="s">
        <v>49</v>
      </c>
      <c r="CI3" s="5" t="s">
        <v>50</v>
      </c>
      <c r="CJ3" s="6" t="s">
        <v>46</v>
      </c>
      <c r="CK3" s="6" t="s">
        <v>47</v>
      </c>
      <c r="CL3" s="6" t="s">
        <v>48</v>
      </c>
      <c r="CM3" s="6" t="s">
        <v>49</v>
      </c>
      <c r="CN3" s="6" t="s">
        <v>50</v>
      </c>
      <c r="CO3" s="5" t="s">
        <v>46</v>
      </c>
      <c r="CP3" s="5" t="s">
        <v>47</v>
      </c>
      <c r="CQ3" s="5" t="s">
        <v>48</v>
      </c>
      <c r="CR3" s="5" t="s">
        <v>49</v>
      </c>
      <c r="CS3" s="5" t="s">
        <v>50</v>
      </c>
      <c r="CT3" s="6" t="s">
        <v>46</v>
      </c>
      <c r="CU3" s="6" t="s">
        <v>47</v>
      </c>
      <c r="CV3" s="6" t="s">
        <v>48</v>
      </c>
      <c r="CW3" s="6" t="s">
        <v>49</v>
      </c>
      <c r="CX3" s="6" t="s">
        <v>50</v>
      </c>
      <c r="CY3" s="5" t="s">
        <v>46</v>
      </c>
      <c r="CZ3" s="5" t="s">
        <v>47</v>
      </c>
      <c r="DA3" s="5" t="s">
        <v>48</v>
      </c>
      <c r="DB3" s="5" t="s">
        <v>49</v>
      </c>
      <c r="DC3" s="5" t="s">
        <v>50</v>
      </c>
      <c r="DD3" s="6" t="s">
        <v>46</v>
      </c>
      <c r="DE3" s="6" t="s">
        <v>47</v>
      </c>
      <c r="DF3" s="6" t="s">
        <v>48</v>
      </c>
      <c r="DG3" s="6" t="s">
        <v>49</v>
      </c>
      <c r="DH3" s="6" t="s">
        <v>50</v>
      </c>
      <c r="DI3" s="5" t="s">
        <v>46</v>
      </c>
      <c r="DJ3" s="5" t="s">
        <v>47</v>
      </c>
      <c r="DK3" s="5" t="s">
        <v>48</v>
      </c>
      <c r="DL3" s="5" t="s">
        <v>49</v>
      </c>
      <c r="DM3" s="5" t="s">
        <v>50</v>
      </c>
      <c r="DN3" s="6" t="s">
        <v>46</v>
      </c>
      <c r="DO3" s="6" t="s">
        <v>47</v>
      </c>
      <c r="DP3" s="6" t="s">
        <v>48</v>
      </c>
      <c r="DQ3" s="6" t="s">
        <v>49</v>
      </c>
      <c r="DR3" s="6" t="s">
        <v>50</v>
      </c>
      <c r="DS3" s="5" t="s">
        <v>46</v>
      </c>
      <c r="DT3" s="5" t="s">
        <v>47</v>
      </c>
      <c r="DU3" s="5" t="s">
        <v>48</v>
      </c>
      <c r="DV3" s="5" t="s">
        <v>49</v>
      </c>
      <c r="DW3" s="5" t="s">
        <v>50</v>
      </c>
      <c r="DX3" s="6" t="s">
        <v>46</v>
      </c>
      <c r="DY3" s="6" t="s">
        <v>47</v>
      </c>
      <c r="DZ3" s="6" t="s">
        <v>48</v>
      </c>
      <c r="EA3" s="6" t="s">
        <v>49</v>
      </c>
      <c r="EB3" s="6" t="s">
        <v>50</v>
      </c>
      <c r="EC3" s="5" t="s">
        <v>46</v>
      </c>
      <c r="ED3" s="5" t="s">
        <v>47</v>
      </c>
      <c r="EE3" s="5" t="s">
        <v>48</v>
      </c>
      <c r="EF3" s="5" t="s">
        <v>49</v>
      </c>
      <c r="EG3" s="5" t="s">
        <v>50</v>
      </c>
      <c r="EH3" s="6" t="s">
        <v>46</v>
      </c>
      <c r="EI3" s="6" t="s">
        <v>47</v>
      </c>
      <c r="EJ3" s="6" t="s">
        <v>48</v>
      </c>
      <c r="EK3" s="6" t="s">
        <v>49</v>
      </c>
      <c r="EL3" s="6" t="s">
        <v>50</v>
      </c>
      <c r="EM3" s="5" t="s">
        <v>46</v>
      </c>
      <c r="EN3" s="5" t="s">
        <v>47</v>
      </c>
      <c r="EO3" s="5" t="s">
        <v>48</v>
      </c>
      <c r="EP3" s="5" t="s">
        <v>49</v>
      </c>
      <c r="EQ3" s="5" t="s">
        <v>50</v>
      </c>
      <c r="ER3" s="5" t="s">
        <v>46</v>
      </c>
      <c r="ES3" s="5" t="s">
        <v>47</v>
      </c>
      <c r="ET3" s="5" t="s">
        <v>48</v>
      </c>
      <c r="EU3" s="5" t="s">
        <v>49</v>
      </c>
      <c r="EV3" s="5" t="s">
        <v>50</v>
      </c>
      <c r="EW3" s="5" t="s">
        <v>46</v>
      </c>
      <c r="EX3" s="5" t="s">
        <v>47</v>
      </c>
      <c r="EY3" s="5" t="s">
        <v>48</v>
      </c>
      <c r="EZ3" s="5" t="s">
        <v>49</v>
      </c>
      <c r="FA3" s="5" t="s">
        <v>50</v>
      </c>
      <c r="FB3" s="5" t="s">
        <v>46</v>
      </c>
      <c r="FC3" s="5" t="s">
        <v>47</v>
      </c>
      <c r="FD3" s="5" t="s">
        <v>48</v>
      </c>
      <c r="FE3" s="5" t="s">
        <v>49</v>
      </c>
      <c r="FF3" s="5" t="s">
        <v>50</v>
      </c>
      <c r="FG3" s="5" t="s">
        <v>46</v>
      </c>
      <c r="FH3" s="5" t="s">
        <v>47</v>
      </c>
      <c r="FI3" s="5" t="s">
        <v>48</v>
      </c>
      <c r="FJ3" s="5" t="s">
        <v>49</v>
      </c>
      <c r="FK3" s="5" t="s">
        <v>50</v>
      </c>
      <c r="FL3" s="5" t="s">
        <v>46</v>
      </c>
      <c r="FM3" s="5" t="s">
        <v>47</v>
      </c>
      <c r="FN3" s="5" t="s">
        <v>48</v>
      </c>
      <c r="FO3" s="5" t="s">
        <v>49</v>
      </c>
      <c r="FP3" s="5" t="s">
        <v>50</v>
      </c>
      <c r="FQ3" s="5" t="s">
        <v>46</v>
      </c>
      <c r="FR3" s="5" t="s">
        <v>47</v>
      </c>
      <c r="FS3" s="5" t="s">
        <v>48</v>
      </c>
      <c r="FT3" s="5" t="s">
        <v>49</v>
      </c>
      <c r="FU3" s="5" t="s">
        <v>50</v>
      </c>
    </row>
    <row r="4" spans="1:177" ht="18.5" x14ac:dyDescent="0.35">
      <c r="A4" s="2" t="s">
        <v>0</v>
      </c>
      <c r="B4" s="2" t="s">
        <v>13</v>
      </c>
      <c r="C4" s="27">
        <v>84</v>
      </c>
      <c r="D4" s="3">
        <v>28</v>
      </c>
      <c r="E4" s="3">
        <v>84</v>
      </c>
      <c r="F4" s="3">
        <v>0</v>
      </c>
      <c r="G4" s="3">
        <v>0</v>
      </c>
      <c r="H4" s="3">
        <f>C4+F4-G4</f>
        <v>84</v>
      </c>
      <c r="I4" s="3">
        <f>D4+E4-F4</f>
        <v>112</v>
      </c>
      <c r="J4" s="3"/>
      <c r="K4" s="3">
        <v>14</v>
      </c>
      <c r="L4" s="3">
        <v>0</v>
      </c>
      <c r="M4" s="3">
        <f>H4+K4-L4</f>
        <v>98</v>
      </c>
      <c r="N4" s="3">
        <f>I4+J4-K4</f>
        <v>98</v>
      </c>
      <c r="O4" s="3"/>
      <c r="P4" s="3">
        <v>0</v>
      </c>
      <c r="Q4" s="3">
        <v>0</v>
      </c>
      <c r="R4" s="3">
        <f>M4+P4-Q4</f>
        <v>98</v>
      </c>
      <c r="S4" s="3">
        <f>N4+O4-P4</f>
        <v>98</v>
      </c>
      <c r="T4" s="3"/>
      <c r="U4" s="3">
        <v>0</v>
      </c>
      <c r="V4" s="3">
        <v>0</v>
      </c>
      <c r="W4" s="3">
        <v>80</v>
      </c>
      <c r="X4" s="3">
        <f>S4+T4-U4</f>
        <v>98</v>
      </c>
      <c r="Y4" s="3"/>
      <c r="Z4" s="3">
        <v>0</v>
      </c>
      <c r="AA4" s="3">
        <v>0</v>
      </c>
      <c r="AB4" s="3">
        <f>W4+Z4-AA4</f>
        <v>80</v>
      </c>
      <c r="AC4" s="3">
        <f>X4+Y4-Z4</f>
        <v>98</v>
      </c>
      <c r="AD4" s="3"/>
      <c r="AE4" s="3">
        <v>0</v>
      </c>
      <c r="AF4" s="3">
        <v>0</v>
      </c>
      <c r="AG4" s="3">
        <f>AB4+AE4-AF4</f>
        <v>80</v>
      </c>
      <c r="AH4" s="3">
        <f>AC4+AD4-AE4</f>
        <v>98</v>
      </c>
      <c r="AI4" s="3"/>
      <c r="AJ4" s="3">
        <v>0</v>
      </c>
      <c r="AK4" s="3">
        <v>0</v>
      </c>
      <c r="AL4" s="3">
        <f>AG4+AJ4-AK4</f>
        <v>80</v>
      </c>
      <c r="AM4" s="3">
        <f>AH4+AI4-AJ4</f>
        <v>98</v>
      </c>
      <c r="AN4" s="3"/>
      <c r="AO4" s="3"/>
      <c r="AP4" s="3">
        <v>0</v>
      </c>
      <c r="AQ4" s="3">
        <f>AL4+AO4-AP4</f>
        <v>80</v>
      </c>
      <c r="AR4" s="3">
        <f>AM4+AN4-AO4</f>
        <v>98</v>
      </c>
      <c r="AS4" s="3"/>
      <c r="AT4" s="3"/>
      <c r="AU4" s="3">
        <v>0</v>
      </c>
      <c r="AV4" s="3">
        <f>AQ4+AT4-AU4</f>
        <v>80</v>
      </c>
      <c r="AW4" s="3">
        <f>AR4+AS4-AT4</f>
        <v>98</v>
      </c>
      <c r="AX4" s="3">
        <v>0</v>
      </c>
      <c r="AY4" s="3">
        <v>0</v>
      </c>
      <c r="AZ4" s="3">
        <v>0</v>
      </c>
      <c r="BA4" s="3">
        <f>AV4+AY4-AZ4</f>
        <v>80</v>
      </c>
      <c r="BB4" s="3">
        <f>AW4+AX4-AY4</f>
        <v>98</v>
      </c>
      <c r="BC4" s="3"/>
      <c r="BD4" s="3"/>
      <c r="BE4" s="3">
        <v>0</v>
      </c>
      <c r="BF4" s="3">
        <f>BA4+BD4-BE4</f>
        <v>80</v>
      </c>
      <c r="BG4" s="3">
        <f>BB4+BC4-BD4</f>
        <v>98</v>
      </c>
      <c r="BH4" s="3"/>
      <c r="BI4" s="3"/>
      <c r="BJ4" s="3">
        <v>0</v>
      </c>
      <c r="BK4" s="3">
        <f>BF4+BI4-BJ4</f>
        <v>80</v>
      </c>
      <c r="BL4" s="3">
        <f>BG4+BH4-BI4</f>
        <v>98</v>
      </c>
      <c r="BM4" s="3"/>
      <c r="BN4" s="3"/>
      <c r="BO4" s="3">
        <v>0</v>
      </c>
      <c r="BP4" s="3">
        <f>BK4+BN4-BO4</f>
        <v>80</v>
      </c>
      <c r="BQ4" s="3">
        <f>BL4+BM4-BN4</f>
        <v>98</v>
      </c>
      <c r="BR4" s="3"/>
      <c r="BS4" s="3"/>
      <c r="BT4" s="3">
        <v>0</v>
      </c>
      <c r="BU4" s="3">
        <f>BP4+BS4-BT4</f>
        <v>80</v>
      </c>
      <c r="BV4" s="3">
        <f>BQ4+BR4-BS4</f>
        <v>98</v>
      </c>
      <c r="BW4" s="3"/>
      <c r="BX4" s="3"/>
      <c r="BY4" s="3">
        <v>0</v>
      </c>
      <c r="BZ4" s="3">
        <f>BU4+BX4-BY4</f>
        <v>80</v>
      </c>
      <c r="CA4" s="3">
        <f>BV4+BW4-BX4</f>
        <v>98</v>
      </c>
      <c r="CB4" s="3"/>
      <c r="CC4" s="3"/>
      <c r="CD4" s="3">
        <v>0</v>
      </c>
      <c r="CE4" s="3">
        <f>BZ4+CC4-CD4</f>
        <v>80</v>
      </c>
      <c r="CF4" s="3">
        <f>CA4+CB4-CC4</f>
        <v>98</v>
      </c>
      <c r="CG4" s="3"/>
      <c r="CH4" s="3"/>
      <c r="CI4" s="3">
        <v>0</v>
      </c>
      <c r="CJ4" s="3">
        <f>CE4+CH4-CI4</f>
        <v>80</v>
      </c>
      <c r="CK4" s="3">
        <f>CF4+CG4-CH4</f>
        <v>98</v>
      </c>
      <c r="CL4" s="3"/>
      <c r="CM4" s="3"/>
      <c r="CN4" s="3">
        <v>0</v>
      </c>
      <c r="CO4" s="3">
        <f>CJ4+CM4-CN4</f>
        <v>80</v>
      </c>
      <c r="CP4" s="3">
        <f>CK4+CL4-CM4</f>
        <v>98</v>
      </c>
      <c r="CQ4" s="3"/>
      <c r="CR4" s="3"/>
      <c r="CS4" s="3">
        <v>0</v>
      </c>
      <c r="CT4" s="3">
        <f>CO4+CR4-CS4</f>
        <v>80</v>
      </c>
      <c r="CU4" s="3">
        <f>CP4+CQ4-CR4</f>
        <v>98</v>
      </c>
      <c r="CV4" s="3"/>
      <c r="CW4" s="3"/>
      <c r="CX4" s="3">
        <v>0</v>
      </c>
      <c r="CY4" s="3">
        <f>CT4+CW4-CX4</f>
        <v>80</v>
      </c>
      <c r="CZ4" s="3">
        <f>CU4+CV4-CW4</f>
        <v>98</v>
      </c>
      <c r="DA4" s="3"/>
      <c r="DB4" s="3"/>
      <c r="DC4" s="3">
        <v>0</v>
      </c>
      <c r="DD4" s="3">
        <f>CY4+DB4-DC4</f>
        <v>80</v>
      </c>
      <c r="DE4" s="3">
        <f>CZ4+DA4-DB4</f>
        <v>98</v>
      </c>
      <c r="DF4" s="3"/>
      <c r="DG4" s="3"/>
      <c r="DH4" s="3">
        <v>0</v>
      </c>
      <c r="DI4" s="3">
        <f>DD4+DG4-DH4</f>
        <v>80</v>
      </c>
      <c r="DJ4" s="3">
        <f>DE4+DF4-DG4</f>
        <v>98</v>
      </c>
      <c r="DK4" s="3"/>
      <c r="DL4" s="3"/>
      <c r="DM4" s="3">
        <v>0</v>
      </c>
      <c r="DN4" s="3">
        <f>DI4+DL4-DM4</f>
        <v>80</v>
      </c>
      <c r="DO4" s="3">
        <f>DJ4+DK4-DL4</f>
        <v>98</v>
      </c>
      <c r="DP4" s="3"/>
      <c r="DQ4" s="3"/>
      <c r="DR4" s="3">
        <v>0</v>
      </c>
      <c r="DS4" s="3">
        <f>DN4+DQ4-DR4</f>
        <v>80</v>
      </c>
      <c r="DT4" s="3">
        <f>DO4+DP4-DQ4</f>
        <v>98</v>
      </c>
      <c r="DU4" s="3"/>
      <c r="DV4" s="3"/>
      <c r="DW4" s="3">
        <v>0</v>
      </c>
      <c r="DX4" s="3">
        <f>DS4+DV4-DW4</f>
        <v>80</v>
      </c>
      <c r="DY4" s="3">
        <f>DT4+DU4-DV4</f>
        <v>98</v>
      </c>
      <c r="DZ4" s="3"/>
      <c r="EA4" s="3"/>
      <c r="EB4" s="3">
        <v>0</v>
      </c>
      <c r="EC4" s="3">
        <f>DX4+EA4-EB4</f>
        <v>80</v>
      </c>
      <c r="ED4" s="3">
        <f>DY4+DZ4-EA4</f>
        <v>98</v>
      </c>
      <c r="EE4" s="3"/>
      <c r="EF4" s="3"/>
      <c r="EG4" s="3">
        <v>0</v>
      </c>
      <c r="EH4" s="3">
        <f>EC4+EF4-EG4</f>
        <v>80</v>
      </c>
      <c r="EI4" s="3">
        <f>ED4+EE4-EF4</f>
        <v>98</v>
      </c>
      <c r="EJ4" s="3"/>
      <c r="EK4" s="3"/>
      <c r="EL4" s="3">
        <v>0</v>
      </c>
      <c r="EM4" s="3">
        <f>EH4+EK4-EL4</f>
        <v>80</v>
      </c>
      <c r="EN4" s="3">
        <f>EI4+EJ4-EK4</f>
        <v>98</v>
      </c>
      <c r="EO4" s="3"/>
      <c r="EP4" s="3"/>
      <c r="EQ4" s="3">
        <v>0</v>
      </c>
      <c r="ER4" s="3">
        <f>EM4+EP4-EQ4</f>
        <v>80</v>
      </c>
      <c r="ES4" s="3">
        <f>EN4+EO4-EP4</f>
        <v>98</v>
      </c>
      <c r="ET4" s="3"/>
      <c r="EU4" s="3"/>
      <c r="EV4" s="3">
        <v>0</v>
      </c>
      <c r="EW4" s="3">
        <f>ER4+EU4-EV4</f>
        <v>80</v>
      </c>
      <c r="EX4" s="3">
        <f>ES4+ET4-EU4</f>
        <v>98</v>
      </c>
      <c r="EY4" s="3"/>
      <c r="EZ4" s="3"/>
      <c r="FA4" s="3">
        <v>0</v>
      </c>
      <c r="FB4" s="3">
        <f>EW4+EZ4-FA4</f>
        <v>80</v>
      </c>
      <c r="FC4" s="3">
        <f>EX4+EY4-EZ4</f>
        <v>98</v>
      </c>
      <c r="FD4" s="3"/>
      <c r="FE4" s="3"/>
      <c r="FF4" s="3">
        <v>0</v>
      </c>
      <c r="FG4" s="3">
        <f>FB4+FE4-FF4</f>
        <v>80</v>
      </c>
      <c r="FH4" s="3">
        <f>FC4+FD4-FE4</f>
        <v>98</v>
      </c>
      <c r="FI4" s="3"/>
      <c r="FJ4" s="3"/>
      <c r="FK4" s="3">
        <v>0</v>
      </c>
      <c r="FL4" s="3">
        <f>FG4+FJ4-FK4</f>
        <v>80</v>
      </c>
      <c r="FM4" s="3">
        <f>FH4+FI4-FJ4</f>
        <v>98</v>
      </c>
      <c r="FN4" s="3"/>
      <c r="FO4" s="3"/>
      <c r="FP4" s="3">
        <v>0</v>
      </c>
      <c r="FQ4" s="3">
        <f>FL4+FO4-FP4</f>
        <v>80</v>
      </c>
      <c r="FR4" s="3">
        <f>FM4+FN4-FO4</f>
        <v>98</v>
      </c>
      <c r="FS4" s="3"/>
      <c r="FT4" s="3"/>
      <c r="FU4" s="3">
        <v>0</v>
      </c>
    </row>
    <row r="5" spans="1:177" x14ac:dyDescent="0.35">
      <c r="A5" s="2" t="s">
        <v>1</v>
      </c>
      <c r="B5" s="2" t="s">
        <v>14</v>
      </c>
      <c r="C5" s="21">
        <v>34</v>
      </c>
      <c r="D5" s="3">
        <v>28</v>
      </c>
      <c r="E5" s="3">
        <v>4</v>
      </c>
      <c r="F5" s="3">
        <v>4</v>
      </c>
      <c r="G5" s="3">
        <v>0</v>
      </c>
      <c r="H5" s="3">
        <f t="shared" ref="H5:H17" si="0">C5+F5-G5</f>
        <v>38</v>
      </c>
      <c r="I5" s="3">
        <f t="shared" ref="I5:I17" si="1">D5+E5-F5</f>
        <v>28</v>
      </c>
      <c r="J5" s="3"/>
      <c r="K5" s="3">
        <v>0</v>
      </c>
      <c r="L5" s="3">
        <v>0</v>
      </c>
      <c r="M5" s="3">
        <f t="shared" ref="M5:M17" si="2">H5+K5-L5</f>
        <v>38</v>
      </c>
      <c r="N5" s="3">
        <f t="shared" ref="N5:N17" si="3">I5+J5-K5</f>
        <v>28</v>
      </c>
      <c r="O5" s="3"/>
      <c r="P5" s="3">
        <v>0</v>
      </c>
      <c r="Q5" s="3">
        <v>1</v>
      </c>
      <c r="R5" s="3">
        <f t="shared" ref="R5:R17" si="4">M5+P5-Q5</f>
        <v>37</v>
      </c>
      <c r="S5" s="3">
        <f t="shared" ref="S5:S17" si="5">N5+O5-P5</f>
        <v>28</v>
      </c>
      <c r="T5" s="3"/>
      <c r="U5" s="3">
        <v>0</v>
      </c>
      <c r="V5" s="3">
        <v>0</v>
      </c>
      <c r="W5" s="3">
        <v>24</v>
      </c>
      <c r="X5" s="3">
        <f t="shared" ref="X5:X10" si="6">S5+T5-U5</f>
        <v>28</v>
      </c>
      <c r="Y5" s="3"/>
      <c r="Z5" s="3">
        <v>0</v>
      </c>
      <c r="AA5" s="3">
        <v>0</v>
      </c>
      <c r="AB5" s="3">
        <f t="shared" ref="AB5:AB17" si="7">W5+Z5-AA5</f>
        <v>24</v>
      </c>
      <c r="AC5" s="3">
        <f t="shared" ref="AC5:AC17" si="8">X5+Y5-Z5</f>
        <v>28</v>
      </c>
      <c r="AD5" s="3"/>
      <c r="AE5" s="3">
        <v>0</v>
      </c>
      <c r="AF5" s="3">
        <v>0</v>
      </c>
      <c r="AG5" s="3">
        <f t="shared" ref="AG5:AG10" si="9">AB5+AE5-AF5</f>
        <v>24</v>
      </c>
      <c r="AH5" s="3">
        <f t="shared" ref="AH5:AH10" si="10">AC5+AD5-AE5</f>
        <v>28</v>
      </c>
      <c r="AI5" s="3"/>
      <c r="AJ5" s="3">
        <v>0</v>
      </c>
      <c r="AK5" s="3">
        <v>0</v>
      </c>
      <c r="AL5" s="3">
        <f t="shared" ref="AL5:AL10" si="11">AG5+AJ5-AK5</f>
        <v>24</v>
      </c>
      <c r="AM5" s="3">
        <f t="shared" ref="AM5:AM10" si="12">AH5+AI5-AJ5</f>
        <v>28</v>
      </c>
      <c r="AN5" s="3"/>
      <c r="AO5" s="3"/>
      <c r="AP5" s="3">
        <v>0</v>
      </c>
      <c r="AQ5" s="3">
        <f t="shared" ref="AQ5:AQ10" si="13">AL5+AO5-AP5</f>
        <v>24</v>
      </c>
      <c r="AR5" s="3">
        <f t="shared" ref="AR5:AR10" si="14">AM5+AN5-AO5</f>
        <v>28</v>
      </c>
      <c r="AS5" s="3"/>
      <c r="AT5" s="3"/>
      <c r="AU5" s="3">
        <v>0</v>
      </c>
      <c r="AV5" s="3">
        <f t="shared" ref="AV5:AV10" si="15">AQ5+AT5-AU5</f>
        <v>24</v>
      </c>
      <c r="AW5" s="3">
        <f t="shared" ref="AW5:AW10" si="16">AR5+AS5-AT5</f>
        <v>28</v>
      </c>
      <c r="AX5" s="3">
        <v>0</v>
      </c>
      <c r="AY5" s="3">
        <v>0</v>
      </c>
      <c r="AZ5" s="3">
        <v>0</v>
      </c>
      <c r="BA5" s="3">
        <f t="shared" ref="BA5:BA10" si="17">AV5+AY5-AZ5</f>
        <v>24</v>
      </c>
      <c r="BB5" s="3">
        <f t="shared" ref="BB5:BB17" si="18">AW5+AX5-AY5</f>
        <v>28</v>
      </c>
      <c r="BC5" s="3"/>
      <c r="BD5" s="3"/>
      <c r="BE5" s="3">
        <v>0</v>
      </c>
      <c r="BF5" s="3">
        <f t="shared" ref="BF5:BF10" si="19">BA5+BD5-BE5</f>
        <v>24</v>
      </c>
      <c r="BG5" s="3">
        <f t="shared" ref="BG5:BG10" si="20">BB5+BC5-BD5</f>
        <v>28</v>
      </c>
      <c r="BH5" s="3"/>
      <c r="BI5" s="3"/>
      <c r="BJ5" s="3">
        <v>0</v>
      </c>
      <c r="BK5" s="3">
        <f t="shared" ref="BK5:BK17" si="21">BF5+BI5-BJ5</f>
        <v>24</v>
      </c>
      <c r="BL5" s="3">
        <f t="shared" ref="BL5:BL10" si="22">BG5+BH5-BI5</f>
        <v>28</v>
      </c>
      <c r="BM5" s="3"/>
      <c r="BN5" s="3"/>
      <c r="BO5" s="3">
        <v>0</v>
      </c>
      <c r="BP5" s="3">
        <f t="shared" ref="BP5:BP17" si="23">BK5+BN5-BO5</f>
        <v>24</v>
      </c>
      <c r="BQ5" s="3">
        <f t="shared" ref="BQ5:BQ10" si="24">BL5+BM5-BN5</f>
        <v>28</v>
      </c>
      <c r="BR5" s="3"/>
      <c r="BS5" s="3"/>
      <c r="BT5" s="3">
        <v>0</v>
      </c>
      <c r="BU5" s="3">
        <f t="shared" ref="BU5:BU10" si="25">BP5+BS5-BT5</f>
        <v>24</v>
      </c>
      <c r="BV5" s="3">
        <f t="shared" ref="BV5:BV10" si="26">BQ5+BR5-BS5</f>
        <v>28</v>
      </c>
      <c r="BW5" s="3"/>
      <c r="BX5" s="3"/>
      <c r="BY5" s="3">
        <v>0</v>
      </c>
      <c r="BZ5" s="3">
        <f t="shared" ref="BZ5:BZ10" si="27">BU5+BX5-BY5</f>
        <v>24</v>
      </c>
      <c r="CA5" s="3">
        <f t="shared" ref="CA5:CA10" si="28">BV5+BW5-BX5</f>
        <v>28</v>
      </c>
      <c r="CB5" s="3"/>
      <c r="CC5" s="3"/>
      <c r="CD5" s="3">
        <v>0</v>
      </c>
      <c r="CE5" s="3">
        <f t="shared" ref="CE5:CE10" si="29">BZ5+CC5-CD5</f>
        <v>24</v>
      </c>
      <c r="CF5" s="3">
        <f t="shared" ref="CF5:CF10" si="30">CA5+CB5-CC5</f>
        <v>28</v>
      </c>
      <c r="CG5" s="3"/>
      <c r="CH5" s="3"/>
      <c r="CI5" s="3">
        <v>0</v>
      </c>
      <c r="CJ5" s="3">
        <f t="shared" ref="CJ5:CJ10" si="31">CE5+CH5-CI5</f>
        <v>24</v>
      </c>
      <c r="CK5" s="3">
        <f t="shared" ref="CK5:CK10" si="32">CF5+CG5-CH5</f>
        <v>28</v>
      </c>
      <c r="CL5" s="3"/>
      <c r="CM5" s="3"/>
      <c r="CN5" s="3">
        <v>0</v>
      </c>
      <c r="CO5" s="3">
        <f t="shared" ref="CO5:CO10" si="33">CJ5+CM5-CN5</f>
        <v>24</v>
      </c>
      <c r="CP5" s="3">
        <f t="shared" ref="CP5:CP10" si="34">CK5+CL5-CM5</f>
        <v>28</v>
      </c>
      <c r="CQ5" s="3"/>
      <c r="CR5" s="3"/>
      <c r="CS5" s="3">
        <v>0</v>
      </c>
      <c r="CT5" s="3">
        <f t="shared" ref="CT5:CT10" si="35">CO5+CR5-CS5</f>
        <v>24</v>
      </c>
      <c r="CU5" s="3">
        <f t="shared" ref="CU5:CU10" si="36">CP5+CQ5-CR5</f>
        <v>28</v>
      </c>
      <c r="CV5" s="3"/>
      <c r="CW5" s="3"/>
      <c r="CX5" s="3">
        <v>0</v>
      </c>
      <c r="CY5" s="3">
        <f t="shared" ref="CY5:CY10" si="37">CT5+CW5-CX5</f>
        <v>24</v>
      </c>
      <c r="CZ5" s="3">
        <f t="shared" ref="CZ5:CZ10" si="38">CU5+CV5-CW5</f>
        <v>28</v>
      </c>
      <c r="DA5" s="3"/>
      <c r="DB5" s="3"/>
      <c r="DC5" s="3">
        <v>0</v>
      </c>
      <c r="DD5" s="3">
        <f t="shared" ref="DD5:DD10" si="39">CY5+DB5-DC5</f>
        <v>24</v>
      </c>
      <c r="DE5" s="3">
        <f t="shared" ref="DE5:DE10" si="40">CZ5+DA5-DB5</f>
        <v>28</v>
      </c>
      <c r="DF5" s="3"/>
      <c r="DG5" s="3"/>
      <c r="DH5" s="3">
        <v>0</v>
      </c>
      <c r="DI5" s="3">
        <f t="shared" ref="DI5:DI10" si="41">DD5+DG5-DH5</f>
        <v>24</v>
      </c>
      <c r="DJ5" s="3">
        <f t="shared" ref="DJ5:DJ10" si="42">DE5+DF5-DG5</f>
        <v>28</v>
      </c>
      <c r="DK5" s="3"/>
      <c r="DL5" s="3"/>
      <c r="DM5" s="3">
        <v>0</v>
      </c>
      <c r="DN5" s="3">
        <f t="shared" ref="DN5:DN10" si="43">DI5+DL5-DM5</f>
        <v>24</v>
      </c>
      <c r="DO5" s="3">
        <f t="shared" ref="DO5:DO10" si="44">DJ5+DK5-DL5</f>
        <v>28</v>
      </c>
      <c r="DP5" s="3"/>
      <c r="DQ5" s="3"/>
      <c r="DR5" s="3">
        <v>0</v>
      </c>
      <c r="DS5" s="3">
        <f t="shared" ref="DS5:DS10" si="45">DN5+DQ5-DR5</f>
        <v>24</v>
      </c>
      <c r="DT5" s="3">
        <f t="shared" ref="DT5:DT10" si="46">DO5+DP5-DQ5</f>
        <v>28</v>
      </c>
      <c r="DU5" s="3"/>
      <c r="DV5" s="3"/>
      <c r="DW5" s="3">
        <v>0</v>
      </c>
      <c r="DX5" s="3">
        <f t="shared" ref="DX5:DX10" si="47">DS5+DV5-DW5</f>
        <v>24</v>
      </c>
      <c r="DY5" s="3">
        <f t="shared" ref="DY5:DY10" si="48">DT5+DU5-DV5</f>
        <v>28</v>
      </c>
      <c r="DZ5" s="3"/>
      <c r="EA5" s="3"/>
      <c r="EB5" s="3">
        <v>0</v>
      </c>
      <c r="EC5" s="3">
        <f t="shared" ref="EC5:EC10" si="49">DX5+EA5-EB5</f>
        <v>24</v>
      </c>
      <c r="ED5" s="3">
        <f t="shared" ref="ED5:ED10" si="50">DY5+DZ5-EA5</f>
        <v>28</v>
      </c>
      <c r="EE5" s="3"/>
      <c r="EF5" s="3"/>
      <c r="EG5" s="3">
        <v>0</v>
      </c>
      <c r="EH5" s="3">
        <f t="shared" ref="EH5:EH10" si="51">EC5+EF5-EG5</f>
        <v>24</v>
      </c>
      <c r="EI5" s="3">
        <f t="shared" ref="EI5:EI10" si="52">ED5+EE5-EF5</f>
        <v>28</v>
      </c>
      <c r="EJ5" s="3"/>
      <c r="EK5" s="3"/>
      <c r="EL5" s="3">
        <v>0</v>
      </c>
      <c r="EM5" s="3">
        <f t="shared" ref="EM5:EM10" si="53">EH5+EK5-EL5</f>
        <v>24</v>
      </c>
      <c r="EN5" s="3">
        <f t="shared" ref="EN5:EN10" si="54">EI5+EJ5-EK5</f>
        <v>28</v>
      </c>
      <c r="EO5" s="3"/>
      <c r="EP5" s="3"/>
      <c r="EQ5" s="3">
        <v>0</v>
      </c>
      <c r="ER5" s="3">
        <f t="shared" ref="ER5:ER10" si="55">EM5+EP5-EQ5</f>
        <v>24</v>
      </c>
      <c r="ES5" s="3">
        <f t="shared" ref="ES5:ES10" si="56">EN5+EO5-EP5</f>
        <v>28</v>
      </c>
      <c r="ET5" s="3"/>
      <c r="EU5" s="3"/>
      <c r="EV5" s="3">
        <v>0</v>
      </c>
      <c r="EW5" s="3">
        <f t="shared" ref="EW5:EW10" si="57">ER5+EU5-EV5</f>
        <v>24</v>
      </c>
      <c r="EX5" s="3">
        <f t="shared" ref="EX5:EX10" si="58">ES5+ET5-EU5</f>
        <v>28</v>
      </c>
      <c r="EY5" s="3"/>
      <c r="EZ5" s="3"/>
      <c r="FA5" s="3">
        <v>0</v>
      </c>
      <c r="FB5" s="3">
        <f t="shared" ref="FB5:FB10" si="59">EW5+EZ5-FA5</f>
        <v>24</v>
      </c>
      <c r="FC5" s="3">
        <f t="shared" ref="FC5:FC10" si="60">EX5+EY5-EZ5</f>
        <v>28</v>
      </c>
      <c r="FD5" s="3"/>
      <c r="FE5" s="3"/>
      <c r="FF5" s="3">
        <v>0</v>
      </c>
      <c r="FG5" s="3">
        <f t="shared" ref="FG5:FG10" si="61">FB5+FE5-FF5</f>
        <v>24</v>
      </c>
      <c r="FH5" s="3">
        <f t="shared" ref="FH5:FH10" si="62">FC5+FD5-FE5</f>
        <v>28</v>
      </c>
      <c r="FI5" s="3"/>
      <c r="FJ5" s="3"/>
      <c r="FK5" s="3">
        <v>0</v>
      </c>
      <c r="FL5" s="3">
        <f t="shared" ref="FL5:FL10" si="63">FG5+FJ5-FK5</f>
        <v>24</v>
      </c>
      <c r="FM5" s="3">
        <f t="shared" ref="FM5:FM10" si="64">FH5+FI5-FJ5</f>
        <v>28</v>
      </c>
      <c r="FN5" s="3"/>
      <c r="FO5" s="3"/>
      <c r="FP5" s="3">
        <v>0</v>
      </c>
      <c r="FQ5" s="3">
        <f t="shared" ref="FQ5:FQ10" si="65">FL5+FO5-FP5</f>
        <v>24</v>
      </c>
      <c r="FR5" s="3">
        <f t="shared" ref="FR5:FR10" si="66">FM5+FN5-FO5</f>
        <v>28</v>
      </c>
      <c r="FS5" s="3"/>
      <c r="FT5" s="3"/>
      <c r="FU5" s="3">
        <v>0</v>
      </c>
    </row>
    <row r="6" spans="1:177" x14ac:dyDescent="0.35">
      <c r="A6" s="2" t="s">
        <v>2</v>
      </c>
      <c r="B6" s="2" t="s">
        <v>15</v>
      </c>
      <c r="C6" s="21">
        <v>112</v>
      </c>
      <c r="D6" s="3">
        <v>238</v>
      </c>
      <c r="E6" s="3"/>
      <c r="F6" s="3">
        <v>107</v>
      </c>
      <c r="G6" s="3">
        <v>70</v>
      </c>
      <c r="H6" s="3">
        <f t="shared" si="0"/>
        <v>149</v>
      </c>
      <c r="I6" s="3">
        <f t="shared" si="1"/>
        <v>131</v>
      </c>
      <c r="J6" s="3">
        <v>56</v>
      </c>
      <c r="K6" s="3">
        <v>103</v>
      </c>
      <c r="L6" s="3">
        <v>103</v>
      </c>
      <c r="M6" s="3">
        <v>56</v>
      </c>
      <c r="N6" s="3">
        <f t="shared" si="3"/>
        <v>84</v>
      </c>
      <c r="O6" s="3">
        <v>168</v>
      </c>
      <c r="P6" s="3">
        <v>56</v>
      </c>
      <c r="Q6" s="3">
        <v>26</v>
      </c>
      <c r="R6" s="3">
        <f t="shared" si="4"/>
        <v>86</v>
      </c>
      <c r="S6" s="3">
        <f t="shared" si="5"/>
        <v>196</v>
      </c>
      <c r="T6" s="3">
        <v>182</v>
      </c>
      <c r="U6" s="3">
        <v>70</v>
      </c>
      <c r="V6" s="3">
        <v>75</v>
      </c>
      <c r="W6" s="3">
        <f t="shared" ref="W6:W8" si="67">R6+U6-V6</f>
        <v>81</v>
      </c>
      <c r="X6" s="3">
        <f t="shared" si="6"/>
        <v>308</v>
      </c>
      <c r="Y6" s="3">
        <v>28</v>
      </c>
      <c r="Z6" s="3">
        <v>98</v>
      </c>
      <c r="AA6" s="3">
        <v>110</v>
      </c>
      <c r="AB6" s="3">
        <f t="shared" si="7"/>
        <v>69</v>
      </c>
      <c r="AC6" s="3">
        <f t="shared" si="8"/>
        <v>238</v>
      </c>
      <c r="AD6" s="3">
        <v>98</v>
      </c>
      <c r="AE6" s="3">
        <v>140</v>
      </c>
      <c r="AF6" s="3">
        <v>121</v>
      </c>
      <c r="AG6" s="3">
        <f t="shared" si="9"/>
        <v>88</v>
      </c>
      <c r="AH6" s="3">
        <f t="shared" si="10"/>
        <v>196</v>
      </c>
      <c r="AI6" s="3">
        <v>168</v>
      </c>
      <c r="AJ6" s="3">
        <v>154</v>
      </c>
      <c r="AK6" s="3">
        <v>46</v>
      </c>
      <c r="AL6" s="3">
        <f t="shared" si="11"/>
        <v>196</v>
      </c>
      <c r="AM6" s="3">
        <f t="shared" si="12"/>
        <v>210</v>
      </c>
      <c r="AN6" s="3">
        <v>56</v>
      </c>
      <c r="AO6" s="3"/>
      <c r="AP6" s="3">
        <v>68</v>
      </c>
      <c r="AQ6" s="3">
        <f t="shared" si="13"/>
        <v>128</v>
      </c>
      <c r="AR6" s="3">
        <f t="shared" si="14"/>
        <v>266</v>
      </c>
      <c r="AS6" s="3">
        <v>28</v>
      </c>
      <c r="AT6" s="3">
        <v>28</v>
      </c>
      <c r="AU6" s="3">
        <v>40</v>
      </c>
      <c r="AV6" s="3">
        <f t="shared" si="15"/>
        <v>116</v>
      </c>
      <c r="AW6" s="3">
        <f t="shared" si="16"/>
        <v>266</v>
      </c>
      <c r="AX6" s="3">
        <v>0</v>
      </c>
      <c r="AY6" s="3">
        <v>0</v>
      </c>
      <c r="AZ6" s="3">
        <v>85</v>
      </c>
      <c r="BA6" s="3">
        <f t="shared" si="17"/>
        <v>31</v>
      </c>
      <c r="BB6" s="3">
        <f t="shared" si="18"/>
        <v>266</v>
      </c>
      <c r="BC6" s="3"/>
      <c r="BD6" s="3">
        <v>28</v>
      </c>
      <c r="BE6" s="3">
        <v>26</v>
      </c>
      <c r="BF6" s="3">
        <f t="shared" si="19"/>
        <v>33</v>
      </c>
      <c r="BG6" s="3">
        <f t="shared" si="20"/>
        <v>238</v>
      </c>
      <c r="BH6" s="3"/>
      <c r="BI6" s="3">
        <v>28</v>
      </c>
      <c r="BJ6" s="3">
        <v>0</v>
      </c>
      <c r="BK6" s="3">
        <f t="shared" si="21"/>
        <v>61</v>
      </c>
      <c r="BL6" s="3">
        <f t="shared" si="22"/>
        <v>210</v>
      </c>
      <c r="BM6" s="3"/>
      <c r="BN6" s="3"/>
      <c r="BO6" s="3">
        <v>6</v>
      </c>
      <c r="BP6" s="3">
        <f t="shared" si="23"/>
        <v>55</v>
      </c>
      <c r="BQ6" s="3">
        <f t="shared" si="24"/>
        <v>210</v>
      </c>
      <c r="BR6" s="3"/>
      <c r="BS6" s="3"/>
      <c r="BT6" s="3">
        <v>0</v>
      </c>
      <c r="BU6" s="3">
        <f t="shared" si="25"/>
        <v>55</v>
      </c>
      <c r="BV6" s="3">
        <f t="shared" si="26"/>
        <v>210</v>
      </c>
      <c r="BW6" s="3"/>
      <c r="BX6" s="3"/>
      <c r="BY6" s="3">
        <v>0</v>
      </c>
      <c r="BZ6" s="3">
        <f t="shared" si="27"/>
        <v>55</v>
      </c>
      <c r="CA6" s="3">
        <f t="shared" si="28"/>
        <v>210</v>
      </c>
      <c r="CB6" s="3"/>
      <c r="CC6" s="3"/>
      <c r="CD6" s="3">
        <v>0</v>
      </c>
      <c r="CE6" s="3">
        <f t="shared" si="29"/>
        <v>55</v>
      </c>
      <c r="CF6" s="3">
        <f t="shared" si="30"/>
        <v>210</v>
      </c>
      <c r="CG6" s="3"/>
      <c r="CH6" s="3"/>
      <c r="CI6" s="3">
        <v>0</v>
      </c>
      <c r="CJ6" s="3">
        <f t="shared" si="31"/>
        <v>55</v>
      </c>
      <c r="CK6" s="3">
        <f t="shared" si="32"/>
        <v>210</v>
      </c>
      <c r="CL6" s="3"/>
      <c r="CM6" s="3"/>
      <c r="CN6" s="3">
        <v>0</v>
      </c>
      <c r="CO6" s="3">
        <f t="shared" si="33"/>
        <v>55</v>
      </c>
      <c r="CP6" s="3">
        <f t="shared" si="34"/>
        <v>210</v>
      </c>
      <c r="CQ6" s="3"/>
      <c r="CR6" s="3"/>
      <c r="CS6" s="3">
        <v>0</v>
      </c>
      <c r="CT6" s="3">
        <f t="shared" si="35"/>
        <v>55</v>
      </c>
      <c r="CU6" s="3">
        <f t="shared" si="36"/>
        <v>210</v>
      </c>
      <c r="CV6" s="3"/>
      <c r="CW6" s="3"/>
      <c r="CX6" s="3">
        <v>0</v>
      </c>
      <c r="CY6" s="3">
        <f t="shared" si="37"/>
        <v>55</v>
      </c>
      <c r="CZ6" s="3">
        <f t="shared" si="38"/>
        <v>210</v>
      </c>
      <c r="DA6" s="3"/>
      <c r="DB6" s="3"/>
      <c r="DC6" s="3">
        <v>0</v>
      </c>
      <c r="DD6" s="3">
        <f t="shared" si="39"/>
        <v>55</v>
      </c>
      <c r="DE6" s="3">
        <f t="shared" si="40"/>
        <v>210</v>
      </c>
      <c r="DF6" s="3"/>
      <c r="DG6" s="3"/>
      <c r="DH6" s="3">
        <v>0</v>
      </c>
      <c r="DI6" s="3">
        <f t="shared" si="41"/>
        <v>55</v>
      </c>
      <c r="DJ6" s="3">
        <f t="shared" si="42"/>
        <v>210</v>
      </c>
      <c r="DK6" s="3"/>
      <c r="DL6" s="3"/>
      <c r="DM6" s="3">
        <v>0</v>
      </c>
      <c r="DN6" s="3">
        <f t="shared" si="43"/>
        <v>55</v>
      </c>
      <c r="DO6" s="3">
        <f t="shared" si="44"/>
        <v>210</v>
      </c>
      <c r="DP6" s="3"/>
      <c r="DQ6" s="3"/>
      <c r="DR6" s="3">
        <v>0</v>
      </c>
      <c r="DS6" s="3">
        <f t="shared" si="45"/>
        <v>55</v>
      </c>
      <c r="DT6" s="3">
        <f t="shared" si="46"/>
        <v>210</v>
      </c>
      <c r="DU6" s="3"/>
      <c r="DV6" s="3"/>
      <c r="DW6" s="3">
        <v>0</v>
      </c>
      <c r="DX6" s="3">
        <f t="shared" si="47"/>
        <v>55</v>
      </c>
      <c r="DY6" s="3">
        <f t="shared" si="48"/>
        <v>210</v>
      </c>
      <c r="DZ6" s="3"/>
      <c r="EA6" s="3"/>
      <c r="EB6" s="3">
        <v>0</v>
      </c>
      <c r="EC6" s="3">
        <f t="shared" si="49"/>
        <v>55</v>
      </c>
      <c r="ED6" s="3">
        <f t="shared" si="50"/>
        <v>210</v>
      </c>
      <c r="EE6" s="3"/>
      <c r="EF6" s="3"/>
      <c r="EG6" s="3">
        <v>0</v>
      </c>
      <c r="EH6" s="3">
        <f t="shared" si="51"/>
        <v>55</v>
      </c>
      <c r="EI6" s="3">
        <f t="shared" si="52"/>
        <v>210</v>
      </c>
      <c r="EJ6" s="3"/>
      <c r="EK6" s="3"/>
      <c r="EL6" s="3">
        <v>0</v>
      </c>
      <c r="EM6" s="3">
        <f t="shared" si="53"/>
        <v>55</v>
      </c>
      <c r="EN6" s="3">
        <f t="shared" si="54"/>
        <v>210</v>
      </c>
      <c r="EO6" s="3"/>
      <c r="EP6" s="3"/>
      <c r="EQ6" s="3">
        <v>0</v>
      </c>
      <c r="ER6" s="3">
        <f t="shared" si="55"/>
        <v>55</v>
      </c>
      <c r="ES6" s="3">
        <f t="shared" si="56"/>
        <v>210</v>
      </c>
      <c r="ET6" s="3"/>
      <c r="EU6" s="3"/>
      <c r="EV6" s="3">
        <v>0</v>
      </c>
      <c r="EW6" s="3">
        <f t="shared" si="57"/>
        <v>55</v>
      </c>
      <c r="EX6" s="3">
        <f t="shared" si="58"/>
        <v>210</v>
      </c>
      <c r="EY6" s="3"/>
      <c r="EZ6" s="3"/>
      <c r="FA6" s="3">
        <v>0</v>
      </c>
      <c r="FB6" s="3">
        <f t="shared" si="59"/>
        <v>55</v>
      </c>
      <c r="FC6" s="3">
        <f t="shared" si="60"/>
        <v>210</v>
      </c>
      <c r="FD6" s="3"/>
      <c r="FE6" s="3"/>
      <c r="FF6" s="3">
        <v>0</v>
      </c>
      <c r="FG6" s="3">
        <f t="shared" si="61"/>
        <v>55</v>
      </c>
      <c r="FH6" s="3">
        <f t="shared" si="62"/>
        <v>210</v>
      </c>
      <c r="FI6" s="3"/>
      <c r="FJ6" s="3"/>
      <c r="FK6" s="3">
        <v>0</v>
      </c>
      <c r="FL6" s="3">
        <f t="shared" si="63"/>
        <v>55</v>
      </c>
      <c r="FM6" s="3">
        <f t="shared" si="64"/>
        <v>210</v>
      </c>
      <c r="FN6" s="3"/>
      <c r="FO6" s="3"/>
      <c r="FP6" s="3">
        <v>0</v>
      </c>
      <c r="FQ6" s="3">
        <f t="shared" si="65"/>
        <v>55</v>
      </c>
      <c r="FR6" s="3">
        <f t="shared" si="66"/>
        <v>210</v>
      </c>
      <c r="FS6" s="3"/>
      <c r="FT6" s="3"/>
      <c r="FU6" s="3">
        <v>0</v>
      </c>
    </row>
    <row r="7" spans="1:177" x14ac:dyDescent="0.35">
      <c r="A7" s="2" t="s">
        <v>3</v>
      </c>
      <c r="B7" s="2" t="s">
        <v>16</v>
      </c>
      <c r="C7" s="21">
        <v>40</v>
      </c>
      <c r="D7" s="3">
        <v>42</v>
      </c>
      <c r="E7" s="3">
        <v>43</v>
      </c>
      <c r="F7" s="3">
        <v>1</v>
      </c>
      <c r="G7" s="3">
        <v>0</v>
      </c>
      <c r="H7" s="3">
        <f t="shared" si="0"/>
        <v>41</v>
      </c>
      <c r="I7" s="3">
        <f t="shared" si="1"/>
        <v>84</v>
      </c>
      <c r="J7" s="3">
        <v>14</v>
      </c>
      <c r="K7" s="3">
        <v>0</v>
      </c>
      <c r="L7" s="3">
        <v>0</v>
      </c>
      <c r="M7" s="3">
        <f t="shared" si="2"/>
        <v>41</v>
      </c>
      <c r="N7" s="3">
        <f t="shared" si="3"/>
        <v>98</v>
      </c>
      <c r="O7" s="3"/>
      <c r="P7" s="3">
        <v>0</v>
      </c>
      <c r="Q7" s="3">
        <v>0</v>
      </c>
      <c r="R7" s="3">
        <f t="shared" si="4"/>
        <v>41</v>
      </c>
      <c r="S7" s="3">
        <f t="shared" si="5"/>
        <v>98</v>
      </c>
      <c r="T7" s="3"/>
      <c r="U7" s="3">
        <v>0</v>
      </c>
      <c r="V7" s="3">
        <v>0</v>
      </c>
      <c r="W7" s="3">
        <f t="shared" si="67"/>
        <v>41</v>
      </c>
      <c r="X7" s="3">
        <f t="shared" si="6"/>
        <v>98</v>
      </c>
      <c r="Y7" s="3"/>
      <c r="Z7" s="3">
        <v>0</v>
      </c>
      <c r="AA7" s="3">
        <v>0</v>
      </c>
      <c r="AB7" s="3">
        <f t="shared" si="7"/>
        <v>41</v>
      </c>
      <c r="AC7" s="3">
        <f t="shared" si="8"/>
        <v>98</v>
      </c>
      <c r="AD7" s="3"/>
      <c r="AE7" s="3">
        <v>0</v>
      </c>
      <c r="AF7" s="3">
        <v>0</v>
      </c>
      <c r="AG7" s="3">
        <f t="shared" si="9"/>
        <v>41</v>
      </c>
      <c r="AH7" s="3">
        <v>84</v>
      </c>
      <c r="AI7" s="3"/>
      <c r="AJ7" s="3">
        <v>0</v>
      </c>
      <c r="AK7" s="3">
        <v>0</v>
      </c>
      <c r="AL7" s="3">
        <f t="shared" si="11"/>
        <v>41</v>
      </c>
      <c r="AM7" s="3">
        <f t="shared" si="12"/>
        <v>84</v>
      </c>
      <c r="AN7" s="3"/>
      <c r="AO7" s="3"/>
      <c r="AP7" s="3">
        <v>0</v>
      </c>
      <c r="AQ7" s="3">
        <f t="shared" si="13"/>
        <v>41</v>
      </c>
      <c r="AR7" s="3">
        <f t="shared" si="14"/>
        <v>84</v>
      </c>
      <c r="AS7" s="3"/>
      <c r="AT7" s="3"/>
      <c r="AU7" s="3">
        <v>0</v>
      </c>
      <c r="AV7" s="3">
        <f t="shared" si="15"/>
        <v>41</v>
      </c>
      <c r="AW7" s="3">
        <f t="shared" si="16"/>
        <v>84</v>
      </c>
      <c r="AX7" s="3">
        <v>0</v>
      </c>
      <c r="AY7" s="3">
        <v>0</v>
      </c>
      <c r="AZ7" s="3">
        <v>0</v>
      </c>
      <c r="BA7" s="3">
        <f t="shared" si="17"/>
        <v>41</v>
      </c>
      <c r="BB7" s="3">
        <f t="shared" si="18"/>
        <v>84</v>
      </c>
      <c r="BC7" s="3"/>
      <c r="BD7" s="3"/>
      <c r="BE7" s="3">
        <v>0</v>
      </c>
      <c r="BF7" s="3">
        <f t="shared" si="19"/>
        <v>41</v>
      </c>
      <c r="BG7" s="3">
        <f t="shared" si="20"/>
        <v>84</v>
      </c>
      <c r="BH7" s="3"/>
      <c r="BI7" s="3"/>
      <c r="BJ7" s="3">
        <v>0</v>
      </c>
      <c r="BK7" s="3">
        <f t="shared" si="21"/>
        <v>41</v>
      </c>
      <c r="BL7" s="3">
        <f t="shared" si="22"/>
        <v>84</v>
      </c>
      <c r="BM7" s="3"/>
      <c r="BN7" s="3"/>
      <c r="BO7" s="3">
        <v>0</v>
      </c>
      <c r="BP7" s="3">
        <f t="shared" si="23"/>
        <v>41</v>
      </c>
      <c r="BQ7" s="3">
        <f t="shared" si="24"/>
        <v>84</v>
      </c>
      <c r="BR7" s="3"/>
      <c r="BS7" s="3"/>
      <c r="BT7" s="3">
        <v>0</v>
      </c>
      <c r="BU7" s="3">
        <f t="shared" si="25"/>
        <v>41</v>
      </c>
      <c r="BV7" s="3">
        <f t="shared" si="26"/>
        <v>84</v>
      </c>
      <c r="BW7" s="3"/>
      <c r="BX7" s="3"/>
      <c r="BY7" s="3">
        <v>0</v>
      </c>
      <c r="BZ7" s="3">
        <f t="shared" si="27"/>
        <v>41</v>
      </c>
      <c r="CA7" s="3">
        <f t="shared" si="28"/>
        <v>84</v>
      </c>
      <c r="CB7" s="3"/>
      <c r="CC7" s="3"/>
      <c r="CD7" s="3">
        <v>0</v>
      </c>
      <c r="CE7" s="3">
        <f t="shared" si="29"/>
        <v>41</v>
      </c>
      <c r="CF7" s="3">
        <f t="shared" si="30"/>
        <v>84</v>
      </c>
      <c r="CG7" s="3"/>
      <c r="CH7" s="3"/>
      <c r="CI7" s="3">
        <v>0</v>
      </c>
      <c r="CJ7" s="3">
        <f t="shared" si="31"/>
        <v>41</v>
      </c>
      <c r="CK7" s="3">
        <f t="shared" si="32"/>
        <v>84</v>
      </c>
      <c r="CL7" s="3"/>
      <c r="CM7" s="3"/>
      <c r="CN7" s="3">
        <v>0</v>
      </c>
      <c r="CO7" s="3">
        <f t="shared" si="33"/>
        <v>41</v>
      </c>
      <c r="CP7" s="3">
        <f t="shared" si="34"/>
        <v>84</v>
      </c>
      <c r="CQ7" s="3"/>
      <c r="CR7" s="3"/>
      <c r="CS7" s="3">
        <v>0</v>
      </c>
      <c r="CT7" s="3">
        <f t="shared" si="35"/>
        <v>41</v>
      </c>
      <c r="CU7" s="3">
        <f t="shared" si="36"/>
        <v>84</v>
      </c>
      <c r="CV7" s="3"/>
      <c r="CW7" s="3"/>
      <c r="CX7" s="3">
        <v>0</v>
      </c>
      <c r="CY7" s="3">
        <f t="shared" si="37"/>
        <v>41</v>
      </c>
      <c r="CZ7" s="3">
        <f t="shared" si="38"/>
        <v>84</v>
      </c>
      <c r="DA7" s="3"/>
      <c r="DB7" s="3"/>
      <c r="DC7" s="3">
        <v>0</v>
      </c>
      <c r="DD7" s="3">
        <f t="shared" si="39"/>
        <v>41</v>
      </c>
      <c r="DE7" s="3">
        <f t="shared" si="40"/>
        <v>84</v>
      </c>
      <c r="DF7" s="3"/>
      <c r="DG7" s="3"/>
      <c r="DH7" s="3">
        <v>0</v>
      </c>
      <c r="DI7" s="3">
        <f t="shared" si="41"/>
        <v>41</v>
      </c>
      <c r="DJ7" s="3">
        <f t="shared" si="42"/>
        <v>84</v>
      </c>
      <c r="DK7" s="3"/>
      <c r="DL7" s="3"/>
      <c r="DM7" s="3">
        <v>0</v>
      </c>
      <c r="DN7" s="3">
        <f t="shared" si="43"/>
        <v>41</v>
      </c>
      <c r="DO7" s="3">
        <f t="shared" si="44"/>
        <v>84</v>
      </c>
      <c r="DP7" s="3"/>
      <c r="DQ7" s="3"/>
      <c r="DR7" s="3">
        <v>0</v>
      </c>
      <c r="DS7" s="3">
        <f t="shared" si="45"/>
        <v>41</v>
      </c>
      <c r="DT7" s="3">
        <f t="shared" si="46"/>
        <v>84</v>
      </c>
      <c r="DU7" s="3"/>
      <c r="DV7" s="3"/>
      <c r="DW7" s="3">
        <v>0</v>
      </c>
      <c r="DX7" s="3">
        <f t="shared" si="47"/>
        <v>41</v>
      </c>
      <c r="DY7" s="3">
        <f t="shared" si="48"/>
        <v>84</v>
      </c>
      <c r="DZ7" s="3"/>
      <c r="EA7" s="3"/>
      <c r="EB7" s="3">
        <v>0</v>
      </c>
      <c r="EC7" s="3">
        <f t="shared" si="49"/>
        <v>41</v>
      </c>
      <c r="ED7" s="3">
        <f t="shared" si="50"/>
        <v>84</v>
      </c>
      <c r="EE7" s="3"/>
      <c r="EF7" s="3"/>
      <c r="EG7" s="3">
        <v>0</v>
      </c>
      <c r="EH7" s="3">
        <f t="shared" si="51"/>
        <v>41</v>
      </c>
      <c r="EI7" s="3">
        <f t="shared" si="52"/>
        <v>84</v>
      </c>
      <c r="EJ7" s="3"/>
      <c r="EK7" s="3"/>
      <c r="EL7" s="3">
        <v>0</v>
      </c>
      <c r="EM7" s="3">
        <f t="shared" si="53"/>
        <v>41</v>
      </c>
      <c r="EN7" s="3">
        <f t="shared" si="54"/>
        <v>84</v>
      </c>
      <c r="EO7" s="3"/>
      <c r="EP7" s="3"/>
      <c r="EQ7" s="3">
        <v>0</v>
      </c>
      <c r="ER7" s="3">
        <f t="shared" si="55"/>
        <v>41</v>
      </c>
      <c r="ES7" s="3">
        <f t="shared" si="56"/>
        <v>84</v>
      </c>
      <c r="ET7" s="3"/>
      <c r="EU7" s="3"/>
      <c r="EV7" s="3">
        <v>0</v>
      </c>
      <c r="EW7" s="3">
        <f t="shared" si="57"/>
        <v>41</v>
      </c>
      <c r="EX7" s="3">
        <f t="shared" si="58"/>
        <v>84</v>
      </c>
      <c r="EY7" s="3"/>
      <c r="EZ7" s="3"/>
      <c r="FA7" s="3">
        <v>0</v>
      </c>
      <c r="FB7" s="3">
        <f t="shared" si="59"/>
        <v>41</v>
      </c>
      <c r="FC7" s="3">
        <f t="shared" si="60"/>
        <v>84</v>
      </c>
      <c r="FD7" s="3"/>
      <c r="FE7" s="3"/>
      <c r="FF7" s="3">
        <v>0</v>
      </c>
      <c r="FG7" s="3">
        <f t="shared" si="61"/>
        <v>41</v>
      </c>
      <c r="FH7" s="3">
        <f t="shared" si="62"/>
        <v>84</v>
      </c>
      <c r="FI7" s="3"/>
      <c r="FJ7" s="3"/>
      <c r="FK7" s="3">
        <v>0</v>
      </c>
      <c r="FL7" s="3">
        <f t="shared" si="63"/>
        <v>41</v>
      </c>
      <c r="FM7" s="3">
        <f t="shared" si="64"/>
        <v>84</v>
      </c>
      <c r="FN7" s="3"/>
      <c r="FO7" s="3"/>
      <c r="FP7" s="3">
        <v>0</v>
      </c>
      <c r="FQ7" s="3">
        <f t="shared" si="65"/>
        <v>41</v>
      </c>
      <c r="FR7" s="3">
        <f t="shared" si="66"/>
        <v>84</v>
      </c>
      <c r="FS7" s="3"/>
      <c r="FT7" s="3"/>
      <c r="FU7" s="3">
        <v>0</v>
      </c>
    </row>
    <row r="8" spans="1:177" x14ac:dyDescent="0.35">
      <c r="A8" s="2" t="s">
        <v>5</v>
      </c>
      <c r="B8" s="2" t="s">
        <v>18</v>
      </c>
      <c r="C8" s="21">
        <v>28</v>
      </c>
      <c r="D8" s="3">
        <v>28</v>
      </c>
      <c r="E8" s="3">
        <v>14</v>
      </c>
      <c r="F8" s="3">
        <v>0</v>
      </c>
      <c r="G8" s="3">
        <v>0</v>
      </c>
      <c r="H8" s="3">
        <f t="shared" si="0"/>
        <v>28</v>
      </c>
      <c r="I8" s="3">
        <f t="shared" si="1"/>
        <v>42</v>
      </c>
      <c r="J8" s="3">
        <v>14</v>
      </c>
      <c r="K8" s="3">
        <v>0</v>
      </c>
      <c r="L8" s="3">
        <v>0</v>
      </c>
      <c r="M8" s="3">
        <f t="shared" si="2"/>
        <v>28</v>
      </c>
      <c r="N8" s="3">
        <f t="shared" si="3"/>
        <v>56</v>
      </c>
      <c r="O8" s="3"/>
      <c r="P8" s="3">
        <v>0</v>
      </c>
      <c r="Q8" s="3">
        <v>0</v>
      </c>
      <c r="R8" s="3">
        <f t="shared" si="4"/>
        <v>28</v>
      </c>
      <c r="S8" s="3">
        <f t="shared" si="5"/>
        <v>56</v>
      </c>
      <c r="T8" s="3"/>
      <c r="U8" s="3">
        <v>0</v>
      </c>
      <c r="V8" s="3">
        <v>0</v>
      </c>
      <c r="W8" s="3">
        <f t="shared" si="67"/>
        <v>28</v>
      </c>
      <c r="X8" s="3">
        <f t="shared" si="6"/>
        <v>56</v>
      </c>
      <c r="Y8" s="3"/>
      <c r="Z8" s="3">
        <v>0</v>
      </c>
      <c r="AA8" s="3">
        <v>0</v>
      </c>
      <c r="AB8" s="3">
        <f t="shared" si="7"/>
        <v>28</v>
      </c>
      <c r="AC8" s="3">
        <f t="shared" si="8"/>
        <v>56</v>
      </c>
      <c r="AD8" s="3"/>
      <c r="AE8" s="3">
        <v>0</v>
      </c>
      <c r="AF8" s="3">
        <v>0</v>
      </c>
      <c r="AG8" s="3">
        <f t="shared" si="9"/>
        <v>28</v>
      </c>
      <c r="AH8" s="3">
        <f t="shared" si="10"/>
        <v>56</v>
      </c>
      <c r="AI8" s="3"/>
      <c r="AJ8" s="3">
        <v>0</v>
      </c>
      <c r="AK8" s="3">
        <v>0</v>
      </c>
      <c r="AL8" s="3">
        <f t="shared" si="11"/>
        <v>28</v>
      </c>
      <c r="AM8" s="3">
        <f t="shared" si="12"/>
        <v>56</v>
      </c>
      <c r="AN8" s="3"/>
      <c r="AO8" s="3"/>
      <c r="AP8" s="3">
        <v>0</v>
      </c>
      <c r="AQ8" s="3">
        <f t="shared" si="13"/>
        <v>28</v>
      </c>
      <c r="AR8" s="3">
        <f t="shared" si="14"/>
        <v>56</v>
      </c>
      <c r="AS8" s="3"/>
      <c r="AT8" s="3"/>
      <c r="AU8" s="3">
        <v>0</v>
      </c>
      <c r="AV8" s="3">
        <f t="shared" si="15"/>
        <v>28</v>
      </c>
      <c r="AW8" s="3">
        <f t="shared" si="16"/>
        <v>56</v>
      </c>
      <c r="AX8" s="3">
        <v>0</v>
      </c>
      <c r="AY8" s="3">
        <v>0</v>
      </c>
      <c r="AZ8" s="3">
        <v>0</v>
      </c>
      <c r="BA8" s="3">
        <f t="shared" si="17"/>
        <v>28</v>
      </c>
      <c r="BB8" s="3">
        <f t="shared" si="18"/>
        <v>56</v>
      </c>
      <c r="BC8" s="3"/>
      <c r="BD8" s="3"/>
      <c r="BE8" s="3">
        <v>0</v>
      </c>
      <c r="BF8" s="3">
        <f t="shared" si="19"/>
        <v>28</v>
      </c>
      <c r="BG8" s="3">
        <f t="shared" si="20"/>
        <v>56</v>
      </c>
      <c r="BH8" s="3"/>
      <c r="BI8" s="3"/>
      <c r="BJ8" s="3">
        <v>0</v>
      </c>
      <c r="BK8" s="3">
        <f t="shared" si="21"/>
        <v>28</v>
      </c>
      <c r="BL8" s="3">
        <f t="shared" si="22"/>
        <v>56</v>
      </c>
      <c r="BM8" s="3"/>
      <c r="BN8" s="3"/>
      <c r="BO8" s="3">
        <v>0</v>
      </c>
      <c r="BP8" s="3">
        <f t="shared" si="23"/>
        <v>28</v>
      </c>
      <c r="BQ8" s="3">
        <f t="shared" si="24"/>
        <v>56</v>
      </c>
      <c r="BR8" s="3"/>
      <c r="BS8" s="3"/>
      <c r="BT8" s="3">
        <v>0</v>
      </c>
      <c r="BU8" s="3">
        <f t="shared" si="25"/>
        <v>28</v>
      </c>
      <c r="BV8" s="3">
        <f t="shared" si="26"/>
        <v>56</v>
      </c>
      <c r="BW8" s="3"/>
      <c r="BX8" s="3"/>
      <c r="BY8" s="3">
        <v>0</v>
      </c>
      <c r="BZ8" s="3">
        <f t="shared" si="27"/>
        <v>28</v>
      </c>
      <c r="CA8" s="3">
        <f t="shared" si="28"/>
        <v>56</v>
      </c>
      <c r="CB8" s="3"/>
      <c r="CC8" s="3"/>
      <c r="CD8" s="3">
        <v>0</v>
      </c>
      <c r="CE8" s="3">
        <f t="shared" si="29"/>
        <v>28</v>
      </c>
      <c r="CF8" s="3">
        <f t="shared" si="30"/>
        <v>56</v>
      </c>
      <c r="CG8" s="3"/>
      <c r="CH8" s="3"/>
      <c r="CI8" s="3">
        <v>0</v>
      </c>
      <c r="CJ8" s="3">
        <f t="shared" si="31"/>
        <v>28</v>
      </c>
      <c r="CK8" s="3">
        <f t="shared" si="32"/>
        <v>56</v>
      </c>
      <c r="CL8" s="3"/>
      <c r="CM8" s="3"/>
      <c r="CN8" s="3">
        <v>0</v>
      </c>
      <c r="CO8" s="3">
        <f t="shared" si="33"/>
        <v>28</v>
      </c>
      <c r="CP8" s="3">
        <f t="shared" si="34"/>
        <v>56</v>
      </c>
      <c r="CQ8" s="3"/>
      <c r="CR8" s="3"/>
      <c r="CS8" s="3">
        <v>0</v>
      </c>
      <c r="CT8" s="3">
        <f t="shared" si="35"/>
        <v>28</v>
      </c>
      <c r="CU8" s="3">
        <f t="shared" si="36"/>
        <v>56</v>
      </c>
      <c r="CV8" s="3"/>
      <c r="CW8" s="3"/>
      <c r="CX8" s="3">
        <v>0</v>
      </c>
      <c r="CY8" s="3">
        <f t="shared" si="37"/>
        <v>28</v>
      </c>
      <c r="CZ8" s="3">
        <f t="shared" si="38"/>
        <v>56</v>
      </c>
      <c r="DA8" s="3"/>
      <c r="DB8" s="3"/>
      <c r="DC8" s="3">
        <v>0</v>
      </c>
      <c r="DD8" s="3">
        <f t="shared" si="39"/>
        <v>28</v>
      </c>
      <c r="DE8" s="3">
        <f t="shared" si="40"/>
        <v>56</v>
      </c>
      <c r="DF8" s="3"/>
      <c r="DG8" s="3"/>
      <c r="DH8" s="3">
        <v>0</v>
      </c>
      <c r="DI8" s="3">
        <f t="shared" si="41"/>
        <v>28</v>
      </c>
      <c r="DJ8" s="3">
        <f t="shared" si="42"/>
        <v>56</v>
      </c>
      <c r="DK8" s="3"/>
      <c r="DL8" s="3"/>
      <c r="DM8" s="3">
        <v>0</v>
      </c>
      <c r="DN8" s="3">
        <f t="shared" si="43"/>
        <v>28</v>
      </c>
      <c r="DO8" s="3">
        <f t="shared" si="44"/>
        <v>56</v>
      </c>
      <c r="DP8" s="3"/>
      <c r="DQ8" s="3"/>
      <c r="DR8" s="3">
        <v>0</v>
      </c>
      <c r="DS8" s="3">
        <f t="shared" si="45"/>
        <v>28</v>
      </c>
      <c r="DT8" s="3">
        <f t="shared" si="46"/>
        <v>56</v>
      </c>
      <c r="DU8" s="3"/>
      <c r="DV8" s="3"/>
      <c r="DW8" s="3">
        <v>0</v>
      </c>
      <c r="DX8" s="3">
        <f t="shared" si="47"/>
        <v>28</v>
      </c>
      <c r="DY8" s="3">
        <f t="shared" si="48"/>
        <v>56</v>
      </c>
      <c r="DZ8" s="3"/>
      <c r="EA8" s="3"/>
      <c r="EB8" s="3">
        <v>0</v>
      </c>
      <c r="EC8" s="3">
        <f t="shared" si="49"/>
        <v>28</v>
      </c>
      <c r="ED8" s="3">
        <f t="shared" si="50"/>
        <v>56</v>
      </c>
      <c r="EE8" s="3"/>
      <c r="EF8" s="3"/>
      <c r="EG8" s="3">
        <v>0</v>
      </c>
      <c r="EH8" s="3">
        <f t="shared" si="51"/>
        <v>28</v>
      </c>
      <c r="EI8" s="3">
        <f t="shared" si="52"/>
        <v>56</v>
      </c>
      <c r="EJ8" s="3"/>
      <c r="EK8" s="3"/>
      <c r="EL8" s="3">
        <v>0</v>
      </c>
      <c r="EM8" s="3">
        <f t="shared" si="53"/>
        <v>28</v>
      </c>
      <c r="EN8" s="3">
        <f t="shared" si="54"/>
        <v>56</v>
      </c>
      <c r="EO8" s="3"/>
      <c r="EP8" s="3"/>
      <c r="EQ8" s="3">
        <v>0</v>
      </c>
      <c r="ER8" s="3">
        <f t="shared" si="55"/>
        <v>28</v>
      </c>
      <c r="ES8" s="3">
        <f t="shared" si="56"/>
        <v>56</v>
      </c>
      <c r="ET8" s="3"/>
      <c r="EU8" s="3"/>
      <c r="EV8" s="3">
        <v>0</v>
      </c>
      <c r="EW8" s="3">
        <f t="shared" si="57"/>
        <v>28</v>
      </c>
      <c r="EX8" s="3">
        <f t="shared" si="58"/>
        <v>56</v>
      </c>
      <c r="EY8" s="3"/>
      <c r="EZ8" s="3"/>
      <c r="FA8" s="3">
        <v>0</v>
      </c>
      <c r="FB8" s="3">
        <f t="shared" si="59"/>
        <v>28</v>
      </c>
      <c r="FC8" s="3">
        <f t="shared" si="60"/>
        <v>56</v>
      </c>
      <c r="FD8" s="3"/>
      <c r="FE8" s="3"/>
      <c r="FF8" s="3">
        <v>0</v>
      </c>
      <c r="FG8" s="3">
        <f t="shared" si="61"/>
        <v>28</v>
      </c>
      <c r="FH8" s="3">
        <f t="shared" si="62"/>
        <v>56</v>
      </c>
      <c r="FI8" s="3"/>
      <c r="FJ8" s="3"/>
      <c r="FK8" s="3">
        <v>0</v>
      </c>
      <c r="FL8" s="3">
        <f t="shared" si="63"/>
        <v>28</v>
      </c>
      <c r="FM8" s="3">
        <f t="shared" si="64"/>
        <v>56</v>
      </c>
      <c r="FN8" s="3"/>
      <c r="FO8" s="3"/>
      <c r="FP8" s="3">
        <v>0</v>
      </c>
      <c r="FQ8" s="3">
        <f t="shared" si="65"/>
        <v>28</v>
      </c>
      <c r="FR8" s="3">
        <f t="shared" si="66"/>
        <v>56</v>
      </c>
      <c r="FS8" s="3"/>
      <c r="FT8" s="3"/>
      <c r="FU8" s="3">
        <v>0</v>
      </c>
    </row>
    <row r="9" spans="1:177" x14ac:dyDescent="0.35">
      <c r="A9" s="2" t="s">
        <v>6</v>
      </c>
      <c r="B9" s="2" t="s">
        <v>19</v>
      </c>
      <c r="C9" s="21">
        <v>28</v>
      </c>
      <c r="D9" s="3">
        <v>42</v>
      </c>
      <c r="E9" s="3"/>
      <c r="F9" s="3">
        <v>0</v>
      </c>
      <c r="G9" s="3">
        <v>0</v>
      </c>
      <c r="H9" s="3">
        <f t="shared" si="0"/>
        <v>28</v>
      </c>
      <c r="I9" s="3">
        <f t="shared" si="1"/>
        <v>42</v>
      </c>
      <c r="J9" s="3"/>
      <c r="K9" s="3">
        <v>14</v>
      </c>
      <c r="L9" s="3">
        <v>0</v>
      </c>
      <c r="M9" s="3">
        <f t="shared" si="2"/>
        <v>42</v>
      </c>
      <c r="N9" s="3">
        <f t="shared" si="3"/>
        <v>28</v>
      </c>
      <c r="O9" s="3"/>
      <c r="P9" s="3">
        <v>0</v>
      </c>
      <c r="Q9" s="3">
        <v>0</v>
      </c>
      <c r="R9" s="3">
        <f t="shared" si="4"/>
        <v>42</v>
      </c>
      <c r="S9" s="3">
        <f t="shared" si="5"/>
        <v>28</v>
      </c>
      <c r="T9" s="3">
        <v>14</v>
      </c>
      <c r="U9" s="3">
        <v>0</v>
      </c>
      <c r="V9" s="3">
        <v>0</v>
      </c>
      <c r="W9" s="3">
        <v>30</v>
      </c>
      <c r="X9" s="3">
        <f t="shared" si="6"/>
        <v>42</v>
      </c>
      <c r="Y9" s="3"/>
      <c r="Z9" s="3">
        <v>0</v>
      </c>
      <c r="AA9" s="3">
        <v>0</v>
      </c>
      <c r="AB9" s="3">
        <f t="shared" si="7"/>
        <v>30</v>
      </c>
      <c r="AC9" s="3">
        <f t="shared" si="8"/>
        <v>42</v>
      </c>
      <c r="AD9" s="3"/>
      <c r="AE9" s="3">
        <v>0</v>
      </c>
      <c r="AF9" s="3">
        <v>0</v>
      </c>
      <c r="AG9" s="3">
        <f t="shared" si="9"/>
        <v>30</v>
      </c>
      <c r="AH9" s="3">
        <f t="shared" si="10"/>
        <v>42</v>
      </c>
      <c r="AI9" s="3"/>
      <c r="AJ9" s="3">
        <v>0</v>
      </c>
      <c r="AK9" s="3">
        <v>0</v>
      </c>
      <c r="AL9" s="3">
        <f t="shared" si="11"/>
        <v>30</v>
      </c>
      <c r="AM9" s="3">
        <f t="shared" si="12"/>
        <v>42</v>
      </c>
      <c r="AN9" s="3"/>
      <c r="AO9" s="3"/>
      <c r="AP9" s="3">
        <v>0</v>
      </c>
      <c r="AQ9" s="3">
        <f t="shared" si="13"/>
        <v>30</v>
      </c>
      <c r="AR9" s="3">
        <f t="shared" si="14"/>
        <v>42</v>
      </c>
      <c r="AS9" s="3"/>
      <c r="AT9" s="3"/>
      <c r="AU9" s="3">
        <v>0</v>
      </c>
      <c r="AV9" s="3">
        <f t="shared" si="15"/>
        <v>30</v>
      </c>
      <c r="AW9" s="3">
        <f t="shared" si="16"/>
        <v>42</v>
      </c>
      <c r="AX9" s="3">
        <v>0</v>
      </c>
      <c r="AY9" s="3">
        <v>0</v>
      </c>
      <c r="AZ9" s="3">
        <v>0</v>
      </c>
      <c r="BA9" s="3">
        <f t="shared" si="17"/>
        <v>30</v>
      </c>
      <c r="BB9" s="3">
        <f t="shared" si="18"/>
        <v>42</v>
      </c>
      <c r="BC9" s="3"/>
      <c r="BD9" s="3"/>
      <c r="BE9" s="3">
        <v>0</v>
      </c>
      <c r="BF9" s="3">
        <f t="shared" si="19"/>
        <v>30</v>
      </c>
      <c r="BG9" s="3">
        <f t="shared" si="20"/>
        <v>42</v>
      </c>
      <c r="BH9" s="3"/>
      <c r="BI9" s="3"/>
      <c r="BJ9" s="3">
        <v>0</v>
      </c>
      <c r="BK9" s="3">
        <f t="shared" si="21"/>
        <v>30</v>
      </c>
      <c r="BL9" s="3">
        <f t="shared" si="22"/>
        <v>42</v>
      </c>
      <c r="BM9" s="3"/>
      <c r="BN9" s="3"/>
      <c r="BO9" s="3">
        <v>0</v>
      </c>
      <c r="BP9" s="3">
        <f t="shared" si="23"/>
        <v>30</v>
      </c>
      <c r="BQ9" s="3">
        <f t="shared" si="24"/>
        <v>42</v>
      </c>
      <c r="BR9" s="3"/>
      <c r="BS9" s="3"/>
      <c r="BT9" s="3">
        <v>0</v>
      </c>
      <c r="BU9" s="3">
        <f t="shared" si="25"/>
        <v>30</v>
      </c>
      <c r="BV9" s="3">
        <f t="shared" si="26"/>
        <v>42</v>
      </c>
      <c r="BW9" s="3"/>
      <c r="BX9" s="3"/>
      <c r="BY9" s="3">
        <v>0</v>
      </c>
      <c r="BZ9" s="3">
        <f t="shared" si="27"/>
        <v>30</v>
      </c>
      <c r="CA9" s="3">
        <f t="shared" si="28"/>
        <v>42</v>
      </c>
      <c r="CB9" s="3"/>
      <c r="CC9" s="3"/>
      <c r="CD9" s="3">
        <v>0</v>
      </c>
      <c r="CE9" s="3">
        <f t="shared" si="29"/>
        <v>30</v>
      </c>
      <c r="CF9" s="3">
        <f t="shared" si="30"/>
        <v>42</v>
      </c>
      <c r="CG9" s="3"/>
      <c r="CH9" s="3"/>
      <c r="CI9" s="3">
        <v>0</v>
      </c>
      <c r="CJ9" s="3">
        <f t="shared" si="31"/>
        <v>30</v>
      </c>
      <c r="CK9" s="3">
        <f t="shared" si="32"/>
        <v>42</v>
      </c>
      <c r="CL9" s="3"/>
      <c r="CM9" s="3"/>
      <c r="CN9" s="3">
        <v>0</v>
      </c>
      <c r="CO9" s="3">
        <f t="shared" si="33"/>
        <v>30</v>
      </c>
      <c r="CP9" s="3">
        <f t="shared" si="34"/>
        <v>42</v>
      </c>
      <c r="CQ9" s="3"/>
      <c r="CR9" s="3"/>
      <c r="CS9" s="3">
        <v>0</v>
      </c>
      <c r="CT9" s="3">
        <f t="shared" si="35"/>
        <v>30</v>
      </c>
      <c r="CU9" s="3">
        <f t="shared" si="36"/>
        <v>42</v>
      </c>
      <c r="CV9" s="3"/>
      <c r="CW9" s="3"/>
      <c r="CX9" s="3">
        <v>0</v>
      </c>
      <c r="CY9" s="3">
        <f t="shared" si="37"/>
        <v>30</v>
      </c>
      <c r="CZ9" s="3">
        <f t="shared" si="38"/>
        <v>42</v>
      </c>
      <c r="DA9" s="3"/>
      <c r="DB9" s="3"/>
      <c r="DC9" s="3">
        <v>0</v>
      </c>
      <c r="DD9" s="3">
        <f t="shared" si="39"/>
        <v>30</v>
      </c>
      <c r="DE9" s="3">
        <f t="shared" si="40"/>
        <v>42</v>
      </c>
      <c r="DF9" s="3"/>
      <c r="DG9" s="3"/>
      <c r="DH9" s="3">
        <v>0</v>
      </c>
      <c r="DI9" s="3">
        <f t="shared" si="41"/>
        <v>30</v>
      </c>
      <c r="DJ9" s="3">
        <f t="shared" si="42"/>
        <v>42</v>
      </c>
      <c r="DK9" s="3"/>
      <c r="DL9" s="3"/>
      <c r="DM9" s="3">
        <v>0</v>
      </c>
      <c r="DN9" s="3">
        <f t="shared" si="43"/>
        <v>30</v>
      </c>
      <c r="DO9" s="3">
        <f t="shared" si="44"/>
        <v>42</v>
      </c>
      <c r="DP9" s="3"/>
      <c r="DQ9" s="3"/>
      <c r="DR9" s="3">
        <v>0</v>
      </c>
      <c r="DS9" s="3">
        <f t="shared" si="45"/>
        <v>30</v>
      </c>
      <c r="DT9" s="3">
        <f t="shared" si="46"/>
        <v>42</v>
      </c>
      <c r="DU9" s="3"/>
      <c r="DV9" s="3"/>
      <c r="DW9" s="3">
        <v>0</v>
      </c>
      <c r="DX9" s="3">
        <f t="shared" si="47"/>
        <v>30</v>
      </c>
      <c r="DY9" s="3">
        <f t="shared" si="48"/>
        <v>42</v>
      </c>
      <c r="DZ9" s="3"/>
      <c r="EA9" s="3"/>
      <c r="EB9" s="3">
        <v>0</v>
      </c>
      <c r="EC9" s="3">
        <f t="shared" si="49"/>
        <v>30</v>
      </c>
      <c r="ED9" s="3">
        <f t="shared" si="50"/>
        <v>42</v>
      </c>
      <c r="EE9" s="3"/>
      <c r="EF9" s="3"/>
      <c r="EG9" s="3">
        <v>0</v>
      </c>
      <c r="EH9" s="3">
        <f t="shared" si="51"/>
        <v>30</v>
      </c>
      <c r="EI9" s="3">
        <f t="shared" si="52"/>
        <v>42</v>
      </c>
      <c r="EJ9" s="3"/>
      <c r="EK9" s="3"/>
      <c r="EL9" s="3">
        <v>0</v>
      </c>
      <c r="EM9" s="3">
        <f t="shared" si="53"/>
        <v>30</v>
      </c>
      <c r="EN9" s="3">
        <f t="shared" si="54"/>
        <v>42</v>
      </c>
      <c r="EO9" s="3"/>
      <c r="EP9" s="3"/>
      <c r="EQ9" s="3">
        <v>0</v>
      </c>
      <c r="ER9" s="3">
        <f t="shared" si="55"/>
        <v>30</v>
      </c>
      <c r="ES9" s="3">
        <f t="shared" si="56"/>
        <v>42</v>
      </c>
      <c r="ET9" s="3"/>
      <c r="EU9" s="3"/>
      <c r="EV9" s="3">
        <v>0</v>
      </c>
      <c r="EW9" s="3">
        <f t="shared" si="57"/>
        <v>30</v>
      </c>
      <c r="EX9" s="3">
        <f t="shared" si="58"/>
        <v>42</v>
      </c>
      <c r="EY9" s="3"/>
      <c r="EZ9" s="3"/>
      <c r="FA9" s="3">
        <v>0</v>
      </c>
      <c r="FB9" s="3">
        <f t="shared" si="59"/>
        <v>30</v>
      </c>
      <c r="FC9" s="3">
        <f t="shared" si="60"/>
        <v>42</v>
      </c>
      <c r="FD9" s="3"/>
      <c r="FE9" s="3"/>
      <c r="FF9" s="3">
        <v>0</v>
      </c>
      <c r="FG9" s="3">
        <f t="shared" si="61"/>
        <v>30</v>
      </c>
      <c r="FH9" s="3">
        <f t="shared" si="62"/>
        <v>42</v>
      </c>
      <c r="FI9" s="3"/>
      <c r="FJ9" s="3"/>
      <c r="FK9" s="3">
        <v>0</v>
      </c>
      <c r="FL9" s="3">
        <f t="shared" si="63"/>
        <v>30</v>
      </c>
      <c r="FM9" s="3">
        <f t="shared" si="64"/>
        <v>42</v>
      </c>
      <c r="FN9" s="3"/>
      <c r="FO9" s="3"/>
      <c r="FP9" s="3">
        <v>0</v>
      </c>
      <c r="FQ9" s="3">
        <f t="shared" si="65"/>
        <v>30</v>
      </c>
      <c r="FR9" s="3">
        <f t="shared" si="66"/>
        <v>42</v>
      </c>
      <c r="FS9" s="3"/>
      <c r="FT9" s="3"/>
      <c r="FU9" s="3">
        <v>0</v>
      </c>
    </row>
    <row r="10" spans="1:177" x14ac:dyDescent="0.35">
      <c r="A10" s="2" t="s">
        <v>7</v>
      </c>
      <c r="B10" s="2" t="s">
        <v>20</v>
      </c>
      <c r="C10" s="21">
        <v>38</v>
      </c>
      <c r="D10" s="3">
        <v>28</v>
      </c>
      <c r="E10" s="3">
        <v>56</v>
      </c>
      <c r="F10" s="3">
        <v>0</v>
      </c>
      <c r="G10" s="3">
        <v>0</v>
      </c>
      <c r="H10" s="3">
        <f t="shared" ref="H10" si="68">C10+F10-G10</f>
        <v>38</v>
      </c>
      <c r="I10" s="3">
        <f t="shared" ref="I10" si="69">D10+E10-F10</f>
        <v>84</v>
      </c>
      <c r="J10" s="3"/>
      <c r="K10" s="3">
        <v>42</v>
      </c>
      <c r="L10" s="3">
        <v>0</v>
      </c>
      <c r="M10" s="3">
        <f t="shared" ref="M10" si="70">H10+K10-L10</f>
        <v>80</v>
      </c>
      <c r="N10" s="3">
        <f t="shared" ref="N10" si="71">I10+J10-K10</f>
        <v>42</v>
      </c>
      <c r="O10" s="3"/>
      <c r="P10" s="3">
        <v>0</v>
      </c>
      <c r="Q10" s="3">
        <v>0</v>
      </c>
      <c r="R10" s="3">
        <f t="shared" si="4"/>
        <v>80</v>
      </c>
      <c r="S10" s="3">
        <f t="shared" si="5"/>
        <v>42</v>
      </c>
      <c r="T10" s="3"/>
      <c r="U10" s="3">
        <v>0</v>
      </c>
      <c r="V10" s="3">
        <v>13</v>
      </c>
      <c r="W10" s="3">
        <v>28</v>
      </c>
      <c r="X10" s="3">
        <f t="shared" si="6"/>
        <v>42</v>
      </c>
      <c r="Y10" s="3">
        <v>28</v>
      </c>
      <c r="Z10" s="3">
        <v>14</v>
      </c>
      <c r="AA10" s="3">
        <v>10</v>
      </c>
      <c r="AB10" s="3">
        <f t="shared" si="7"/>
        <v>32</v>
      </c>
      <c r="AC10" s="3">
        <f t="shared" si="8"/>
        <v>56</v>
      </c>
      <c r="AD10" s="3"/>
      <c r="AE10" s="3">
        <v>28</v>
      </c>
      <c r="AF10" s="3">
        <v>4</v>
      </c>
      <c r="AG10" s="3">
        <f t="shared" si="9"/>
        <v>56</v>
      </c>
      <c r="AH10" s="3">
        <f t="shared" si="10"/>
        <v>28</v>
      </c>
      <c r="AI10" s="3">
        <v>14</v>
      </c>
      <c r="AJ10" s="3">
        <v>42</v>
      </c>
      <c r="AK10" s="3">
        <v>45</v>
      </c>
      <c r="AL10" s="3">
        <f t="shared" si="11"/>
        <v>53</v>
      </c>
      <c r="AM10" s="3">
        <f t="shared" si="12"/>
        <v>0</v>
      </c>
      <c r="AN10" s="3">
        <v>28</v>
      </c>
      <c r="AO10" s="3">
        <v>28</v>
      </c>
      <c r="AP10" s="3">
        <v>27</v>
      </c>
      <c r="AQ10" s="3">
        <f t="shared" si="13"/>
        <v>54</v>
      </c>
      <c r="AR10" s="3">
        <f t="shared" si="14"/>
        <v>0</v>
      </c>
      <c r="AS10" s="3"/>
      <c r="AT10" s="3"/>
      <c r="AU10" s="3">
        <v>0</v>
      </c>
      <c r="AV10" s="3">
        <f t="shared" si="15"/>
        <v>54</v>
      </c>
      <c r="AW10" s="3">
        <f t="shared" si="16"/>
        <v>0</v>
      </c>
      <c r="AX10" s="3">
        <v>0</v>
      </c>
      <c r="AY10" s="3">
        <v>0</v>
      </c>
      <c r="AZ10" s="3">
        <v>0</v>
      </c>
      <c r="BA10" s="3">
        <f t="shared" si="17"/>
        <v>54</v>
      </c>
      <c r="BB10" s="3">
        <f t="shared" si="18"/>
        <v>0</v>
      </c>
      <c r="BC10" s="3"/>
      <c r="BD10" s="3"/>
      <c r="BE10" s="3">
        <v>1</v>
      </c>
      <c r="BF10" s="3">
        <f t="shared" si="19"/>
        <v>53</v>
      </c>
      <c r="BG10" s="3">
        <f t="shared" si="20"/>
        <v>0</v>
      </c>
      <c r="BH10" s="3"/>
      <c r="BI10" s="3"/>
      <c r="BJ10" s="3">
        <v>0</v>
      </c>
      <c r="BK10" s="3">
        <f t="shared" si="21"/>
        <v>53</v>
      </c>
      <c r="BL10" s="3">
        <f t="shared" si="22"/>
        <v>0</v>
      </c>
      <c r="BM10" s="3"/>
      <c r="BN10" s="3"/>
      <c r="BO10" s="3">
        <v>0</v>
      </c>
      <c r="BP10" s="3">
        <f t="shared" si="23"/>
        <v>53</v>
      </c>
      <c r="BQ10" s="3">
        <f t="shared" si="24"/>
        <v>0</v>
      </c>
      <c r="BR10" s="3"/>
      <c r="BS10" s="3"/>
      <c r="BT10" s="3">
        <v>0</v>
      </c>
      <c r="BU10" s="3">
        <f t="shared" si="25"/>
        <v>53</v>
      </c>
      <c r="BV10" s="3">
        <f t="shared" si="26"/>
        <v>0</v>
      </c>
      <c r="BW10" s="3"/>
      <c r="BX10" s="3"/>
      <c r="BY10" s="3">
        <v>0</v>
      </c>
      <c r="BZ10" s="3">
        <f t="shared" si="27"/>
        <v>53</v>
      </c>
      <c r="CA10" s="3">
        <f t="shared" si="28"/>
        <v>0</v>
      </c>
      <c r="CB10" s="3"/>
      <c r="CC10" s="3"/>
      <c r="CD10" s="3">
        <v>0</v>
      </c>
      <c r="CE10" s="3">
        <f t="shared" si="29"/>
        <v>53</v>
      </c>
      <c r="CF10" s="3">
        <f t="shared" si="30"/>
        <v>0</v>
      </c>
      <c r="CG10" s="3"/>
      <c r="CH10" s="3"/>
      <c r="CI10" s="3">
        <v>0</v>
      </c>
      <c r="CJ10" s="3">
        <f t="shared" si="31"/>
        <v>53</v>
      </c>
      <c r="CK10" s="3">
        <f t="shared" si="32"/>
        <v>0</v>
      </c>
      <c r="CL10" s="3"/>
      <c r="CM10" s="3"/>
      <c r="CN10" s="3">
        <v>0</v>
      </c>
      <c r="CO10" s="3">
        <f t="shared" si="33"/>
        <v>53</v>
      </c>
      <c r="CP10" s="3">
        <f t="shared" si="34"/>
        <v>0</v>
      </c>
      <c r="CQ10" s="3"/>
      <c r="CR10" s="3"/>
      <c r="CS10" s="3">
        <v>0</v>
      </c>
      <c r="CT10" s="3">
        <f t="shared" si="35"/>
        <v>53</v>
      </c>
      <c r="CU10" s="3">
        <f t="shared" si="36"/>
        <v>0</v>
      </c>
      <c r="CV10" s="3"/>
      <c r="CW10" s="3"/>
      <c r="CX10" s="3">
        <v>0</v>
      </c>
      <c r="CY10" s="3">
        <f t="shared" si="37"/>
        <v>53</v>
      </c>
      <c r="CZ10" s="3">
        <f t="shared" si="38"/>
        <v>0</v>
      </c>
      <c r="DA10" s="3"/>
      <c r="DB10" s="3"/>
      <c r="DC10" s="3">
        <v>0</v>
      </c>
      <c r="DD10" s="3">
        <f t="shared" si="39"/>
        <v>53</v>
      </c>
      <c r="DE10" s="3">
        <f t="shared" si="40"/>
        <v>0</v>
      </c>
      <c r="DF10" s="3"/>
      <c r="DG10" s="3"/>
      <c r="DH10" s="3">
        <v>0</v>
      </c>
      <c r="DI10" s="3">
        <f t="shared" si="41"/>
        <v>53</v>
      </c>
      <c r="DJ10" s="3">
        <f t="shared" si="42"/>
        <v>0</v>
      </c>
      <c r="DK10" s="3"/>
      <c r="DL10" s="3"/>
      <c r="DM10" s="3">
        <v>0</v>
      </c>
      <c r="DN10" s="3">
        <f t="shared" si="43"/>
        <v>53</v>
      </c>
      <c r="DO10" s="3">
        <f t="shared" si="44"/>
        <v>0</v>
      </c>
      <c r="DP10" s="3"/>
      <c r="DQ10" s="3"/>
      <c r="DR10" s="3">
        <v>0</v>
      </c>
      <c r="DS10" s="3">
        <f t="shared" si="45"/>
        <v>53</v>
      </c>
      <c r="DT10" s="3">
        <f t="shared" si="46"/>
        <v>0</v>
      </c>
      <c r="DU10" s="3"/>
      <c r="DV10" s="3"/>
      <c r="DW10" s="3">
        <v>0</v>
      </c>
      <c r="DX10" s="3">
        <f t="shared" si="47"/>
        <v>53</v>
      </c>
      <c r="DY10" s="3">
        <f t="shared" si="48"/>
        <v>0</v>
      </c>
      <c r="DZ10" s="3"/>
      <c r="EA10" s="3"/>
      <c r="EB10" s="3">
        <v>0</v>
      </c>
      <c r="EC10" s="3">
        <f t="shared" si="49"/>
        <v>53</v>
      </c>
      <c r="ED10" s="3">
        <f t="shared" si="50"/>
        <v>0</v>
      </c>
      <c r="EE10" s="3"/>
      <c r="EF10" s="3"/>
      <c r="EG10" s="3">
        <v>0</v>
      </c>
      <c r="EH10" s="3">
        <f t="shared" si="51"/>
        <v>53</v>
      </c>
      <c r="EI10" s="3">
        <f t="shared" si="52"/>
        <v>0</v>
      </c>
      <c r="EJ10" s="3"/>
      <c r="EK10" s="3"/>
      <c r="EL10" s="3">
        <v>0</v>
      </c>
      <c r="EM10" s="3">
        <f t="shared" si="53"/>
        <v>53</v>
      </c>
      <c r="EN10" s="3">
        <f t="shared" si="54"/>
        <v>0</v>
      </c>
      <c r="EO10" s="3"/>
      <c r="EP10" s="3"/>
      <c r="EQ10" s="3">
        <v>0</v>
      </c>
      <c r="ER10" s="3">
        <f t="shared" si="55"/>
        <v>53</v>
      </c>
      <c r="ES10" s="3">
        <f t="shared" si="56"/>
        <v>0</v>
      </c>
      <c r="ET10" s="3"/>
      <c r="EU10" s="3"/>
      <c r="EV10" s="3">
        <v>0</v>
      </c>
      <c r="EW10" s="3">
        <f t="shared" si="57"/>
        <v>53</v>
      </c>
      <c r="EX10" s="3">
        <f t="shared" si="58"/>
        <v>0</v>
      </c>
      <c r="EY10" s="3"/>
      <c r="EZ10" s="3"/>
      <c r="FA10" s="3">
        <v>0</v>
      </c>
      <c r="FB10" s="3">
        <f t="shared" si="59"/>
        <v>53</v>
      </c>
      <c r="FC10" s="3">
        <f t="shared" si="60"/>
        <v>0</v>
      </c>
      <c r="FD10" s="3"/>
      <c r="FE10" s="3"/>
      <c r="FF10" s="3">
        <v>0</v>
      </c>
      <c r="FG10" s="3">
        <f t="shared" si="61"/>
        <v>53</v>
      </c>
      <c r="FH10" s="3">
        <f t="shared" si="62"/>
        <v>0</v>
      </c>
      <c r="FI10" s="3"/>
      <c r="FJ10" s="3"/>
      <c r="FK10" s="3">
        <v>0</v>
      </c>
      <c r="FL10" s="3">
        <f t="shared" si="63"/>
        <v>53</v>
      </c>
      <c r="FM10" s="3">
        <f t="shared" si="64"/>
        <v>0</v>
      </c>
      <c r="FN10" s="3"/>
      <c r="FO10" s="3"/>
      <c r="FP10" s="3">
        <v>0</v>
      </c>
      <c r="FQ10" s="3">
        <f t="shared" si="65"/>
        <v>53</v>
      </c>
      <c r="FR10" s="3">
        <f t="shared" si="66"/>
        <v>0</v>
      </c>
      <c r="FS10" s="3"/>
      <c r="FT10" s="3"/>
      <c r="FU10" s="3">
        <v>0</v>
      </c>
    </row>
    <row r="11" spans="1:177" x14ac:dyDescent="0.35">
      <c r="A11" s="33" t="s">
        <v>67</v>
      </c>
      <c r="B11" s="33"/>
      <c r="C11" s="5">
        <f>SUM(C4:C10)</f>
        <v>364</v>
      </c>
      <c r="D11" s="5">
        <f t="shared" ref="D11:BO11" si="72">SUM(D4:D10)</f>
        <v>434</v>
      </c>
      <c r="E11" s="5">
        <f t="shared" si="72"/>
        <v>201</v>
      </c>
      <c r="F11" s="5">
        <f t="shared" si="72"/>
        <v>112</v>
      </c>
      <c r="G11" s="5">
        <f t="shared" si="72"/>
        <v>70</v>
      </c>
      <c r="H11" s="5">
        <f t="shared" si="72"/>
        <v>406</v>
      </c>
      <c r="I11" s="5">
        <f t="shared" si="72"/>
        <v>523</v>
      </c>
      <c r="J11" s="5">
        <f t="shared" si="72"/>
        <v>84</v>
      </c>
      <c r="K11" s="5">
        <f t="shared" si="72"/>
        <v>173</v>
      </c>
      <c r="L11" s="5">
        <f t="shared" si="72"/>
        <v>103</v>
      </c>
      <c r="M11" s="5">
        <f t="shared" si="72"/>
        <v>383</v>
      </c>
      <c r="N11" s="5">
        <f t="shared" si="72"/>
        <v>434</v>
      </c>
      <c r="O11" s="5">
        <f t="shared" si="72"/>
        <v>168</v>
      </c>
      <c r="P11" s="5">
        <f t="shared" si="72"/>
        <v>56</v>
      </c>
      <c r="Q11" s="5">
        <f t="shared" si="72"/>
        <v>27</v>
      </c>
      <c r="R11" s="5">
        <f t="shared" si="72"/>
        <v>412</v>
      </c>
      <c r="S11" s="5">
        <f t="shared" si="72"/>
        <v>546</v>
      </c>
      <c r="T11" s="5">
        <f t="shared" si="72"/>
        <v>196</v>
      </c>
      <c r="U11" s="5">
        <f t="shared" si="72"/>
        <v>70</v>
      </c>
      <c r="V11" s="5">
        <f t="shared" si="72"/>
        <v>88</v>
      </c>
      <c r="W11" s="5">
        <f t="shared" si="72"/>
        <v>312</v>
      </c>
      <c r="X11" s="5">
        <f t="shared" si="72"/>
        <v>672</v>
      </c>
      <c r="Y11" s="5">
        <f t="shared" si="72"/>
        <v>56</v>
      </c>
      <c r="Z11" s="5">
        <f t="shared" si="72"/>
        <v>112</v>
      </c>
      <c r="AA11" s="5">
        <f t="shared" si="72"/>
        <v>120</v>
      </c>
      <c r="AB11" s="5">
        <f t="shared" si="72"/>
        <v>304</v>
      </c>
      <c r="AC11" s="5">
        <f t="shared" si="72"/>
        <v>616</v>
      </c>
      <c r="AD11" s="5">
        <f t="shared" si="72"/>
        <v>98</v>
      </c>
      <c r="AE11" s="5">
        <f t="shared" si="72"/>
        <v>168</v>
      </c>
      <c r="AF11" s="5">
        <f t="shared" si="72"/>
        <v>125</v>
      </c>
      <c r="AG11" s="5">
        <f t="shared" si="72"/>
        <v>347</v>
      </c>
      <c r="AH11" s="5">
        <f t="shared" si="72"/>
        <v>532</v>
      </c>
      <c r="AI11" s="5">
        <f t="shared" si="72"/>
        <v>182</v>
      </c>
      <c r="AJ11" s="5">
        <f t="shared" si="72"/>
        <v>196</v>
      </c>
      <c r="AK11" s="5">
        <f t="shared" si="72"/>
        <v>91</v>
      </c>
      <c r="AL11" s="5">
        <f t="shared" si="72"/>
        <v>452</v>
      </c>
      <c r="AM11" s="5">
        <f t="shared" si="72"/>
        <v>518</v>
      </c>
      <c r="AN11" s="5">
        <f t="shared" si="72"/>
        <v>84</v>
      </c>
      <c r="AO11" s="5">
        <f t="shared" si="72"/>
        <v>28</v>
      </c>
      <c r="AP11" s="5">
        <f t="shared" si="72"/>
        <v>95</v>
      </c>
      <c r="AQ11" s="5">
        <f t="shared" si="72"/>
        <v>385</v>
      </c>
      <c r="AR11" s="5">
        <f t="shared" si="72"/>
        <v>574</v>
      </c>
      <c r="AS11" s="5">
        <f t="shared" si="72"/>
        <v>28</v>
      </c>
      <c r="AT11" s="5">
        <f t="shared" si="72"/>
        <v>28</v>
      </c>
      <c r="AU11" s="5">
        <f t="shared" si="72"/>
        <v>40</v>
      </c>
      <c r="AV11" s="5">
        <f t="shared" si="72"/>
        <v>373</v>
      </c>
      <c r="AW11" s="5">
        <f t="shared" si="72"/>
        <v>574</v>
      </c>
      <c r="AX11" s="5">
        <f t="shared" si="72"/>
        <v>0</v>
      </c>
      <c r="AY11" s="5">
        <f t="shared" si="72"/>
        <v>0</v>
      </c>
      <c r="AZ11" s="5">
        <f t="shared" si="72"/>
        <v>85</v>
      </c>
      <c r="BA11" s="5">
        <f t="shared" si="72"/>
        <v>288</v>
      </c>
      <c r="BB11" s="5">
        <f t="shared" si="72"/>
        <v>574</v>
      </c>
      <c r="BC11" s="5">
        <f t="shared" si="72"/>
        <v>0</v>
      </c>
      <c r="BD11" s="5">
        <f t="shared" si="72"/>
        <v>28</v>
      </c>
      <c r="BE11" s="5">
        <f t="shared" si="72"/>
        <v>27</v>
      </c>
      <c r="BF11" s="5">
        <f t="shared" si="72"/>
        <v>289</v>
      </c>
      <c r="BG11" s="5">
        <f t="shared" si="72"/>
        <v>546</v>
      </c>
      <c r="BH11" s="5">
        <f t="shared" si="72"/>
        <v>0</v>
      </c>
      <c r="BI11" s="5">
        <f t="shared" si="72"/>
        <v>28</v>
      </c>
      <c r="BJ11" s="5">
        <f t="shared" si="72"/>
        <v>0</v>
      </c>
      <c r="BK11" s="5">
        <f t="shared" si="72"/>
        <v>317</v>
      </c>
      <c r="BL11" s="5">
        <f t="shared" si="72"/>
        <v>518</v>
      </c>
      <c r="BM11" s="5">
        <f t="shared" si="72"/>
        <v>0</v>
      </c>
      <c r="BN11" s="5">
        <f t="shared" si="72"/>
        <v>0</v>
      </c>
      <c r="BO11" s="5">
        <f t="shared" si="72"/>
        <v>6</v>
      </c>
      <c r="BP11" s="5">
        <f t="shared" ref="BP11:CD11" si="73">SUM(BP4:BP10)</f>
        <v>311</v>
      </c>
      <c r="BQ11" s="5">
        <f t="shared" si="73"/>
        <v>518</v>
      </c>
      <c r="BR11" s="5">
        <f t="shared" si="73"/>
        <v>0</v>
      </c>
      <c r="BS11" s="5">
        <f t="shared" si="73"/>
        <v>0</v>
      </c>
      <c r="BT11" s="5">
        <f t="shared" si="73"/>
        <v>0</v>
      </c>
      <c r="BU11" s="5">
        <f t="shared" si="73"/>
        <v>311</v>
      </c>
      <c r="BV11" s="5">
        <f t="shared" si="73"/>
        <v>518</v>
      </c>
      <c r="BW11" s="5">
        <f t="shared" si="73"/>
        <v>0</v>
      </c>
      <c r="BX11" s="5">
        <f t="shared" si="73"/>
        <v>0</v>
      </c>
      <c r="BY11" s="5">
        <f t="shared" si="73"/>
        <v>0</v>
      </c>
      <c r="BZ11" s="5">
        <f t="shared" si="73"/>
        <v>311</v>
      </c>
      <c r="CA11" s="5">
        <f t="shared" si="73"/>
        <v>518</v>
      </c>
      <c r="CB11" s="5">
        <f t="shared" si="73"/>
        <v>0</v>
      </c>
      <c r="CC11" s="5">
        <f t="shared" si="73"/>
        <v>0</v>
      </c>
      <c r="CD11" s="5">
        <f t="shared" si="73"/>
        <v>0</v>
      </c>
      <c r="CE11" s="5">
        <f t="shared" ref="CE11" si="74">SUM(CE4:CE10)</f>
        <v>311</v>
      </c>
      <c r="CF11" s="5">
        <f t="shared" ref="CF11" si="75">SUM(CF4:CF10)</f>
        <v>518</v>
      </c>
      <c r="CG11" s="5">
        <f t="shared" ref="CG11" si="76">SUM(CG4:CG10)</f>
        <v>0</v>
      </c>
      <c r="CH11" s="5">
        <f t="shared" ref="CH11" si="77">SUM(CH4:CH10)</f>
        <v>0</v>
      </c>
      <c r="CI11" s="5">
        <f t="shared" ref="CI11" si="78">SUM(CI4:CI10)</f>
        <v>0</v>
      </c>
      <c r="CJ11" s="5">
        <f t="shared" ref="CJ11" si="79">SUM(CJ4:CJ10)</f>
        <v>311</v>
      </c>
      <c r="CK11" s="5">
        <f t="shared" ref="CK11" si="80">SUM(CK4:CK10)</f>
        <v>518</v>
      </c>
      <c r="CL11" s="5">
        <f t="shared" ref="CL11" si="81">SUM(CL4:CL10)</f>
        <v>0</v>
      </c>
      <c r="CM11" s="5">
        <f t="shared" ref="CM11" si="82">SUM(CM4:CM10)</f>
        <v>0</v>
      </c>
      <c r="CN11" s="5">
        <f t="shared" ref="CN11:CR11" si="83">SUM(CN4:CN10)</f>
        <v>0</v>
      </c>
      <c r="CO11" s="5">
        <f t="shared" si="83"/>
        <v>311</v>
      </c>
      <c r="CP11" s="5">
        <f t="shared" si="83"/>
        <v>518</v>
      </c>
      <c r="CQ11" s="5">
        <f t="shared" si="83"/>
        <v>0</v>
      </c>
      <c r="CR11" s="5">
        <f t="shared" si="83"/>
        <v>0</v>
      </c>
      <c r="CS11" s="5">
        <f t="shared" ref="CS11:CW11" si="84">SUM(CS4:CS10)</f>
        <v>0</v>
      </c>
      <c r="CT11" s="5">
        <f t="shared" si="84"/>
        <v>311</v>
      </c>
      <c r="CU11" s="5">
        <f t="shared" si="84"/>
        <v>518</v>
      </c>
      <c r="CV11" s="5">
        <f t="shared" si="84"/>
        <v>0</v>
      </c>
      <c r="CW11" s="5">
        <f t="shared" si="84"/>
        <v>0</v>
      </c>
      <c r="CX11" s="5">
        <f t="shared" ref="CX11:DB11" si="85">SUM(CX4:CX10)</f>
        <v>0</v>
      </c>
      <c r="CY11" s="5">
        <f t="shared" si="85"/>
        <v>311</v>
      </c>
      <c r="CZ11" s="5">
        <f t="shared" si="85"/>
        <v>518</v>
      </c>
      <c r="DA11" s="5">
        <f t="shared" si="85"/>
        <v>0</v>
      </c>
      <c r="DB11" s="5">
        <f t="shared" si="85"/>
        <v>0</v>
      </c>
      <c r="DC11" s="5">
        <f t="shared" ref="DC11:DG11" si="86">SUM(DC4:DC10)</f>
        <v>0</v>
      </c>
      <c r="DD11" s="5">
        <f t="shared" si="86"/>
        <v>311</v>
      </c>
      <c r="DE11" s="5">
        <f t="shared" si="86"/>
        <v>518</v>
      </c>
      <c r="DF11" s="5">
        <f t="shared" si="86"/>
        <v>0</v>
      </c>
      <c r="DG11" s="5">
        <f t="shared" si="86"/>
        <v>0</v>
      </c>
      <c r="DH11" s="5">
        <f t="shared" ref="DH11:DL11" si="87">SUM(DH4:DH10)</f>
        <v>0</v>
      </c>
      <c r="DI11" s="5">
        <f t="shared" si="87"/>
        <v>311</v>
      </c>
      <c r="DJ11" s="5">
        <f t="shared" si="87"/>
        <v>518</v>
      </c>
      <c r="DK11" s="5">
        <f t="shared" si="87"/>
        <v>0</v>
      </c>
      <c r="DL11" s="5">
        <f t="shared" si="87"/>
        <v>0</v>
      </c>
      <c r="DM11" s="5">
        <f t="shared" ref="DM11:DQ11" si="88">SUM(DM4:DM10)</f>
        <v>0</v>
      </c>
      <c r="DN11" s="5">
        <f t="shared" si="88"/>
        <v>311</v>
      </c>
      <c r="DO11" s="5">
        <f t="shared" si="88"/>
        <v>518</v>
      </c>
      <c r="DP11" s="5">
        <f t="shared" si="88"/>
        <v>0</v>
      </c>
      <c r="DQ11" s="5">
        <f t="shared" si="88"/>
        <v>0</v>
      </c>
      <c r="DR11" s="5">
        <f t="shared" ref="DR11:DV11" si="89">SUM(DR4:DR10)</f>
        <v>0</v>
      </c>
      <c r="DS11" s="5">
        <f t="shared" si="89"/>
        <v>311</v>
      </c>
      <c r="DT11" s="5">
        <f t="shared" si="89"/>
        <v>518</v>
      </c>
      <c r="DU11" s="5">
        <f t="shared" si="89"/>
        <v>0</v>
      </c>
      <c r="DV11" s="5">
        <f t="shared" si="89"/>
        <v>0</v>
      </c>
      <c r="DW11" s="5">
        <f t="shared" ref="DW11:EA11" si="90">SUM(DW4:DW10)</f>
        <v>0</v>
      </c>
      <c r="DX11" s="5">
        <f t="shared" si="90"/>
        <v>311</v>
      </c>
      <c r="DY11" s="5">
        <f t="shared" si="90"/>
        <v>518</v>
      </c>
      <c r="DZ11" s="5">
        <f t="shared" si="90"/>
        <v>0</v>
      </c>
      <c r="EA11" s="5">
        <f t="shared" si="90"/>
        <v>0</v>
      </c>
      <c r="EB11" s="5">
        <f t="shared" ref="EB11:EF11" si="91">SUM(EB4:EB10)</f>
        <v>0</v>
      </c>
      <c r="EC11" s="5">
        <f t="shared" si="91"/>
        <v>311</v>
      </c>
      <c r="ED11" s="5">
        <f t="shared" si="91"/>
        <v>518</v>
      </c>
      <c r="EE11" s="5">
        <f t="shared" si="91"/>
        <v>0</v>
      </c>
      <c r="EF11" s="5">
        <f t="shared" si="91"/>
        <v>0</v>
      </c>
      <c r="EG11" s="5">
        <f t="shared" ref="EG11:EK11" si="92">SUM(EG4:EG10)</f>
        <v>0</v>
      </c>
      <c r="EH11" s="5">
        <f t="shared" si="92"/>
        <v>311</v>
      </c>
      <c r="EI11" s="5">
        <f t="shared" si="92"/>
        <v>518</v>
      </c>
      <c r="EJ11" s="5">
        <f t="shared" si="92"/>
        <v>0</v>
      </c>
      <c r="EK11" s="5">
        <f t="shared" si="92"/>
        <v>0</v>
      </c>
      <c r="EL11" s="5">
        <f t="shared" ref="EL11:EP11" si="93">SUM(EL4:EL10)</f>
        <v>0</v>
      </c>
      <c r="EM11" s="5">
        <f t="shared" si="93"/>
        <v>311</v>
      </c>
      <c r="EN11" s="5">
        <f t="shared" si="93"/>
        <v>518</v>
      </c>
      <c r="EO11" s="5">
        <f t="shared" si="93"/>
        <v>0</v>
      </c>
      <c r="EP11" s="5">
        <f t="shared" si="93"/>
        <v>0</v>
      </c>
      <c r="EQ11" s="5">
        <f t="shared" ref="EQ11:EU11" si="94">SUM(EQ4:EQ10)</f>
        <v>0</v>
      </c>
      <c r="ER11" s="5">
        <f t="shared" si="94"/>
        <v>311</v>
      </c>
      <c r="ES11" s="5">
        <f t="shared" si="94"/>
        <v>518</v>
      </c>
      <c r="ET11" s="5">
        <f t="shared" si="94"/>
        <v>0</v>
      </c>
      <c r="EU11" s="5">
        <f t="shared" si="94"/>
        <v>0</v>
      </c>
      <c r="EV11" s="5">
        <f t="shared" ref="EV11:EZ11" si="95">SUM(EV4:EV10)</f>
        <v>0</v>
      </c>
      <c r="EW11" s="5">
        <f t="shared" si="95"/>
        <v>311</v>
      </c>
      <c r="EX11" s="5">
        <f t="shared" si="95"/>
        <v>518</v>
      </c>
      <c r="EY11" s="5">
        <f t="shared" si="95"/>
        <v>0</v>
      </c>
      <c r="EZ11" s="5">
        <f t="shared" si="95"/>
        <v>0</v>
      </c>
      <c r="FA11" s="5">
        <f t="shared" ref="FA11:FE11" si="96">SUM(FA4:FA10)</f>
        <v>0</v>
      </c>
      <c r="FB11" s="5">
        <f t="shared" si="96"/>
        <v>311</v>
      </c>
      <c r="FC11" s="5">
        <f t="shared" si="96"/>
        <v>518</v>
      </c>
      <c r="FD11" s="5">
        <f t="shared" si="96"/>
        <v>0</v>
      </c>
      <c r="FE11" s="5">
        <f t="shared" si="96"/>
        <v>0</v>
      </c>
      <c r="FF11" s="5">
        <f t="shared" ref="FF11:FJ11" si="97">SUM(FF4:FF10)</f>
        <v>0</v>
      </c>
      <c r="FG11" s="5">
        <f t="shared" si="97"/>
        <v>311</v>
      </c>
      <c r="FH11" s="5">
        <f t="shared" si="97"/>
        <v>518</v>
      </c>
      <c r="FI11" s="5">
        <f t="shared" si="97"/>
        <v>0</v>
      </c>
      <c r="FJ11" s="5">
        <f t="shared" si="97"/>
        <v>0</v>
      </c>
      <c r="FK11" s="5">
        <f t="shared" ref="FK11:FO11" si="98">SUM(FK4:FK10)</f>
        <v>0</v>
      </c>
      <c r="FL11" s="5">
        <f t="shared" si="98"/>
        <v>311</v>
      </c>
      <c r="FM11" s="5">
        <f t="shared" si="98"/>
        <v>518</v>
      </c>
      <c r="FN11" s="5">
        <f t="shared" si="98"/>
        <v>0</v>
      </c>
      <c r="FO11" s="5">
        <f t="shared" si="98"/>
        <v>0</v>
      </c>
      <c r="FP11" s="5">
        <f t="shared" ref="FP11:FT11" si="99">SUM(FP4:FP10)</f>
        <v>0</v>
      </c>
      <c r="FQ11" s="5">
        <f t="shared" si="99"/>
        <v>311</v>
      </c>
      <c r="FR11" s="5">
        <f t="shared" si="99"/>
        <v>518</v>
      </c>
      <c r="FS11" s="5">
        <f t="shared" si="99"/>
        <v>0</v>
      </c>
      <c r="FT11" s="5">
        <f t="shared" si="99"/>
        <v>0</v>
      </c>
      <c r="FU11" s="5">
        <f t="shared" ref="FU11" si="100">SUM(FU4:FU10)</f>
        <v>0</v>
      </c>
    </row>
    <row r="12" spans="1:177" x14ac:dyDescent="0.35">
      <c r="A12" s="2" t="s">
        <v>63</v>
      </c>
      <c r="B12" s="2" t="s">
        <v>69</v>
      </c>
      <c r="C12" s="21">
        <v>38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>
        <f t="shared" ref="R12" si="101">M12+P12-Q12</f>
        <v>0</v>
      </c>
      <c r="S12" s="3">
        <f t="shared" ref="S12" si="102">N12+O12-P12</f>
        <v>0</v>
      </c>
      <c r="T12" s="3"/>
      <c r="U12" s="3">
        <v>0</v>
      </c>
      <c r="V12" s="3"/>
      <c r="W12" s="3"/>
      <c r="X12" s="3">
        <f t="shared" ref="X12" si="103">S12+T12-U12</f>
        <v>0</v>
      </c>
      <c r="Y12" s="3">
        <v>56</v>
      </c>
      <c r="Z12" s="3">
        <v>40</v>
      </c>
      <c r="AA12" s="3">
        <v>0</v>
      </c>
      <c r="AB12" s="3">
        <f t="shared" ref="AB12" si="104">W12+Z12-AA12</f>
        <v>40</v>
      </c>
      <c r="AC12" s="3">
        <f t="shared" ref="AC12" si="105">X12+Y12-Z12</f>
        <v>16</v>
      </c>
      <c r="AD12" s="3">
        <v>50</v>
      </c>
      <c r="AE12" s="3">
        <v>0</v>
      </c>
      <c r="AF12" s="3">
        <v>0</v>
      </c>
      <c r="AG12" s="3">
        <f t="shared" ref="AG12" si="106">AB12+AE12-AF12</f>
        <v>40</v>
      </c>
      <c r="AH12" s="3">
        <f t="shared" ref="AH12" si="107">AC12+AD12-AE12</f>
        <v>66</v>
      </c>
      <c r="AI12" s="3"/>
      <c r="AJ12" s="3">
        <v>0</v>
      </c>
      <c r="AK12" s="3">
        <v>0</v>
      </c>
      <c r="AL12" s="3">
        <f t="shared" ref="AL12" si="108">AG12+AJ12-AK12</f>
        <v>40</v>
      </c>
      <c r="AM12" s="3">
        <f t="shared" ref="AM12" si="109">AH12+AI12-AJ12</f>
        <v>66</v>
      </c>
      <c r="AN12" s="3"/>
      <c r="AO12" s="3"/>
      <c r="AP12" s="3">
        <v>30</v>
      </c>
      <c r="AQ12" s="3">
        <f t="shared" ref="AQ12" si="110">AL12+AO12-AP12</f>
        <v>10</v>
      </c>
      <c r="AR12" s="3">
        <f t="shared" ref="AR12" si="111">AM12+AN12-AO12</f>
        <v>66</v>
      </c>
      <c r="AS12" s="3"/>
      <c r="AT12" s="3">
        <v>24</v>
      </c>
      <c r="AU12" s="3">
        <v>0</v>
      </c>
      <c r="AV12" s="3">
        <f>AQ12+AT12+15-AU12</f>
        <v>49</v>
      </c>
      <c r="AW12" s="3">
        <f t="shared" ref="AW12" si="112">AR12+AS12-AT12</f>
        <v>42</v>
      </c>
      <c r="AX12" s="3">
        <v>0</v>
      </c>
      <c r="AY12" s="3">
        <v>41</v>
      </c>
      <c r="AZ12" s="3">
        <v>0</v>
      </c>
      <c r="BA12" s="3">
        <f t="shared" ref="BA12" si="113">AV12+AY12-AZ12</f>
        <v>90</v>
      </c>
      <c r="BB12" s="3">
        <f t="shared" ref="BB12" si="114">AW12+AX12-AY12</f>
        <v>1</v>
      </c>
      <c r="BC12" s="3">
        <v>23</v>
      </c>
      <c r="BD12" s="3">
        <v>24</v>
      </c>
      <c r="BE12" s="3">
        <v>0</v>
      </c>
      <c r="BF12" s="3">
        <f t="shared" ref="BF12" si="115">BA12+BD12-BE12</f>
        <v>114</v>
      </c>
      <c r="BG12" s="3">
        <f t="shared" ref="BG12" si="116">BB12+BC12-BD12</f>
        <v>0</v>
      </c>
      <c r="BH12" s="3">
        <v>22</v>
      </c>
      <c r="BI12" s="3">
        <v>22</v>
      </c>
      <c r="BJ12" s="3">
        <v>124</v>
      </c>
      <c r="BK12" s="3">
        <f t="shared" ref="BK12" si="117">BF12+BI12-BJ12</f>
        <v>12</v>
      </c>
      <c r="BL12" s="3">
        <f t="shared" ref="BL12" si="118">BG12+BH12-BI12</f>
        <v>0</v>
      </c>
      <c r="BM12" s="3">
        <v>202</v>
      </c>
      <c r="BN12" s="3">
        <v>107</v>
      </c>
      <c r="BO12" s="3">
        <v>68</v>
      </c>
      <c r="BP12" s="3">
        <f t="shared" ref="BP12" si="119">BK12+BN12-BO12</f>
        <v>51</v>
      </c>
      <c r="BQ12" s="3">
        <f t="shared" ref="BQ12" si="120">BL12+BM12-BN12</f>
        <v>95</v>
      </c>
      <c r="BR12" s="3">
        <v>47</v>
      </c>
      <c r="BS12" s="3">
        <v>75</v>
      </c>
      <c r="BT12" s="3">
        <v>7</v>
      </c>
      <c r="BU12" s="3">
        <f t="shared" ref="BU12" si="121">BP12+BS12-BT12</f>
        <v>119</v>
      </c>
      <c r="BV12" s="3">
        <f t="shared" ref="BV12" si="122">BQ12+BR12-BS12</f>
        <v>67</v>
      </c>
      <c r="BW12" s="3">
        <v>12</v>
      </c>
      <c r="BX12" s="3">
        <v>0</v>
      </c>
      <c r="BY12" s="3">
        <v>26</v>
      </c>
      <c r="BZ12" s="3">
        <f t="shared" ref="BZ12" si="123">BU12+BX12-BY12</f>
        <v>93</v>
      </c>
      <c r="CA12" s="3">
        <f t="shared" ref="CA12" si="124">BV12+BW12-BX12</f>
        <v>79</v>
      </c>
      <c r="CB12" s="3">
        <v>87</v>
      </c>
      <c r="CC12" s="3">
        <v>78</v>
      </c>
      <c r="CD12" s="3">
        <v>76</v>
      </c>
      <c r="CE12" s="3">
        <v>40</v>
      </c>
      <c r="CF12" s="3">
        <f t="shared" ref="CF12" si="125">CA12+CB12-CC12</f>
        <v>88</v>
      </c>
      <c r="CG12" s="3">
        <v>28</v>
      </c>
      <c r="CH12" s="3">
        <v>53</v>
      </c>
      <c r="CI12" s="3">
        <v>86</v>
      </c>
      <c r="CJ12" s="3">
        <v>49</v>
      </c>
      <c r="CK12" s="3">
        <f t="shared" ref="CK12" si="126">CF12+CG12-CH12</f>
        <v>63</v>
      </c>
      <c r="CL12" s="3">
        <v>46</v>
      </c>
      <c r="CM12" s="3">
        <v>89</v>
      </c>
      <c r="CN12" s="3">
        <v>58</v>
      </c>
      <c r="CO12" s="3">
        <f t="shared" ref="CO12:CO15" si="127">CJ12+CM12-CN12</f>
        <v>80</v>
      </c>
      <c r="CP12" s="3">
        <f t="shared" ref="CP12:CP15" si="128">CK12+CL12-CM12</f>
        <v>20</v>
      </c>
      <c r="CQ12" s="3">
        <v>64</v>
      </c>
      <c r="CR12" s="3">
        <v>20</v>
      </c>
      <c r="CS12" s="3">
        <v>63</v>
      </c>
      <c r="CT12" s="3">
        <f t="shared" ref="CT12:CT15" si="129">CO12+CR12-CS12</f>
        <v>37</v>
      </c>
      <c r="CU12" s="3">
        <f t="shared" ref="CU12:CU15" si="130">CP12+CQ12-CR12</f>
        <v>64</v>
      </c>
      <c r="CV12" s="3">
        <v>93</v>
      </c>
      <c r="CW12" s="3">
        <v>117</v>
      </c>
      <c r="CX12" s="3">
        <v>122</v>
      </c>
      <c r="CY12" s="3">
        <f t="shared" ref="CY12:CY15" si="131">CT12+CW12-CX12</f>
        <v>32</v>
      </c>
      <c r="CZ12" s="3">
        <f t="shared" ref="CZ12:CZ15" si="132">CU12+CV12-CW12</f>
        <v>40</v>
      </c>
      <c r="DA12" s="3"/>
      <c r="DB12" s="3"/>
      <c r="DC12" s="3"/>
      <c r="DD12" s="3">
        <f t="shared" ref="DD12:DD15" si="133">CY12+DB12-DC12</f>
        <v>32</v>
      </c>
      <c r="DE12" s="3">
        <f t="shared" ref="DE12:DE15" si="134">CZ12+DA12-DB12</f>
        <v>40</v>
      </c>
      <c r="DF12" s="3">
        <v>76</v>
      </c>
      <c r="DG12" s="3">
        <v>104</v>
      </c>
      <c r="DH12" s="3">
        <v>56</v>
      </c>
      <c r="DI12" s="3">
        <f t="shared" ref="DI12:DI15" si="135">DD12+DG12-DH12</f>
        <v>80</v>
      </c>
      <c r="DJ12" s="3">
        <f t="shared" ref="DJ12:DJ15" si="136">DE12+DF12-DG12</f>
        <v>12</v>
      </c>
      <c r="DK12" s="3">
        <v>19</v>
      </c>
      <c r="DL12" s="12">
        <v>31</v>
      </c>
      <c r="DM12" s="3">
        <v>17</v>
      </c>
      <c r="DN12" s="3">
        <f t="shared" ref="DN12:DN15" si="137">DI12+DL12-DM12</f>
        <v>94</v>
      </c>
      <c r="DO12" s="3">
        <f t="shared" ref="DO12:DO15" si="138">DJ12+DK12-DL12</f>
        <v>0</v>
      </c>
      <c r="DP12" s="3">
        <v>58</v>
      </c>
      <c r="DQ12" s="3">
        <v>47</v>
      </c>
      <c r="DR12" s="3">
        <v>44</v>
      </c>
      <c r="DS12" s="3">
        <v>20</v>
      </c>
      <c r="DT12" s="3">
        <f t="shared" ref="DT12:DT15" si="139">DO12+DP12-DQ12</f>
        <v>11</v>
      </c>
      <c r="DU12" s="3">
        <v>32</v>
      </c>
      <c r="DV12" s="3">
        <v>43</v>
      </c>
      <c r="DW12" s="3">
        <v>13</v>
      </c>
      <c r="DX12" s="3">
        <f t="shared" ref="DX12:DX15" si="140">DS12+DV12-DW12</f>
        <v>50</v>
      </c>
      <c r="DY12" s="3">
        <f t="shared" ref="DY12:DY15" si="141">DT12+DU12-DV12</f>
        <v>0</v>
      </c>
      <c r="DZ12" s="3">
        <v>40</v>
      </c>
      <c r="EA12" s="3">
        <v>40</v>
      </c>
      <c r="EB12" s="3">
        <v>45</v>
      </c>
      <c r="EC12" s="3">
        <f t="shared" ref="EC12:EC15" si="142">DX12+EA12-EB12</f>
        <v>45</v>
      </c>
      <c r="ED12" s="3">
        <f t="shared" ref="ED12:ED15" si="143">DY12+DZ12-EA12</f>
        <v>0</v>
      </c>
      <c r="EE12" s="3"/>
      <c r="EF12" s="3">
        <v>0</v>
      </c>
      <c r="EG12" s="3">
        <v>35</v>
      </c>
      <c r="EH12" s="3">
        <f t="shared" ref="EH12:EH15" si="144">EC12+EF12-EG12</f>
        <v>10</v>
      </c>
      <c r="EI12" s="3">
        <f t="shared" ref="EI12:EI15" si="145">ED12+EE12-EF12</f>
        <v>0</v>
      </c>
      <c r="EJ12" s="3">
        <v>45</v>
      </c>
      <c r="EK12" s="3">
        <v>35</v>
      </c>
      <c r="EL12" s="3">
        <v>10</v>
      </c>
      <c r="EM12" s="3">
        <f t="shared" ref="EM12:EM15" si="146">EH12+EK12-EL12</f>
        <v>35</v>
      </c>
      <c r="EN12" s="3">
        <f t="shared" ref="EN12:EN15" si="147">EI12+EJ12-EK12</f>
        <v>10</v>
      </c>
      <c r="EO12" s="3"/>
      <c r="EP12" s="3"/>
      <c r="EQ12" s="3">
        <v>42</v>
      </c>
      <c r="ER12" s="3">
        <f t="shared" ref="ER12:ER15" si="148">EM12+EP12-EQ12</f>
        <v>-7</v>
      </c>
      <c r="ES12" s="3">
        <f t="shared" ref="ES12:ES15" si="149">EN12+EO12-EP12</f>
        <v>10</v>
      </c>
      <c r="ET12" s="3"/>
      <c r="EU12" s="3"/>
      <c r="EV12" s="3">
        <v>42</v>
      </c>
      <c r="EW12" s="3">
        <f t="shared" ref="EW12:EW15" si="150">ER12+EU12-EV12</f>
        <v>-49</v>
      </c>
      <c r="EX12" s="3">
        <f t="shared" ref="EX12:EX15" si="151">ES12+ET12-EU12</f>
        <v>10</v>
      </c>
      <c r="EY12" s="3"/>
      <c r="EZ12" s="3"/>
      <c r="FA12" s="3">
        <v>42</v>
      </c>
      <c r="FB12" s="3">
        <f t="shared" ref="FB12:FB15" si="152">EW12+EZ12-FA12</f>
        <v>-91</v>
      </c>
      <c r="FC12" s="3">
        <f t="shared" ref="FC12:FC15" si="153">EX12+EY12-EZ12</f>
        <v>10</v>
      </c>
      <c r="FD12" s="3"/>
      <c r="FE12" s="3"/>
      <c r="FF12" s="3">
        <v>42</v>
      </c>
      <c r="FG12" s="3">
        <f t="shared" ref="FG12:FG15" si="154">FB12+FE12-FF12</f>
        <v>-133</v>
      </c>
      <c r="FH12" s="3">
        <f t="shared" ref="FH12:FH15" si="155">FC12+FD12-FE12</f>
        <v>10</v>
      </c>
      <c r="FI12" s="3"/>
      <c r="FJ12" s="3"/>
      <c r="FK12" s="3">
        <v>42</v>
      </c>
      <c r="FL12" s="3">
        <f t="shared" ref="FL12:FL15" si="156">FG12+FJ12-FK12</f>
        <v>-175</v>
      </c>
      <c r="FM12" s="3">
        <f t="shared" ref="FM12:FM15" si="157">FH12+FI12-FJ12</f>
        <v>10</v>
      </c>
      <c r="FN12" s="3"/>
      <c r="FO12" s="3"/>
      <c r="FP12" s="3">
        <v>42</v>
      </c>
      <c r="FQ12" s="3">
        <f t="shared" ref="FQ12:FQ15" si="158">FL12+FO12-FP12</f>
        <v>-217</v>
      </c>
      <c r="FR12" s="3">
        <f t="shared" ref="FR12:FR15" si="159">FM12+FN12-FO12</f>
        <v>10</v>
      </c>
      <c r="FS12" s="3"/>
      <c r="FT12" s="3"/>
      <c r="FU12" s="3">
        <v>42</v>
      </c>
    </row>
    <row r="13" spans="1:177" x14ac:dyDescent="0.35">
      <c r="A13" s="2" t="s">
        <v>64</v>
      </c>
      <c r="B13" s="2" t="s">
        <v>70</v>
      </c>
      <c r="C13" s="21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>
        <v>0</v>
      </c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>
        <v>30</v>
      </c>
      <c r="AT13" s="3">
        <v>15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f t="shared" ref="BA13" si="160">AV13+AY13-AZ13</f>
        <v>0</v>
      </c>
      <c r="BB13" s="3">
        <f t="shared" ref="BB13" si="161">AW13+AX13-AY13</f>
        <v>0</v>
      </c>
      <c r="BC13" s="3">
        <v>0</v>
      </c>
      <c r="BD13" s="3"/>
      <c r="BE13" s="3">
        <v>0</v>
      </c>
      <c r="BF13" s="3">
        <f t="shared" ref="BF13" si="162">BA13+BD13-BE13</f>
        <v>0</v>
      </c>
      <c r="BG13" s="3">
        <f t="shared" ref="BG13" si="163">BB13+BC13-BD13</f>
        <v>0</v>
      </c>
      <c r="BH13" s="3"/>
      <c r="BI13" s="3"/>
      <c r="BJ13" s="3">
        <v>0</v>
      </c>
      <c r="BK13" s="3">
        <f t="shared" ref="BK13" si="164">BF13+BI13-BJ13</f>
        <v>0</v>
      </c>
      <c r="BL13" s="3">
        <f t="shared" ref="BL13" si="165">BG13+BH13-BI13</f>
        <v>0</v>
      </c>
      <c r="BM13" s="3">
        <v>48</v>
      </c>
      <c r="BN13" s="3">
        <v>36</v>
      </c>
      <c r="BO13" s="3">
        <v>25</v>
      </c>
      <c r="BP13" s="3">
        <f t="shared" ref="BP13" si="166">BK13+BN13-BO13</f>
        <v>11</v>
      </c>
      <c r="BQ13" s="3">
        <f t="shared" ref="BQ13" si="167">BL13+BM13-BN13</f>
        <v>12</v>
      </c>
      <c r="BR13" s="3">
        <f>108+99</f>
        <v>207</v>
      </c>
      <c r="BS13" s="3">
        <v>132</v>
      </c>
      <c r="BT13" s="3">
        <v>201</v>
      </c>
      <c r="BU13" s="3">
        <f t="shared" ref="BU13" si="168">BP13+BS13-BT13</f>
        <v>-58</v>
      </c>
      <c r="BV13" s="3">
        <f t="shared" ref="BV13" si="169">BQ13+BR13-BS13</f>
        <v>87</v>
      </c>
      <c r="BW13" s="3">
        <v>200</v>
      </c>
      <c r="BX13" s="3">
        <v>192</v>
      </c>
      <c r="BY13" s="3">
        <v>131</v>
      </c>
      <c r="BZ13" s="3">
        <f t="shared" ref="BZ13" si="170">BU13+BX13-BY13</f>
        <v>3</v>
      </c>
      <c r="CA13" s="3">
        <f t="shared" ref="CA13" si="171">BV13+BW13-BX13</f>
        <v>95</v>
      </c>
      <c r="CB13" s="3">
        <f>37+76</f>
        <v>113</v>
      </c>
      <c r="CC13" s="3">
        <v>171</v>
      </c>
      <c r="CD13" s="3">
        <v>123</v>
      </c>
      <c r="CE13" s="3">
        <f t="shared" ref="CE13" si="172">BZ13+CC13-CD13</f>
        <v>51</v>
      </c>
      <c r="CF13" s="3">
        <f t="shared" ref="CF13" si="173">CA13+CB13-CC13</f>
        <v>37</v>
      </c>
      <c r="CG13" s="3">
        <v>102</v>
      </c>
      <c r="CH13" s="3">
        <v>115</v>
      </c>
      <c r="CI13" s="3">
        <v>123</v>
      </c>
      <c r="CJ13" s="3">
        <f t="shared" ref="CJ13" si="174">CE13+CH13-CI13</f>
        <v>43</v>
      </c>
      <c r="CK13" s="3">
        <f t="shared" ref="CK13" si="175">CF13+CG13-CH13</f>
        <v>24</v>
      </c>
      <c r="CL13" s="3">
        <f>129+62</f>
        <v>191</v>
      </c>
      <c r="CM13" s="3">
        <v>177</v>
      </c>
      <c r="CN13" s="3">
        <v>202</v>
      </c>
      <c r="CO13" s="3">
        <f t="shared" si="127"/>
        <v>18</v>
      </c>
      <c r="CP13" s="3">
        <f t="shared" si="128"/>
        <v>38</v>
      </c>
      <c r="CQ13" s="3">
        <f>115+94</f>
        <v>209</v>
      </c>
      <c r="CR13" s="3">
        <v>153</v>
      </c>
      <c r="CS13" s="3">
        <v>114</v>
      </c>
      <c r="CT13" s="3">
        <f t="shared" si="129"/>
        <v>57</v>
      </c>
      <c r="CU13" s="3">
        <f t="shared" si="130"/>
        <v>94</v>
      </c>
      <c r="CV13" s="3">
        <v>132</v>
      </c>
      <c r="CW13" s="3">
        <v>156</v>
      </c>
      <c r="CX13" s="3">
        <v>188</v>
      </c>
      <c r="CY13" s="3">
        <f t="shared" si="131"/>
        <v>25</v>
      </c>
      <c r="CZ13" s="3">
        <f t="shared" si="132"/>
        <v>70</v>
      </c>
      <c r="DA13" s="3">
        <v>56</v>
      </c>
      <c r="DB13" s="3"/>
      <c r="DC13" s="3"/>
      <c r="DD13" s="3">
        <f t="shared" si="133"/>
        <v>25</v>
      </c>
      <c r="DE13" s="3">
        <f t="shared" si="134"/>
        <v>126</v>
      </c>
      <c r="DF13" s="3">
        <f>51+28</f>
        <v>79</v>
      </c>
      <c r="DG13" s="3">
        <v>177</v>
      </c>
      <c r="DH13" s="3">
        <v>163</v>
      </c>
      <c r="DI13" s="3">
        <f t="shared" si="135"/>
        <v>39</v>
      </c>
      <c r="DJ13" s="3">
        <f t="shared" si="136"/>
        <v>28</v>
      </c>
      <c r="DK13" s="3">
        <f>126+28</f>
        <v>154</v>
      </c>
      <c r="DL13" s="12">
        <v>154</v>
      </c>
      <c r="DM13" s="3">
        <v>139</v>
      </c>
      <c r="DN13" s="3">
        <f t="shared" si="137"/>
        <v>54</v>
      </c>
      <c r="DO13" s="3">
        <f t="shared" si="138"/>
        <v>28</v>
      </c>
      <c r="DP13" s="3">
        <f>114+64</f>
        <v>178</v>
      </c>
      <c r="DQ13" s="3">
        <v>142</v>
      </c>
      <c r="DR13" s="3">
        <v>157</v>
      </c>
      <c r="DS13" s="3">
        <f t="shared" ref="DS13:DS15" si="176">DN13+DQ13-DR13</f>
        <v>39</v>
      </c>
      <c r="DT13" s="3">
        <f t="shared" si="139"/>
        <v>64</v>
      </c>
      <c r="DU13" s="3">
        <v>211</v>
      </c>
      <c r="DV13" s="3">
        <v>275</v>
      </c>
      <c r="DW13" s="3">
        <v>272</v>
      </c>
      <c r="DX13" s="3">
        <f t="shared" si="140"/>
        <v>42</v>
      </c>
      <c r="DY13" s="3">
        <f t="shared" si="141"/>
        <v>0</v>
      </c>
      <c r="DZ13" s="3">
        <f>261+42</f>
        <v>303</v>
      </c>
      <c r="EA13" s="3">
        <v>261</v>
      </c>
      <c r="EB13" s="3">
        <v>289</v>
      </c>
      <c r="EC13" s="3">
        <f t="shared" si="142"/>
        <v>14</v>
      </c>
      <c r="ED13" s="3">
        <f t="shared" si="143"/>
        <v>42</v>
      </c>
      <c r="EE13" s="3">
        <v>200</v>
      </c>
      <c r="EF13" s="3">
        <v>228</v>
      </c>
      <c r="EG13" s="3">
        <v>222</v>
      </c>
      <c r="EH13" s="3">
        <f t="shared" si="144"/>
        <v>20</v>
      </c>
      <c r="EI13" s="3">
        <f t="shared" si="145"/>
        <v>14</v>
      </c>
      <c r="EJ13" s="3">
        <v>169</v>
      </c>
      <c r="EK13" s="3">
        <v>144</v>
      </c>
      <c r="EL13" s="3">
        <v>140</v>
      </c>
      <c r="EM13" s="3">
        <f t="shared" si="146"/>
        <v>24</v>
      </c>
      <c r="EN13" s="3">
        <f t="shared" si="147"/>
        <v>39</v>
      </c>
      <c r="EO13" s="3">
        <v>50</v>
      </c>
      <c r="EP13" s="3"/>
      <c r="EQ13" s="3">
        <v>256</v>
      </c>
      <c r="ER13" s="3">
        <f t="shared" si="148"/>
        <v>-232</v>
      </c>
      <c r="ES13" s="3">
        <f t="shared" si="149"/>
        <v>89</v>
      </c>
      <c r="ET13" s="3">
        <v>50</v>
      </c>
      <c r="EU13" s="3"/>
      <c r="EV13" s="3">
        <v>256</v>
      </c>
      <c r="EW13" s="3">
        <f t="shared" si="150"/>
        <v>-488</v>
      </c>
      <c r="EX13" s="3">
        <f t="shared" si="151"/>
        <v>139</v>
      </c>
      <c r="EY13" s="3">
        <v>50</v>
      </c>
      <c r="EZ13" s="3"/>
      <c r="FA13" s="3">
        <v>256</v>
      </c>
      <c r="FB13" s="3">
        <f t="shared" si="152"/>
        <v>-744</v>
      </c>
      <c r="FC13" s="3">
        <f t="shared" si="153"/>
        <v>189</v>
      </c>
      <c r="FD13" s="3">
        <v>50</v>
      </c>
      <c r="FE13" s="3"/>
      <c r="FF13" s="3">
        <v>256</v>
      </c>
      <c r="FG13" s="3">
        <f t="shared" si="154"/>
        <v>-1000</v>
      </c>
      <c r="FH13" s="3">
        <f t="shared" si="155"/>
        <v>239</v>
      </c>
      <c r="FI13" s="3">
        <v>50</v>
      </c>
      <c r="FJ13" s="3"/>
      <c r="FK13" s="3">
        <v>256</v>
      </c>
      <c r="FL13" s="3">
        <f t="shared" si="156"/>
        <v>-1256</v>
      </c>
      <c r="FM13" s="3">
        <f t="shared" si="157"/>
        <v>289</v>
      </c>
      <c r="FN13" s="3">
        <v>50</v>
      </c>
      <c r="FO13" s="3"/>
      <c r="FP13" s="3">
        <v>256</v>
      </c>
      <c r="FQ13" s="3">
        <f t="shared" si="158"/>
        <v>-1512</v>
      </c>
      <c r="FR13" s="3">
        <f t="shared" si="159"/>
        <v>339</v>
      </c>
      <c r="FS13" s="3">
        <v>50</v>
      </c>
      <c r="FT13" s="3"/>
      <c r="FU13" s="3">
        <v>256</v>
      </c>
    </row>
    <row r="14" spans="1:177" x14ac:dyDescent="0.35">
      <c r="A14" s="2" t="s">
        <v>61</v>
      </c>
      <c r="B14" s="2" t="s">
        <v>71</v>
      </c>
      <c r="C14" s="21">
        <v>38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>
        <f t="shared" ref="R14" si="177">M14+P14-Q14</f>
        <v>0</v>
      </c>
      <c r="S14" s="3">
        <f t="shared" ref="S14" si="178">N14+O14-P14</f>
        <v>0</v>
      </c>
      <c r="T14" s="3"/>
      <c r="U14" s="3">
        <v>0</v>
      </c>
      <c r="V14" s="3"/>
      <c r="W14" s="3"/>
      <c r="X14" s="3">
        <f t="shared" ref="X14" si="179">S14+T14-U14</f>
        <v>0</v>
      </c>
      <c r="Y14" s="3">
        <v>56</v>
      </c>
      <c r="Z14" s="3">
        <v>40</v>
      </c>
      <c r="AA14" s="3">
        <v>0</v>
      </c>
      <c r="AB14" s="3">
        <f t="shared" ref="AB14" si="180">W14+Z14-AA14</f>
        <v>40</v>
      </c>
      <c r="AC14" s="3">
        <f t="shared" ref="AC14" si="181">X14+Y14-Z14</f>
        <v>16</v>
      </c>
      <c r="AD14" s="3">
        <v>50</v>
      </c>
      <c r="AE14" s="3">
        <v>0</v>
      </c>
      <c r="AF14" s="3">
        <v>0</v>
      </c>
      <c r="AG14" s="3">
        <f t="shared" ref="AG14" si="182">AB14+AE14-AF14</f>
        <v>40</v>
      </c>
      <c r="AH14" s="3">
        <f t="shared" ref="AH14" si="183">AC14+AD14-AE14</f>
        <v>66</v>
      </c>
      <c r="AI14" s="3"/>
      <c r="AJ14" s="3">
        <v>0</v>
      </c>
      <c r="AK14" s="3">
        <v>0</v>
      </c>
      <c r="AL14" s="3">
        <f t="shared" ref="AL14" si="184">AG14+AJ14-AK14</f>
        <v>40</v>
      </c>
      <c r="AM14" s="3">
        <f t="shared" ref="AM14" si="185">AH14+AI14-AJ14</f>
        <v>66</v>
      </c>
      <c r="AN14" s="3"/>
      <c r="AO14" s="3"/>
      <c r="AP14" s="3">
        <v>30</v>
      </c>
      <c r="AQ14" s="3">
        <f t="shared" ref="AQ14" si="186">AL14+AO14-AP14</f>
        <v>10</v>
      </c>
      <c r="AR14" s="3">
        <f t="shared" ref="AR14" si="187">AM14+AN14-AO14</f>
        <v>66</v>
      </c>
      <c r="AS14" s="3"/>
      <c r="AT14" s="3">
        <v>24</v>
      </c>
      <c r="AU14" s="3">
        <v>0</v>
      </c>
      <c r="AV14" s="3">
        <f>AQ14+AT14+15-AU14</f>
        <v>49</v>
      </c>
      <c r="AW14" s="3">
        <f t="shared" ref="AW14" si="188">AR14+AS14-AT14</f>
        <v>42</v>
      </c>
      <c r="AX14" s="3">
        <v>0</v>
      </c>
      <c r="AY14" s="3">
        <v>41</v>
      </c>
      <c r="AZ14" s="3">
        <v>0</v>
      </c>
      <c r="BA14" s="3">
        <f t="shared" ref="BA14:BA15" si="189">AV14+AY14-AZ14</f>
        <v>90</v>
      </c>
      <c r="BB14" s="3">
        <f t="shared" ref="BB14:BB15" si="190">AW14+AX14-AY14</f>
        <v>1</v>
      </c>
      <c r="BC14" s="3">
        <v>25</v>
      </c>
      <c r="BD14" s="3">
        <v>25</v>
      </c>
      <c r="BE14" s="3">
        <v>0</v>
      </c>
      <c r="BF14" s="3">
        <f t="shared" ref="BF14" si="191">BA14+BD14-BE14</f>
        <v>115</v>
      </c>
      <c r="BG14" s="3">
        <f t="shared" ref="BG14" si="192">BB14+BC14-BD14</f>
        <v>1</v>
      </c>
      <c r="BH14" s="3">
        <v>0</v>
      </c>
      <c r="BI14" s="3"/>
      <c r="BJ14" s="3">
        <v>45</v>
      </c>
      <c r="BK14" s="3">
        <f t="shared" ref="BK14" si="193">BF14+BI14-BJ14</f>
        <v>70</v>
      </c>
      <c r="BL14" s="3">
        <f t="shared" ref="BL14" si="194">BG14+BH14-BI14</f>
        <v>1</v>
      </c>
      <c r="BM14" s="3"/>
      <c r="BN14" s="3"/>
      <c r="BO14" s="3"/>
      <c r="BP14" s="3">
        <f t="shared" ref="BP14" si="195">BK14+BN14-BO14</f>
        <v>70</v>
      </c>
      <c r="BQ14" s="3">
        <f t="shared" ref="BQ14" si="196">BL14+BM14-BN14</f>
        <v>1</v>
      </c>
      <c r="BR14" s="3">
        <v>62</v>
      </c>
      <c r="BS14" s="3">
        <v>50</v>
      </c>
      <c r="BT14" s="3">
        <v>12</v>
      </c>
      <c r="BU14" s="3">
        <f t="shared" ref="BU14" si="197">BP14+BS14-BT14</f>
        <v>108</v>
      </c>
      <c r="BV14" s="3">
        <f t="shared" ref="BV14" si="198">BQ14+BR14-BS14</f>
        <v>13</v>
      </c>
      <c r="BW14" s="3"/>
      <c r="BX14" s="3"/>
      <c r="BY14" s="3">
        <v>3</v>
      </c>
      <c r="BZ14" s="3">
        <f t="shared" ref="BZ14" si="199">BU14+BX14-BY14</f>
        <v>105</v>
      </c>
      <c r="CA14" s="3">
        <f t="shared" ref="CA14" si="200">BV14+BW14-BX14</f>
        <v>13</v>
      </c>
      <c r="CB14" s="3">
        <v>50</v>
      </c>
      <c r="CC14" s="3">
        <v>63</v>
      </c>
      <c r="CD14" s="3">
        <v>11</v>
      </c>
      <c r="CE14" s="3">
        <f t="shared" ref="CE14:CE15" si="201">BZ14+CC14-CD14</f>
        <v>157</v>
      </c>
      <c r="CF14" s="3">
        <f t="shared" ref="CF14:CF15" si="202">CA14+CB14-CC14</f>
        <v>0</v>
      </c>
      <c r="CG14" s="3">
        <v>37</v>
      </c>
      <c r="CH14" s="3">
        <v>37</v>
      </c>
      <c r="CI14" s="3">
        <v>27</v>
      </c>
      <c r="CJ14" s="3">
        <f t="shared" ref="CJ14:CJ15" si="203">CE14+CH14-CI14</f>
        <v>167</v>
      </c>
      <c r="CK14" s="3">
        <f t="shared" ref="CK14:CK15" si="204">CF14+CG14-CH14</f>
        <v>0</v>
      </c>
      <c r="CL14" s="3">
        <v>12</v>
      </c>
      <c r="CM14" s="3">
        <v>12</v>
      </c>
      <c r="CN14" s="3">
        <v>42</v>
      </c>
      <c r="CO14" s="3">
        <v>40</v>
      </c>
      <c r="CP14" s="3">
        <f t="shared" si="128"/>
        <v>0</v>
      </c>
      <c r="CQ14" s="3">
        <v>56</v>
      </c>
      <c r="CR14" s="3">
        <v>28</v>
      </c>
      <c r="CS14" s="3">
        <v>51</v>
      </c>
      <c r="CT14" s="3">
        <f t="shared" si="129"/>
        <v>17</v>
      </c>
      <c r="CU14" s="3">
        <f t="shared" si="130"/>
        <v>28</v>
      </c>
      <c r="CV14" s="3">
        <v>39</v>
      </c>
      <c r="CW14" s="3">
        <v>42</v>
      </c>
      <c r="CX14" s="3">
        <v>15</v>
      </c>
      <c r="CY14" s="3">
        <f t="shared" si="131"/>
        <v>44</v>
      </c>
      <c r="CZ14" s="3">
        <f t="shared" si="132"/>
        <v>25</v>
      </c>
      <c r="DA14" s="3"/>
      <c r="DB14" s="3"/>
      <c r="DC14" s="3"/>
      <c r="DD14" s="3">
        <f t="shared" si="133"/>
        <v>44</v>
      </c>
      <c r="DE14" s="3">
        <f t="shared" si="134"/>
        <v>25</v>
      </c>
      <c r="DF14" s="3"/>
      <c r="DG14" s="3">
        <v>25</v>
      </c>
      <c r="DH14" s="3">
        <v>44</v>
      </c>
      <c r="DI14" s="3">
        <f t="shared" si="135"/>
        <v>25</v>
      </c>
      <c r="DJ14" s="3">
        <f t="shared" si="136"/>
        <v>0</v>
      </c>
      <c r="DK14" s="3">
        <v>68</v>
      </c>
      <c r="DL14" s="12">
        <v>40</v>
      </c>
      <c r="DM14" s="3">
        <v>61</v>
      </c>
      <c r="DN14" s="3">
        <f t="shared" si="137"/>
        <v>4</v>
      </c>
      <c r="DO14" s="3">
        <f t="shared" si="138"/>
        <v>28</v>
      </c>
      <c r="DP14" s="3">
        <v>74</v>
      </c>
      <c r="DQ14" s="3">
        <v>77</v>
      </c>
      <c r="DR14" s="3">
        <v>13</v>
      </c>
      <c r="DS14" s="3">
        <v>30</v>
      </c>
      <c r="DT14" s="3">
        <f t="shared" si="139"/>
        <v>25</v>
      </c>
      <c r="DU14" s="3">
        <v>110</v>
      </c>
      <c r="DV14" s="3">
        <v>135</v>
      </c>
      <c r="DW14" s="3">
        <v>152</v>
      </c>
      <c r="DX14" s="3">
        <f t="shared" si="140"/>
        <v>13</v>
      </c>
      <c r="DY14" s="3">
        <f t="shared" si="141"/>
        <v>0</v>
      </c>
      <c r="DZ14" s="3">
        <f>113+28</f>
        <v>141</v>
      </c>
      <c r="EA14" s="3">
        <v>113</v>
      </c>
      <c r="EB14" s="3">
        <v>116</v>
      </c>
      <c r="EC14" s="3">
        <f t="shared" si="142"/>
        <v>10</v>
      </c>
      <c r="ED14" s="3">
        <f t="shared" si="143"/>
        <v>28</v>
      </c>
      <c r="EE14" s="3">
        <v>151</v>
      </c>
      <c r="EF14" s="3">
        <v>167</v>
      </c>
      <c r="EG14" s="3">
        <v>175</v>
      </c>
      <c r="EH14" s="3">
        <f t="shared" si="144"/>
        <v>2</v>
      </c>
      <c r="EI14" s="3">
        <f t="shared" si="145"/>
        <v>12</v>
      </c>
      <c r="EJ14" s="3">
        <v>84</v>
      </c>
      <c r="EK14" s="3">
        <v>82</v>
      </c>
      <c r="EL14" s="3">
        <v>59</v>
      </c>
      <c r="EM14" s="3">
        <f t="shared" si="146"/>
        <v>25</v>
      </c>
      <c r="EN14" s="3">
        <f t="shared" si="147"/>
        <v>14</v>
      </c>
      <c r="EO14" s="3"/>
      <c r="EP14" s="3"/>
      <c r="EQ14" s="3">
        <v>112</v>
      </c>
      <c r="ER14" s="3">
        <f t="shared" si="148"/>
        <v>-87</v>
      </c>
      <c r="ES14" s="3">
        <f t="shared" si="149"/>
        <v>14</v>
      </c>
      <c r="ET14" s="3"/>
      <c r="EU14" s="3"/>
      <c r="EV14" s="3">
        <v>112</v>
      </c>
      <c r="EW14" s="3">
        <f t="shared" si="150"/>
        <v>-199</v>
      </c>
      <c r="EX14" s="3">
        <f t="shared" si="151"/>
        <v>14</v>
      </c>
      <c r="EY14" s="3"/>
      <c r="EZ14" s="3"/>
      <c r="FA14" s="3">
        <v>112</v>
      </c>
      <c r="FB14" s="3">
        <f t="shared" si="152"/>
        <v>-311</v>
      </c>
      <c r="FC14" s="3">
        <f t="shared" si="153"/>
        <v>14</v>
      </c>
      <c r="FD14" s="3"/>
      <c r="FE14" s="3"/>
      <c r="FF14" s="3">
        <v>112</v>
      </c>
      <c r="FG14" s="3">
        <f t="shared" si="154"/>
        <v>-423</v>
      </c>
      <c r="FH14" s="3">
        <f t="shared" si="155"/>
        <v>14</v>
      </c>
      <c r="FI14" s="3"/>
      <c r="FJ14" s="3"/>
      <c r="FK14" s="3">
        <v>112</v>
      </c>
      <c r="FL14" s="3">
        <f t="shared" si="156"/>
        <v>-535</v>
      </c>
      <c r="FM14" s="3">
        <f t="shared" si="157"/>
        <v>14</v>
      </c>
      <c r="FN14" s="3"/>
      <c r="FO14" s="3"/>
      <c r="FP14" s="3">
        <v>112</v>
      </c>
      <c r="FQ14" s="3">
        <f t="shared" si="158"/>
        <v>-647</v>
      </c>
      <c r="FR14" s="3">
        <f t="shared" si="159"/>
        <v>14</v>
      </c>
      <c r="FS14" s="3"/>
      <c r="FT14" s="3"/>
      <c r="FU14" s="3">
        <v>112</v>
      </c>
    </row>
    <row r="15" spans="1:177" x14ac:dyDescent="0.35">
      <c r="A15" s="2" t="s">
        <v>62</v>
      </c>
      <c r="B15" s="2" t="s">
        <v>72</v>
      </c>
      <c r="C15" s="21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>
        <v>0</v>
      </c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>
        <v>30</v>
      </c>
      <c r="AT15" s="3">
        <v>15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f t="shared" si="189"/>
        <v>0</v>
      </c>
      <c r="BB15" s="3">
        <f t="shared" si="190"/>
        <v>0</v>
      </c>
      <c r="BC15" s="3">
        <v>0</v>
      </c>
      <c r="BD15" s="3"/>
      <c r="BE15" s="3">
        <v>0</v>
      </c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>
        <v>0</v>
      </c>
      <c r="CD15" s="3">
        <v>0</v>
      </c>
      <c r="CE15" s="3">
        <f t="shared" si="201"/>
        <v>0</v>
      </c>
      <c r="CF15" s="3">
        <f t="shared" si="202"/>
        <v>0</v>
      </c>
      <c r="CG15" s="3"/>
      <c r="CH15" s="3">
        <v>0</v>
      </c>
      <c r="CI15" s="3">
        <v>0</v>
      </c>
      <c r="CJ15" s="3">
        <f t="shared" si="203"/>
        <v>0</v>
      </c>
      <c r="CK15" s="3">
        <f t="shared" si="204"/>
        <v>0</v>
      </c>
      <c r="CL15" s="3"/>
      <c r="CM15" s="3">
        <v>0</v>
      </c>
      <c r="CN15" s="3">
        <v>0</v>
      </c>
      <c r="CO15" s="3">
        <f t="shared" si="127"/>
        <v>0</v>
      </c>
      <c r="CP15" s="3">
        <f t="shared" si="128"/>
        <v>0</v>
      </c>
      <c r="CQ15" s="3"/>
      <c r="CR15" s="3">
        <v>0</v>
      </c>
      <c r="CS15" s="3">
        <v>0</v>
      </c>
      <c r="CT15" s="3">
        <f t="shared" si="129"/>
        <v>0</v>
      </c>
      <c r="CU15" s="3">
        <f t="shared" si="130"/>
        <v>0</v>
      </c>
      <c r="CV15" s="3"/>
      <c r="CW15" s="3">
        <v>0</v>
      </c>
      <c r="CX15" s="3">
        <v>0</v>
      </c>
      <c r="CY15" s="3">
        <f t="shared" si="131"/>
        <v>0</v>
      </c>
      <c r="CZ15" s="3">
        <f t="shared" si="132"/>
        <v>0</v>
      </c>
      <c r="DA15" s="3"/>
      <c r="DB15" s="3"/>
      <c r="DC15" s="3"/>
      <c r="DD15" s="3">
        <f t="shared" si="133"/>
        <v>0</v>
      </c>
      <c r="DE15" s="3">
        <f t="shared" si="134"/>
        <v>0</v>
      </c>
      <c r="DF15" s="3"/>
      <c r="DG15" s="3">
        <v>0</v>
      </c>
      <c r="DH15" s="3">
        <v>0</v>
      </c>
      <c r="DI15" s="3">
        <f t="shared" si="135"/>
        <v>0</v>
      </c>
      <c r="DJ15" s="3">
        <f t="shared" si="136"/>
        <v>0</v>
      </c>
      <c r="DK15" s="3"/>
      <c r="DL15" s="12">
        <v>0</v>
      </c>
      <c r="DM15" s="3">
        <v>0</v>
      </c>
      <c r="DN15" s="3">
        <f t="shared" si="137"/>
        <v>0</v>
      </c>
      <c r="DO15" s="3">
        <f t="shared" si="138"/>
        <v>0</v>
      </c>
      <c r="DP15" s="3"/>
      <c r="DQ15" s="3">
        <v>0</v>
      </c>
      <c r="DR15" s="3">
        <v>0</v>
      </c>
      <c r="DS15" s="3">
        <f t="shared" si="176"/>
        <v>0</v>
      </c>
      <c r="DT15" s="3">
        <f t="shared" si="139"/>
        <v>0</v>
      </c>
      <c r="DU15" s="3"/>
      <c r="DV15" s="3">
        <v>0</v>
      </c>
      <c r="DW15" s="3">
        <v>0</v>
      </c>
      <c r="DX15" s="3">
        <f t="shared" si="140"/>
        <v>0</v>
      </c>
      <c r="DY15" s="3">
        <f t="shared" si="141"/>
        <v>0</v>
      </c>
      <c r="DZ15" s="3"/>
      <c r="EA15" s="3"/>
      <c r="EB15" s="3"/>
      <c r="EC15" s="3">
        <f t="shared" si="142"/>
        <v>0</v>
      </c>
      <c r="ED15" s="3">
        <f t="shared" si="143"/>
        <v>0</v>
      </c>
      <c r="EE15" s="3"/>
      <c r="EF15" s="3">
        <v>0</v>
      </c>
      <c r="EG15" s="3">
        <v>0</v>
      </c>
      <c r="EH15" s="3">
        <f t="shared" si="144"/>
        <v>0</v>
      </c>
      <c r="EI15" s="3">
        <f t="shared" si="145"/>
        <v>0</v>
      </c>
      <c r="EJ15" s="3">
        <v>0</v>
      </c>
      <c r="EK15" s="3">
        <v>0</v>
      </c>
      <c r="EL15" s="3">
        <v>0</v>
      </c>
      <c r="EM15" s="3">
        <f t="shared" si="146"/>
        <v>0</v>
      </c>
      <c r="EN15" s="3">
        <f t="shared" si="147"/>
        <v>0</v>
      </c>
      <c r="EO15" s="3"/>
      <c r="EP15" s="3"/>
      <c r="EQ15" s="3">
        <v>0</v>
      </c>
      <c r="ER15" s="3">
        <f t="shared" si="148"/>
        <v>0</v>
      </c>
      <c r="ES15" s="3">
        <f t="shared" si="149"/>
        <v>0</v>
      </c>
      <c r="ET15" s="3"/>
      <c r="EU15" s="3"/>
      <c r="EV15" s="3">
        <v>0</v>
      </c>
      <c r="EW15" s="3">
        <f t="shared" si="150"/>
        <v>0</v>
      </c>
      <c r="EX15" s="3">
        <f t="shared" si="151"/>
        <v>0</v>
      </c>
      <c r="EY15" s="3"/>
      <c r="EZ15" s="3"/>
      <c r="FA15" s="3">
        <v>0</v>
      </c>
      <c r="FB15" s="3">
        <f t="shared" si="152"/>
        <v>0</v>
      </c>
      <c r="FC15" s="3">
        <f t="shared" si="153"/>
        <v>0</v>
      </c>
      <c r="FD15" s="3"/>
      <c r="FE15" s="3"/>
      <c r="FF15" s="3">
        <v>0</v>
      </c>
      <c r="FG15" s="3">
        <f t="shared" si="154"/>
        <v>0</v>
      </c>
      <c r="FH15" s="3">
        <f t="shared" si="155"/>
        <v>0</v>
      </c>
      <c r="FI15" s="3"/>
      <c r="FJ15" s="3"/>
      <c r="FK15" s="3">
        <v>0</v>
      </c>
      <c r="FL15" s="3">
        <f t="shared" si="156"/>
        <v>0</v>
      </c>
      <c r="FM15" s="3">
        <f t="shared" si="157"/>
        <v>0</v>
      </c>
      <c r="FN15" s="3"/>
      <c r="FO15" s="3"/>
      <c r="FP15" s="3">
        <v>0</v>
      </c>
      <c r="FQ15" s="3">
        <f t="shared" si="158"/>
        <v>0</v>
      </c>
      <c r="FR15" s="3">
        <f t="shared" si="159"/>
        <v>0</v>
      </c>
      <c r="FS15" s="3"/>
      <c r="FT15" s="3"/>
      <c r="FU15" s="3">
        <v>0</v>
      </c>
    </row>
    <row r="16" spans="1:177" x14ac:dyDescent="0.35">
      <c r="A16" s="33" t="s">
        <v>73</v>
      </c>
      <c r="B16" s="33"/>
      <c r="C16" s="5">
        <f t="shared" ref="C16:AH16" si="205">SUM(C12:C15)</f>
        <v>76</v>
      </c>
      <c r="D16" s="5">
        <f t="shared" si="205"/>
        <v>0</v>
      </c>
      <c r="E16" s="5">
        <f t="shared" si="205"/>
        <v>0</v>
      </c>
      <c r="F16" s="5">
        <f t="shared" si="205"/>
        <v>0</v>
      </c>
      <c r="G16" s="5">
        <f t="shared" si="205"/>
        <v>0</v>
      </c>
      <c r="H16" s="5">
        <f t="shared" si="205"/>
        <v>0</v>
      </c>
      <c r="I16" s="5">
        <f t="shared" si="205"/>
        <v>0</v>
      </c>
      <c r="J16" s="5">
        <f t="shared" si="205"/>
        <v>0</v>
      </c>
      <c r="K16" s="5">
        <f t="shared" si="205"/>
        <v>0</v>
      </c>
      <c r="L16" s="5">
        <f t="shared" si="205"/>
        <v>0</v>
      </c>
      <c r="M16" s="5">
        <f t="shared" si="205"/>
        <v>0</v>
      </c>
      <c r="N16" s="5">
        <f t="shared" si="205"/>
        <v>0</v>
      </c>
      <c r="O16" s="5">
        <f t="shared" si="205"/>
        <v>0</v>
      </c>
      <c r="P16" s="5">
        <f t="shared" si="205"/>
        <v>0</v>
      </c>
      <c r="Q16" s="5">
        <f t="shared" si="205"/>
        <v>0</v>
      </c>
      <c r="R16" s="5">
        <f t="shared" si="205"/>
        <v>0</v>
      </c>
      <c r="S16" s="5">
        <f t="shared" si="205"/>
        <v>0</v>
      </c>
      <c r="T16" s="5">
        <f t="shared" si="205"/>
        <v>0</v>
      </c>
      <c r="U16" s="5">
        <f t="shared" si="205"/>
        <v>0</v>
      </c>
      <c r="V16" s="5">
        <f t="shared" si="205"/>
        <v>0</v>
      </c>
      <c r="W16" s="5">
        <f t="shared" si="205"/>
        <v>0</v>
      </c>
      <c r="X16" s="5">
        <f t="shared" si="205"/>
        <v>0</v>
      </c>
      <c r="Y16" s="5">
        <f t="shared" si="205"/>
        <v>112</v>
      </c>
      <c r="Z16" s="5">
        <f t="shared" si="205"/>
        <v>80</v>
      </c>
      <c r="AA16" s="5">
        <f t="shared" si="205"/>
        <v>0</v>
      </c>
      <c r="AB16" s="5">
        <f t="shared" si="205"/>
        <v>80</v>
      </c>
      <c r="AC16" s="5">
        <f t="shared" si="205"/>
        <v>32</v>
      </c>
      <c r="AD16" s="5">
        <f t="shared" si="205"/>
        <v>100</v>
      </c>
      <c r="AE16" s="5">
        <f t="shared" si="205"/>
        <v>0</v>
      </c>
      <c r="AF16" s="5">
        <f t="shared" si="205"/>
        <v>0</v>
      </c>
      <c r="AG16" s="5">
        <f t="shared" si="205"/>
        <v>80</v>
      </c>
      <c r="AH16" s="5">
        <f t="shared" si="205"/>
        <v>132</v>
      </c>
      <c r="AI16" s="5">
        <f t="shared" ref="AI16:BN16" si="206">SUM(AI12:AI15)</f>
        <v>0</v>
      </c>
      <c r="AJ16" s="5">
        <f t="shared" si="206"/>
        <v>0</v>
      </c>
      <c r="AK16" s="5">
        <f t="shared" si="206"/>
        <v>0</v>
      </c>
      <c r="AL16" s="5">
        <f t="shared" si="206"/>
        <v>80</v>
      </c>
      <c r="AM16" s="5">
        <f t="shared" si="206"/>
        <v>132</v>
      </c>
      <c r="AN16" s="5">
        <f t="shared" si="206"/>
        <v>0</v>
      </c>
      <c r="AO16" s="5">
        <f t="shared" si="206"/>
        <v>0</v>
      </c>
      <c r="AP16" s="5">
        <f t="shared" si="206"/>
        <v>60</v>
      </c>
      <c r="AQ16" s="5">
        <f t="shared" si="206"/>
        <v>20</v>
      </c>
      <c r="AR16" s="5">
        <f t="shared" si="206"/>
        <v>132</v>
      </c>
      <c r="AS16" s="5">
        <f t="shared" si="206"/>
        <v>60</v>
      </c>
      <c r="AT16" s="5">
        <f t="shared" si="206"/>
        <v>78</v>
      </c>
      <c r="AU16" s="5">
        <f t="shared" si="206"/>
        <v>0</v>
      </c>
      <c r="AV16" s="5">
        <f t="shared" si="206"/>
        <v>98</v>
      </c>
      <c r="AW16" s="5">
        <f t="shared" si="206"/>
        <v>84</v>
      </c>
      <c r="AX16" s="5">
        <f t="shared" si="206"/>
        <v>0</v>
      </c>
      <c r="AY16" s="5">
        <f t="shared" si="206"/>
        <v>82</v>
      </c>
      <c r="AZ16" s="5">
        <f t="shared" si="206"/>
        <v>0</v>
      </c>
      <c r="BA16" s="5">
        <f t="shared" si="206"/>
        <v>180</v>
      </c>
      <c r="BB16" s="5">
        <f t="shared" si="206"/>
        <v>2</v>
      </c>
      <c r="BC16" s="5">
        <f t="shared" si="206"/>
        <v>48</v>
      </c>
      <c r="BD16" s="5">
        <f t="shared" si="206"/>
        <v>49</v>
      </c>
      <c r="BE16" s="5">
        <f t="shared" si="206"/>
        <v>0</v>
      </c>
      <c r="BF16" s="5">
        <f t="shared" si="206"/>
        <v>229</v>
      </c>
      <c r="BG16" s="5">
        <f t="shared" si="206"/>
        <v>1</v>
      </c>
      <c r="BH16" s="5">
        <f t="shared" si="206"/>
        <v>22</v>
      </c>
      <c r="BI16" s="5">
        <f t="shared" si="206"/>
        <v>22</v>
      </c>
      <c r="BJ16" s="5">
        <f t="shared" si="206"/>
        <v>169</v>
      </c>
      <c r="BK16" s="5">
        <f t="shared" si="206"/>
        <v>82</v>
      </c>
      <c r="BL16" s="5">
        <f t="shared" si="206"/>
        <v>1</v>
      </c>
      <c r="BM16" s="5">
        <f t="shared" si="206"/>
        <v>250</v>
      </c>
      <c r="BN16" s="5">
        <f t="shared" si="206"/>
        <v>143</v>
      </c>
      <c r="BO16" s="5">
        <f t="shared" ref="BO16:CT16" si="207">SUM(BO12:BO15)</f>
        <v>93</v>
      </c>
      <c r="BP16" s="5">
        <f t="shared" si="207"/>
        <v>132</v>
      </c>
      <c r="BQ16" s="5">
        <f t="shared" si="207"/>
        <v>108</v>
      </c>
      <c r="BR16" s="5">
        <f t="shared" si="207"/>
        <v>316</v>
      </c>
      <c r="BS16" s="5">
        <f t="shared" si="207"/>
        <v>257</v>
      </c>
      <c r="BT16" s="5">
        <f t="shared" si="207"/>
        <v>220</v>
      </c>
      <c r="BU16" s="5">
        <f t="shared" si="207"/>
        <v>169</v>
      </c>
      <c r="BV16" s="5">
        <f t="shared" si="207"/>
        <v>167</v>
      </c>
      <c r="BW16" s="5">
        <f t="shared" si="207"/>
        <v>212</v>
      </c>
      <c r="BX16" s="5">
        <f t="shared" si="207"/>
        <v>192</v>
      </c>
      <c r="BY16" s="5">
        <f t="shared" si="207"/>
        <v>160</v>
      </c>
      <c r="BZ16" s="5">
        <f t="shared" si="207"/>
        <v>201</v>
      </c>
      <c r="CA16" s="5">
        <f t="shared" si="207"/>
        <v>187</v>
      </c>
      <c r="CB16" s="5">
        <f t="shared" si="207"/>
        <v>250</v>
      </c>
      <c r="CC16" s="5">
        <f t="shared" si="207"/>
        <v>312</v>
      </c>
      <c r="CD16" s="5">
        <f t="shared" si="207"/>
        <v>210</v>
      </c>
      <c r="CE16" s="5">
        <f t="shared" si="207"/>
        <v>248</v>
      </c>
      <c r="CF16" s="5">
        <f t="shared" si="207"/>
        <v>125</v>
      </c>
      <c r="CG16" s="5">
        <f t="shared" si="207"/>
        <v>167</v>
      </c>
      <c r="CH16" s="5">
        <f t="shared" si="207"/>
        <v>205</v>
      </c>
      <c r="CI16" s="5">
        <f t="shared" si="207"/>
        <v>236</v>
      </c>
      <c r="CJ16" s="5">
        <f t="shared" si="207"/>
        <v>259</v>
      </c>
      <c r="CK16" s="5">
        <f t="shared" si="207"/>
        <v>87</v>
      </c>
      <c r="CL16" s="5">
        <f t="shared" si="207"/>
        <v>249</v>
      </c>
      <c r="CM16" s="5">
        <f t="shared" si="207"/>
        <v>278</v>
      </c>
      <c r="CN16" s="5">
        <f t="shared" si="207"/>
        <v>302</v>
      </c>
      <c r="CO16" s="5">
        <f t="shared" si="207"/>
        <v>138</v>
      </c>
      <c r="CP16" s="5">
        <f t="shared" si="207"/>
        <v>58</v>
      </c>
      <c r="CQ16" s="5">
        <f t="shared" si="207"/>
        <v>329</v>
      </c>
      <c r="CR16" s="5">
        <f t="shared" si="207"/>
        <v>201</v>
      </c>
      <c r="CS16" s="5">
        <f t="shared" si="207"/>
        <v>228</v>
      </c>
      <c r="CT16" s="5">
        <f t="shared" si="207"/>
        <v>111</v>
      </c>
      <c r="CU16" s="5">
        <f t="shared" ref="CU16:DC16" si="208">SUM(CU12:CU15)</f>
        <v>186</v>
      </c>
      <c r="CV16" s="5">
        <f t="shared" si="208"/>
        <v>264</v>
      </c>
      <c r="CW16" s="5">
        <f t="shared" si="208"/>
        <v>315</v>
      </c>
      <c r="CX16" s="5">
        <f t="shared" si="208"/>
        <v>325</v>
      </c>
      <c r="CY16" s="5">
        <f t="shared" si="208"/>
        <v>101</v>
      </c>
      <c r="CZ16" s="5">
        <f t="shared" si="208"/>
        <v>135</v>
      </c>
      <c r="DA16" s="5">
        <f t="shared" si="208"/>
        <v>56</v>
      </c>
      <c r="DB16" s="5">
        <f t="shared" si="208"/>
        <v>0</v>
      </c>
      <c r="DC16" s="5">
        <f t="shared" si="208"/>
        <v>0</v>
      </c>
      <c r="DD16" s="5">
        <f t="shared" ref="DD16" si="209">SUM(DD12:DD15)</f>
        <v>101</v>
      </c>
      <c r="DE16" s="5">
        <f t="shared" ref="DE16" si="210">SUM(DE12:DE15)</f>
        <v>191</v>
      </c>
      <c r="DF16" s="5">
        <f t="shared" ref="DF16" si="211">SUM(DF12:DF15)</f>
        <v>155</v>
      </c>
      <c r="DG16" s="5">
        <f t="shared" ref="DG16" si="212">SUM(DG12:DG15)</f>
        <v>306</v>
      </c>
      <c r="DH16" s="5">
        <f t="shared" ref="DH16" si="213">SUM(DH12:DH15)</f>
        <v>263</v>
      </c>
      <c r="DI16" s="5">
        <f t="shared" ref="DI16" si="214">SUM(DI12:DI15)</f>
        <v>144</v>
      </c>
      <c r="DJ16" s="5">
        <f t="shared" ref="DJ16" si="215">SUM(DJ12:DJ15)</f>
        <v>40</v>
      </c>
      <c r="DK16" s="5">
        <f t="shared" ref="DK16" si="216">SUM(DK12:DK15)</f>
        <v>241</v>
      </c>
      <c r="DL16" s="5">
        <f t="shared" ref="DL16" si="217">SUM(DL12:DL15)</f>
        <v>225</v>
      </c>
      <c r="DM16" s="5">
        <f t="shared" ref="DM16:DQ16" si="218">SUM(DM12:DM15)</f>
        <v>217</v>
      </c>
      <c r="DN16" s="5">
        <f t="shared" si="218"/>
        <v>152</v>
      </c>
      <c r="DO16" s="5">
        <f t="shared" si="218"/>
        <v>56</v>
      </c>
      <c r="DP16" s="5">
        <f t="shared" si="218"/>
        <v>310</v>
      </c>
      <c r="DQ16" s="5">
        <f t="shared" si="218"/>
        <v>266</v>
      </c>
      <c r="DR16" s="5">
        <f t="shared" ref="DR16:DV16" si="219">SUM(DR12:DR15)</f>
        <v>214</v>
      </c>
      <c r="DS16" s="5">
        <f t="shared" si="219"/>
        <v>89</v>
      </c>
      <c r="DT16" s="5">
        <f t="shared" si="219"/>
        <v>100</v>
      </c>
      <c r="DU16" s="5">
        <f t="shared" si="219"/>
        <v>353</v>
      </c>
      <c r="DV16" s="5">
        <f t="shared" si="219"/>
        <v>453</v>
      </c>
      <c r="DW16" s="5">
        <f t="shared" ref="DW16:EA16" si="220">SUM(DW12:DW15)</f>
        <v>437</v>
      </c>
      <c r="DX16" s="5">
        <f t="shared" si="220"/>
        <v>105</v>
      </c>
      <c r="DY16" s="5">
        <f t="shared" si="220"/>
        <v>0</v>
      </c>
      <c r="DZ16" s="5">
        <f t="shared" si="220"/>
        <v>484</v>
      </c>
      <c r="EA16" s="5">
        <f t="shared" si="220"/>
        <v>414</v>
      </c>
      <c r="EB16" s="5">
        <f t="shared" ref="EB16:EF16" si="221">SUM(EB12:EB15)</f>
        <v>450</v>
      </c>
      <c r="EC16" s="5">
        <f t="shared" si="221"/>
        <v>69</v>
      </c>
      <c r="ED16" s="5">
        <f t="shared" si="221"/>
        <v>70</v>
      </c>
      <c r="EE16" s="5">
        <f t="shared" si="221"/>
        <v>351</v>
      </c>
      <c r="EF16" s="5">
        <f t="shared" si="221"/>
        <v>395</v>
      </c>
      <c r="EG16" s="5">
        <f t="shared" ref="EG16:EK16" si="222">SUM(EG12:EG15)</f>
        <v>432</v>
      </c>
      <c r="EH16" s="5">
        <f t="shared" si="222"/>
        <v>32</v>
      </c>
      <c r="EI16" s="5">
        <f t="shared" si="222"/>
        <v>26</v>
      </c>
      <c r="EJ16" s="5">
        <f t="shared" si="222"/>
        <v>298</v>
      </c>
      <c r="EK16" s="5">
        <f t="shared" si="222"/>
        <v>261</v>
      </c>
      <c r="EL16" s="5">
        <f t="shared" ref="EL16:EP16" si="223">SUM(EL12:EL15)</f>
        <v>209</v>
      </c>
      <c r="EM16" s="5">
        <f t="shared" si="223"/>
        <v>84</v>
      </c>
      <c r="EN16" s="5">
        <f t="shared" si="223"/>
        <v>63</v>
      </c>
      <c r="EO16" s="5">
        <f t="shared" si="223"/>
        <v>50</v>
      </c>
      <c r="EP16" s="5">
        <f t="shared" si="223"/>
        <v>0</v>
      </c>
      <c r="EQ16" s="5">
        <f t="shared" ref="EQ16:EU16" si="224">SUM(EQ12:EQ15)</f>
        <v>410</v>
      </c>
      <c r="ER16" s="5">
        <f t="shared" si="224"/>
        <v>-326</v>
      </c>
      <c r="ES16" s="5">
        <f t="shared" si="224"/>
        <v>113</v>
      </c>
      <c r="ET16" s="5">
        <f t="shared" si="224"/>
        <v>50</v>
      </c>
      <c r="EU16" s="5">
        <f t="shared" si="224"/>
        <v>0</v>
      </c>
      <c r="EV16" s="5">
        <f t="shared" ref="EV16:EZ16" si="225">SUM(EV12:EV15)</f>
        <v>410</v>
      </c>
      <c r="EW16" s="5">
        <f t="shared" si="225"/>
        <v>-736</v>
      </c>
      <c r="EX16" s="5">
        <f t="shared" si="225"/>
        <v>163</v>
      </c>
      <c r="EY16" s="5">
        <f t="shared" si="225"/>
        <v>50</v>
      </c>
      <c r="EZ16" s="5">
        <f t="shared" si="225"/>
        <v>0</v>
      </c>
      <c r="FA16" s="5">
        <f t="shared" ref="FA16:FE16" si="226">SUM(FA12:FA15)</f>
        <v>410</v>
      </c>
      <c r="FB16" s="5">
        <f t="shared" si="226"/>
        <v>-1146</v>
      </c>
      <c r="FC16" s="5">
        <f t="shared" si="226"/>
        <v>213</v>
      </c>
      <c r="FD16" s="5">
        <f t="shared" si="226"/>
        <v>50</v>
      </c>
      <c r="FE16" s="5">
        <f t="shared" si="226"/>
        <v>0</v>
      </c>
      <c r="FF16" s="5">
        <f t="shared" ref="FF16:FJ16" si="227">SUM(FF12:FF15)</f>
        <v>410</v>
      </c>
      <c r="FG16" s="5">
        <f t="shared" si="227"/>
        <v>-1556</v>
      </c>
      <c r="FH16" s="5">
        <f t="shared" si="227"/>
        <v>263</v>
      </c>
      <c r="FI16" s="5">
        <f t="shared" si="227"/>
        <v>50</v>
      </c>
      <c r="FJ16" s="5">
        <f t="shared" si="227"/>
        <v>0</v>
      </c>
      <c r="FK16" s="5">
        <f t="shared" ref="FK16:FO16" si="228">SUM(FK12:FK15)</f>
        <v>410</v>
      </c>
      <c r="FL16" s="5">
        <f t="shared" si="228"/>
        <v>-1966</v>
      </c>
      <c r="FM16" s="5">
        <f t="shared" si="228"/>
        <v>313</v>
      </c>
      <c r="FN16" s="5">
        <f t="shared" si="228"/>
        <v>50</v>
      </c>
      <c r="FO16" s="5">
        <f t="shared" si="228"/>
        <v>0</v>
      </c>
      <c r="FP16" s="5">
        <f t="shared" ref="FP16:FT16" si="229">SUM(FP12:FP15)</f>
        <v>410</v>
      </c>
      <c r="FQ16" s="5">
        <f t="shared" si="229"/>
        <v>-2376</v>
      </c>
      <c r="FR16" s="5">
        <f t="shared" si="229"/>
        <v>363</v>
      </c>
      <c r="FS16" s="5">
        <f t="shared" si="229"/>
        <v>50</v>
      </c>
      <c r="FT16" s="5">
        <f t="shared" si="229"/>
        <v>0</v>
      </c>
      <c r="FU16" s="5">
        <f t="shared" ref="FU16" si="230">SUM(FU12:FU15)</f>
        <v>410</v>
      </c>
    </row>
    <row r="17" spans="1:177" x14ac:dyDescent="0.35">
      <c r="A17" s="19" t="s">
        <v>59</v>
      </c>
      <c r="B17" s="19" t="s">
        <v>60</v>
      </c>
      <c r="C17" s="20">
        <v>55</v>
      </c>
      <c r="D17" s="20">
        <v>22</v>
      </c>
      <c r="E17" s="20">
        <v>32</v>
      </c>
      <c r="F17" s="20"/>
      <c r="G17" s="20">
        <v>39</v>
      </c>
      <c r="H17" s="20">
        <f t="shared" si="0"/>
        <v>16</v>
      </c>
      <c r="I17" s="20">
        <f t="shared" si="1"/>
        <v>54</v>
      </c>
      <c r="J17" s="20"/>
      <c r="K17" s="20">
        <v>54</v>
      </c>
      <c r="L17" s="20">
        <v>0</v>
      </c>
      <c r="M17" s="20">
        <f t="shared" si="2"/>
        <v>70</v>
      </c>
      <c r="N17" s="20">
        <f t="shared" si="3"/>
        <v>0</v>
      </c>
      <c r="O17" s="20"/>
      <c r="P17" s="20">
        <v>0</v>
      </c>
      <c r="Q17" s="20">
        <v>27</v>
      </c>
      <c r="R17" s="20">
        <f t="shared" si="4"/>
        <v>43</v>
      </c>
      <c r="S17" s="20">
        <f t="shared" si="5"/>
        <v>0</v>
      </c>
      <c r="T17" s="20"/>
      <c r="U17" s="20"/>
      <c r="V17" s="20">
        <v>22</v>
      </c>
      <c r="W17" s="20">
        <f t="shared" ref="W17" si="231">R17+U17-V17</f>
        <v>21</v>
      </c>
      <c r="X17" s="20">
        <f t="shared" ref="X17" si="232">S17+T17-U17</f>
        <v>0</v>
      </c>
      <c r="Y17" s="20"/>
      <c r="Z17" s="20">
        <f t="shared" ref="Z17" si="233">U17+X17-Y17</f>
        <v>0</v>
      </c>
      <c r="AA17" s="20">
        <v>0</v>
      </c>
      <c r="AB17" s="20">
        <f t="shared" si="7"/>
        <v>21</v>
      </c>
      <c r="AC17" s="20">
        <f t="shared" si="8"/>
        <v>0</v>
      </c>
      <c r="AD17" s="20">
        <v>27</v>
      </c>
      <c r="AE17" s="20">
        <v>27</v>
      </c>
      <c r="AF17" s="20">
        <v>22</v>
      </c>
      <c r="AG17" s="20">
        <v>38</v>
      </c>
      <c r="AH17" s="20">
        <v>0</v>
      </c>
      <c r="AI17" s="20">
        <v>47</v>
      </c>
      <c r="AJ17" s="20">
        <v>0</v>
      </c>
      <c r="AK17" s="20">
        <v>5</v>
      </c>
      <c r="AL17" s="20">
        <f t="shared" ref="AL17" si="234">AG17+AJ17-AK17</f>
        <v>33</v>
      </c>
      <c r="AM17" s="20">
        <f>AH17+AI17-AJ17</f>
        <v>47</v>
      </c>
      <c r="AN17" s="20"/>
      <c r="AO17" s="20">
        <v>45</v>
      </c>
      <c r="AP17" s="20">
        <v>28</v>
      </c>
      <c r="AQ17" s="20">
        <f t="shared" ref="AQ17" si="235">AL17+AO17-AP17</f>
        <v>50</v>
      </c>
      <c r="AR17" s="20">
        <f>AM17+AN17-AO17</f>
        <v>2</v>
      </c>
      <c r="AS17" s="20">
        <v>25</v>
      </c>
      <c r="AT17" s="20"/>
      <c r="AU17" s="20">
        <v>3</v>
      </c>
      <c r="AV17" s="20">
        <f t="shared" ref="AV17" si="236">AQ17+AT17-AU17</f>
        <v>47</v>
      </c>
      <c r="AW17" s="20">
        <f>AR17+AS17-AT17</f>
        <v>27</v>
      </c>
      <c r="AX17" s="20">
        <v>9</v>
      </c>
      <c r="AY17" s="20">
        <v>36</v>
      </c>
      <c r="AZ17" s="20">
        <v>21</v>
      </c>
      <c r="BA17" s="20">
        <f>AV17+AY17-AZ17</f>
        <v>62</v>
      </c>
      <c r="BB17" s="20">
        <f t="shared" si="18"/>
        <v>0</v>
      </c>
      <c r="BC17" s="20">
        <v>0</v>
      </c>
      <c r="BD17" s="20">
        <v>0</v>
      </c>
      <c r="BE17" s="20">
        <v>22</v>
      </c>
      <c r="BF17" s="20">
        <f t="shared" ref="BF17" si="237">BA17+BD17-BE17</f>
        <v>40</v>
      </c>
      <c r="BG17" s="20">
        <f>BB17+BC17-BD17</f>
        <v>0</v>
      </c>
      <c r="BH17" s="20">
        <v>9</v>
      </c>
      <c r="BI17" s="20"/>
      <c r="BJ17" s="20">
        <v>10</v>
      </c>
      <c r="BK17" s="20">
        <f t="shared" si="21"/>
        <v>30</v>
      </c>
      <c r="BL17" s="20">
        <f>BG17+BH17-BI17</f>
        <v>9</v>
      </c>
      <c r="BM17" s="20">
        <v>18</v>
      </c>
      <c r="BN17" s="20">
        <v>27</v>
      </c>
      <c r="BO17" s="20">
        <v>30</v>
      </c>
      <c r="BP17" s="20">
        <f t="shared" si="23"/>
        <v>27</v>
      </c>
      <c r="BQ17" s="20">
        <f>BL17+BM17-BN17</f>
        <v>0</v>
      </c>
      <c r="BR17" s="20">
        <v>27</v>
      </c>
      <c r="BS17" s="20">
        <v>27</v>
      </c>
      <c r="BT17" s="20"/>
      <c r="BU17" s="20">
        <f t="shared" ref="BU17" si="238">BP17+BS17-BT17</f>
        <v>54</v>
      </c>
      <c r="BV17" s="20">
        <f>BQ17+BR17-BS17</f>
        <v>0</v>
      </c>
      <c r="BW17" s="20">
        <v>27</v>
      </c>
      <c r="BX17" s="20">
        <v>27</v>
      </c>
      <c r="BY17" s="20">
        <v>32</v>
      </c>
      <c r="BZ17" s="20">
        <f t="shared" ref="BZ17" si="239">BU17+BX17-BY17</f>
        <v>49</v>
      </c>
      <c r="CA17" s="20">
        <f>BV17+BW17-BX17</f>
        <v>0</v>
      </c>
      <c r="CB17" s="20">
        <v>36</v>
      </c>
      <c r="CC17" s="20">
        <v>27</v>
      </c>
      <c r="CD17" s="20">
        <v>49</v>
      </c>
      <c r="CE17" s="20">
        <f t="shared" ref="CE17" si="240">BZ17+CC17-CD17</f>
        <v>27</v>
      </c>
      <c r="CF17" s="20">
        <f>CA17+CB17-CC17</f>
        <v>9</v>
      </c>
      <c r="CG17" s="20">
        <v>27</v>
      </c>
      <c r="CH17" s="20"/>
      <c r="CI17" s="20">
        <v>9</v>
      </c>
      <c r="CJ17" s="20">
        <f t="shared" ref="CJ17" si="241">CE17+CH17-CI17</f>
        <v>18</v>
      </c>
      <c r="CK17" s="20">
        <f>CF17+CG17-CH17</f>
        <v>36</v>
      </c>
      <c r="CL17" s="20"/>
      <c r="CM17" s="20">
        <v>36</v>
      </c>
      <c r="CN17" s="20">
        <v>32</v>
      </c>
      <c r="CO17" s="20">
        <f t="shared" ref="CO17" si="242">CJ17+CM17-CN17</f>
        <v>22</v>
      </c>
      <c r="CP17" s="20">
        <f>CK17+CL17-CM17</f>
        <v>0</v>
      </c>
      <c r="CQ17" s="20">
        <v>45</v>
      </c>
      <c r="CR17" s="20">
        <v>45</v>
      </c>
      <c r="CS17" s="20">
        <v>20</v>
      </c>
      <c r="CT17" s="20">
        <f t="shared" ref="CT17" si="243">CO17+CR17-CS17</f>
        <v>47</v>
      </c>
      <c r="CU17" s="20">
        <f>CP17+CQ17-CR17</f>
        <v>0</v>
      </c>
      <c r="CV17" s="20">
        <v>0</v>
      </c>
      <c r="CW17" s="20">
        <v>0</v>
      </c>
      <c r="CX17" s="20">
        <v>0</v>
      </c>
      <c r="CY17" s="20">
        <f t="shared" ref="CY17" si="244">CT17+CW17-CX17</f>
        <v>47</v>
      </c>
      <c r="CZ17" s="20">
        <f>CU17+CV17-CW17</f>
        <v>0</v>
      </c>
      <c r="DA17" s="20">
        <v>20</v>
      </c>
      <c r="DB17" s="20"/>
      <c r="DC17" s="20">
        <v>0</v>
      </c>
      <c r="DD17" s="20">
        <f t="shared" ref="DD17" si="245">CY17+DB17-DC17</f>
        <v>47</v>
      </c>
      <c r="DE17" s="20">
        <f>CZ17+DA17-DB17</f>
        <v>20</v>
      </c>
      <c r="DF17" s="20">
        <v>7</v>
      </c>
      <c r="DG17" s="20">
        <v>27</v>
      </c>
      <c r="DH17" s="20">
        <v>21</v>
      </c>
      <c r="DI17" s="20">
        <f t="shared" ref="DI17" si="246">DD17+DG17-DH17</f>
        <v>53</v>
      </c>
      <c r="DJ17" s="20">
        <f>DE17+DF17-DG17</f>
        <v>0</v>
      </c>
      <c r="DK17" s="20">
        <v>0</v>
      </c>
      <c r="DL17" s="20">
        <v>0</v>
      </c>
      <c r="DM17" s="20">
        <v>31</v>
      </c>
      <c r="DN17" s="20">
        <f t="shared" ref="DN17" si="247">DI17+DL17-DM17</f>
        <v>22</v>
      </c>
      <c r="DO17" s="20">
        <f>DJ17+DK17-DL17</f>
        <v>0</v>
      </c>
      <c r="DP17" s="20">
        <v>24</v>
      </c>
      <c r="DQ17" s="20">
        <v>24</v>
      </c>
      <c r="DR17" s="20">
        <v>16</v>
      </c>
      <c r="DS17" s="20">
        <f t="shared" ref="DS17" si="248">DN17+DQ17-DR17</f>
        <v>30</v>
      </c>
      <c r="DT17" s="20">
        <f>DO17+DP17-DQ17</f>
        <v>0</v>
      </c>
      <c r="DU17" s="20">
        <v>9</v>
      </c>
      <c r="DV17" s="20">
        <v>9</v>
      </c>
      <c r="DW17" s="20">
        <v>24</v>
      </c>
      <c r="DX17" s="20">
        <f t="shared" ref="DX17" si="249">DS17+DV17-DW17</f>
        <v>15</v>
      </c>
      <c r="DY17" s="20">
        <f>DT17+DU17-DV17</f>
        <v>0</v>
      </c>
      <c r="DZ17" s="20">
        <v>27</v>
      </c>
      <c r="EA17" s="20">
        <v>27</v>
      </c>
      <c r="EB17" s="20">
        <v>4</v>
      </c>
      <c r="EC17" s="20">
        <f t="shared" ref="EC17" si="250">DX17+EA17-EB17</f>
        <v>38</v>
      </c>
      <c r="ED17" s="20">
        <f>DY17+DZ17-EA17</f>
        <v>0</v>
      </c>
      <c r="EE17" s="20">
        <v>36</v>
      </c>
      <c r="EF17" s="20">
        <v>36</v>
      </c>
      <c r="EG17" s="20">
        <v>32</v>
      </c>
      <c r="EH17" s="20">
        <f t="shared" ref="EH17" si="251">EC17+EF17-EG17</f>
        <v>42</v>
      </c>
      <c r="EI17" s="20">
        <f>ED17+EE17-EF17</f>
        <v>0</v>
      </c>
      <c r="EJ17" s="20">
        <v>0</v>
      </c>
      <c r="EK17" s="20">
        <v>0</v>
      </c>
      <c r="EL17" s="20">
        <v>32</v>
      </c>
      <c r="EM17" s="20">
        <f t="shared" ref="EM17" si="252">EH17+EK17-EL17</f>
        <v>10</v>
      </c>
      <c r="EN17" s="20">
        <f>EI17+EJ17-EK17</f>
        <v>0</v>
      </c>
      <c r="EO17" s="20">
        <v>31</v>
      </c>
      <c r="EP17" s="20">
        <v>31</v>
      </c>
      <c r="EQ17" s="20">
        <v>54</v>
      </c>
      <c r="ER17" s="20">
        <f t="shared" ref="ER17" si="253">EM17+EP17-EQ17</f>
        <v>-13</v>
      </c>
      <c r="ES17" s="20">
        <f>EN17+EO17-EP17</f>
        <v>0</v>
      </c>
      <c r="ET17" s="20">
        <v>31</v>
      </c>
      <c r="EU17" s="20">
        <v>31</v>
      </c>
      <c r="EV17" s="20">
        <v>54</v>
      </c>
      <c r="EW17" s="20">
        <f t="shared" ref="EW17" si="254">ER17+EU17-EV17</f>
        <v>-36</v>
      </c>
      <c r="EX17" s="20">
        <f>ES17+ET17-EU17</f>
        <v>0</v>
      </c>
      <c r="EY17" s="20">
        <v>31</v>
      </c>
      <c r="EZ17" s="20">
        <v>31</v>
      </c>
      <c r="FA17" s="20">
        <v>54</v>
      </c>
      <c r="FB17" s="20">
        <f t="shared" ref="FB17" si="255">EW17+EZ17-FA17</f>
        <v>-59</v>
      </c>
      <c r="FC17" s="20">
        <f>EX17+EY17-EZ17</f>
        <v>0</v>
      </c>
      <c r="FD17" s="20">
        <v>31</v>
      </c>
      <c r="FE17" s="20">
        <v>31</v>
      </c>
      <c r="FF17" s="20">
        <v>54</v>
      </c>
      <c r="FG17" s="20">
        <f t="shared" ref="FG17" si="256">FB17+FE17-FF17</f>
        <v>-82</v>
      </c>
      <c r="FH17" s="20">
        <f>FC17+FD17-FE17</f>
        <v>0</v>
      </c>
      <c r="FI17" s="20">
        <v>31</v>
      </c>
      <c r="FJ17" s="20">
        <v>31</v>
      </c>
      <c r="FK17" s="20">
        <v>54</v>
      </c>
      <c r="FL17" s="20">
        <f t="shared" ref="FL17" si="257">FG17+FJ17-FK17</f>
        <v>-105</v>
      </c>
      <c r="FM17" s="20">
        <f>FH17+FI17-FJ17</f>
        <v>0</v>
      </c>
      <c r="FN17" s="20">
        <v>31</v>
      </c>
      <c r="FO17" s="20">
        <v>31</v>
      </c>
      <c r="FP17" s="20">
        <v>54</v>
      </c>
      <c r="FQ17" s="20">
        <f t="shared" ref="FQ17" si="258">FL17+FO17-FP17</f>
        <v>-128</v>
      </c>
      <c r="FR17" s="20">
        <f>FM17+FN17-FO17</f>
        <v>0</v>
      </c>
      <c r="FS17" s="20">
        <v>31</v>
      </c>
      <c r="FT17" s="20">
        <v>31</v>
      </c>
      <c r="FU17" s="20">
        <v>54</v>
      </c>
    </row>
    <row r="18" spans="1:177" s="1" customFormat="1" ht="43.5" x14ac:dyDescent="0.35">
      <c r="A18" s="4" t="s">
        <v>21</v>
      </c>
      <c r="B18" s="4" t="s">
        <v>22</v>
      </c>
      <c r="C18" s="5" t="s">
        <v>46</v>
      </c>
      <c r="D18" s="5" t="s">
        <v>47</v>
      </c>
      <c r="E18" s="5" t="s">
        <v>48</v>
      </c>
      <c r="F18" s="5" t="s">
        <v>49</v>
      </c>
      <c r="G18" s="5" t="s">
        <v>50</v>
      </c>
      <c r="H18" s="6" t="s">
        <v>46</v>
      </c>
      <c r="I18" s="6" t="s">
        <v>47</v>
      </c>
      <c r="J18" s="6" t="s">
        <v>48</v>
      </c>
      <c r="K18" s="6" t="s">
        <v>49</v>
      </c>
      <c r="L18" s="6" t="s">
        <v>50</v>
      </c>
      <c r="M18" s="5" t="s">
        <v>46</v>
      </c>
      <c r="N18" s="5" t="s">
        <v>47</v>
      </c>
      <c r="O18" s="5" t="s">
        <v>48</v>
      </c>
      <c r="P18" s="5" t="s">
        <v>49</v>
      </c>
      <c r="Q18" s="5" t="s">
        <v>50</v>
      </c>
      <c r="R18" s="6" t="s">
        <v>46</v>
      </c>
      <c r="S18" s="6" t="s">
        <v>47</v>
      </c>
      <c r="T18" s="6" t="s">
        <v>48</v>
      </c>
      <c r="U18" s="6" t="s">
        <v>49</v>
      </c>
      <c r="V18" s="6" t="s">
        <v>50</v>
      </c>
      <c r="W18" s="5" t="s">
        <v>46</v>
      </c>
      <c r="X18" s="5" t="s">
        <v>47</v>
      </c>
      <c r="Y18" s="5" t="s">
        <v>48</v>
      </c>
      <c r="Z18" s="5" t="s">
        <v>49</v>
      </c>
      <c r="AA18" s="5" t="s">
        <v>50</v>
      </c>
      <c r="AB18" s="6" t="s">
        <v>46</v>
      </c>
      <c r="AC18" s="6" t="s">
        <v>47</v>
      </c>
      <c r="AD18" s="6" t="s">
        <v>48</v>
      </c>
      <c r="AE18" s="6" t="s">
        <v>49</v>
      </c>
      <c r="AF18" s="6" t="s">
        <v>50</v>
      </c>
      <c r="AG18" s="5" t="s">
        <v>46</v>
      </c>
      <c r="AH18" s="5" t="s">
        <v>47</v>
      </c>
      <c r="AI18" s="5" t="s">
        <v>48</v>
      </c>
      <c r="AJ18" s="5" t="s">
        <v>49</v>
      </c>
      <c r="AK18" s="5" t="s">
        <v>50</v>
      </c>
      <c r="AL18" s="6" t="s">
        <v>46</v>
      </c>
      <c r="AM18" s="6" t="s">
        <v>47</v>
      </c>
      <c r="AN18" s="6" t="s">
        <v>48</v>
      </c>
      <c r="AO18" s="6" t="s">
        <v>49</v>
      </c>
      <c r="AP18" s="6" t="s">
        <v>50</v>
      </c>
      <c r="AQ18" s="5" t="s">
        <v>46</v>
      </c>
      <c r="AR18" s="5" t="s">
        <v>47</v>
      </c>
      <c r="AS18" s="5" t="s">
        <v>48</v>
      </c>
      <c r="AT18" s="5" t="s">
        <v>49</v>
      </c>
      <c r="AU18" s="5" t="s">
        <v>50</v>
      </c>
      <c r="AV18" s="6" t="s">
        <v>46</v>
      </c>
      <c r="AW18" s="6" t="s">
        <v>47</v>
      </c>
      <c r="AX18" s="6" t="s">
        <v>48</v>
      </c>
      <c r="AY18" s="6" t="s">
        <v>49</v>
      </c>
      <c r="AZ18" s="6" t="s">
        <v>50</v>
      </c>
      <c r="BA18" s="5" t="s">
        <v>46</v>
      </c>
      <c r="BB18" s="5" t="s">
        <v>47</v>
      </c>
      <c r="BC18" s="5" t="s">
        <v>48</v>
      </c>
      <c r="BD18" s="5" t="s">
        <v>49</v>
      </c>
      <c r="BE18" s="5" t="s">
        <v>50</v>
      </c>
      <c r="BF18" s="6" t="s">
        <v>46</v>
      </c>
      <c r="BG18" s="6" t="s">
        <v>47</v>
      </c>
      <c r="BH18" s="6" t="s">
        <v>48</v>
      </c>
      <c r="BI18" s="6" t="s">
        <v>49</v>
      </c>
      <c r="BJ18" s="6" t="s">
        <v>50</v>
      </c>
      <c r="BK18" s="5" t="s">
        <v>46</v>
      </c>
      <c r="BL18" s="5" t="s">
        <v>47</v>
      </c>
      <c r="BM18" s="5" t="s">
        <v>48</v>
      </c>
      <c r="BN18" s="5" t="s">
        <v>49</v>
      </c>
      <c r="BO18" s="5" t="s">
        <v>50</v>
      </c>
      <c r="BP18" s="6" t="s">
        <v>46</v>
      </c>
      <c r="BQ18" s="6" t="s">
        <v>47</v>
      </c>
      <c r="BR18" s="6" t="s">
        <v>48</v>
      </c>
      <c r="BS18" s="6" t="s">
        <v>49</v>
      </c>
      <c r="BT18" s="6" t="s">
        <v>50</v>
      </c>
      <c r="BU18" s="5" t="s">
        <v>46</v>
      </c>
      <c r="BV18" s="5" t="s">
        <v>47</v>
      </c>
      <c r="BW18" s="5" t="s">
        <v>48</v>
      </c>
      <c r="BX18" s="5" t="s">
        <v>49</v>
      </c>
      <c r="BY18" s="5" t="s">
        <v>50</v>
      </c>
      <c r="BZ18" s="6" t="s">
        <v>46</v>
      </c>
      <c r="CA18" s="6" t="s">
        <v>47</v>
      </c>
      <c r="CB18" s="6" t="s">
        <v>48</v>
      </c>
      <c r="CC18" s="6" t="s">
        <v>49</v>
      </c>
      <c r="CD18" s="6" t="s">
        <v>50</v>
      </c>
      <c r="CE18" s="5" t="s">
        <v>46</v>
      </c>
      <c r="CF18" s="5" t="s">
        <v>47</v>
      </c>
      <c r="CG18" s="5" t="s">
        <v>48</v>
      </c>
      <c r="CH18" s="5" t="s">
        <v>49</v>
      </c>
      <c r="CI18" s="5" t="s">
        <v>50</v>
      </c>
      <c r="CJ18" s="6" t="s">
        <v>46</v>
      </c>
      <c r="CK18" s="6" t="s">
        <v>47</v>
      </c>
      <c r="CL18" s="6" t="s">
        <v>48</v>
      </c>
      <c r="CM18" s="6" t="s">
        <v>49</v>
      </c>
      <c r="CN18" s="6" t="s">
        <v>50</v>
      </c>
      <c r="CO18" s="5" t="s">
        <v>46</v>
      </c>
      <c r="CP18" s="5" t="s">
        <v>47</v>
      </c>
      <c r="CQ18" s="5" t="s">
        <v>48</v>
      </c>
      <c r="CR18" s="5" t="s">
        <v>49</v>
      </c>
      <c r="CS18" s="5" t="s">
        <v>50</v>
      </c>
      <c r="CT18" s="6" t="s">
        <v>46</v>
      </c>
      <c r="CU18" s="6" t="s">
        <v>47</v>
      </c>
      <c r="CV18" s="6" t="s">
        <v>48</v>
      </c>
      <c r="CW18" s="6" t="s">
        <v>49</v>
      </c>
      <c r="CX18" s="6" t="s">
        <v>50</v>
      </c>
      <c r="CY18" s="5" t="s">
        <v>46</v>
      </c>
      <c r="CZ18" s="5" t="s">
        <v>47</v>
      </c>
      <c r="DA18" s="5" t="s">
        <v>48</v>
      </c>
      <c r="DB18" s="5" t="s">
        <v>49</v>
      </c>
      <c r="DC18" s="5" t="s">
        <v>50</v>
      </c>
      <c r="DD18" s="6" t="s">
        <v>46</v>
      </c>
      <c r="DE18" s="6" t="s">
        <v>47</v>
      </c>
      <c r="DF18" s="6" t="s">
        <v>48</v>
      </c>
      <c r="DG18" s="6" t="s">
        <v>49</v>
      </c>
      <c r="DH18" s="6" t="s">
        <v>50</v>
      </c>
      <c r="DI18" s="5" t="s">
        <v>46</v>
      </c>
      <c r="DJ18" s="5" t="s">
        <v>47</v>
      </c>
      <c r="DK18" s="5" t="s">
        <v>48</v>
      </c>
      <c r="DL18" s="5" t="s">
        <v>49</v>
      </c>
      <c r="DM18" s="5" t="s">
        <v>50</v>
      </c>
      <c r="DN18" s="6" t="s">
        <v>46</v>
      </c>
      <c r="DO18" s="6" t="s">
        <v>47</v>
      </c>
      <c r="DP18" s="6" t="s">
        <v>48</v>
      </c>
      <c r="DQ18" s="6" t="s">
        <v>49</v>
      </c>
      <c r="DR18" s="6" t="s">
        <v>50</v>
      </c>
      <c r="DS18" s="5" t="s">
        <v>46</v>
      </c>
      <c r="DT18" s="5" t="s">
        <v>47</v>
      </c>
      <c r="DU18" s="5" t="s">
        <v>48</v>
      </c>
      <c r="DV18" s="5" t="s">
        <v>49</v>
      </c>
      <c r="DW18" s="5" t="s">
        <v>50</v>
      </c>
      <c r="DX18" s="6" t="s">
        <v>46</v>
      </c>
      <c r="DY18" s="6" t="s">
        <v>47</v>
      </c>
      <c r="DZ18" s="6" t="s">
        <v>48</v>
      </c>
      <c r="EA18" s="6" t="s">
        <v>49</v>
      </c>
      <c r="EB18" s="6" t="s">
        <v>50</v>
      </c>
      <c r="EC18" s="5" t="s">
        <v>46</v>
      </c>
      <c r="ED18" s="5" t="s">
        <v>47</v>
      </c>
      <c r="EE18" s="5" t="s">
        <v>48</v>
      </c>
      <c r="EF18" s="5" t="s">
        <v>49</v>
      </c>
      <c r="EG18" s="5" t="s">
        <v>50</v>
      </c>
      <c r="EH18" s="6" t="s">
        <v>46</v>
      </c>
      <c r="EI18" s="6" t="s">
        <v>47</v>
      </c>
      <c r="EJ18" s="6" t="s">
        <v>48</v>
      </c>
      <c r="EK18" s="6" t="s">
        <v>49</v>
      </c>
      <c r="EL18" s="6" t="s">
        <v>50</v>
      </c>
      <c r="EM18" s="5" t="s">
        <v>46</v>
      </c>
      <c r="EN18" s="5" t="s">
        <v>47</v>
      </c>
      <c r="EO18" s="5" t="s">
        <v>48</v>
      </c>
      <c r="EP18" s="5" t="s">
        <v>49</v>
      </c>
      <c r="EQ18" s="5" t="s">
        <v>50</v>
      </c>
      <c r="ER18" s="5" t="s">
        <v>46</v>
      </c>
      <c r="ES18" s="5" t="s">
        <v>47</v>
      </c>
      <c r="ET18" s="5" t="s">
        <v>48</v>
      </c>
      <c r="EU18" s="5" t="s">
        <v>49</v>
      </c>
      <c r="EV18" s="5" t="s">
        <v>50</v>
      </c>
      <c r="EW18" s="5" t="s">
        <v>46</v>
      </c>
      <c r="EX18" s="5" t="s">
        <v>47</v>
      </c>
      <c r="EY18" s="5" t="s">
        <v>48</v>
      </c>
      <c r="EZ18" s="5" t="s">
        <v>49</v>
      </c>
      <c r="FA18" s="5" t="s">
        <v>50</v>
      </c>
      <c r="FB18" s="5" t="s">
        <v>46</v>
      </c>
      <c r="FC18" s="5" t="s">
        <v>47</v>
      </c>
      <c r="FD18" s="5" t="s">
        <v>48</v>
      </c>
      <c r="FE18" s="5" t="s">
        <v>49</v>
      </c>
      <c r="FF18" s="5" t="s">
        <v>50</v>
      </c>
      <c r="FG18" s="5" t="s">
        <v>46</v>
      </c>
      <c r="FH18" s="5" t="s">
        <v>47</v>
      </c>
      <c r="FI18" s="5" t="s">
        <v>48</v>
      </c>
      <c r="FJ18" s="5" t="s">
        <v>49</v>
      </c>
      <c r="FK18" s="5" t="s">
        <v>50</v>
      </c>
      <c r="FL18" s="5" t="s">
        <v>46</v>
      </c>
      <c r="FM18" s="5" t="s">
        <v>47</v>
      </c>
      <c r="FN18" s="5" t="s">
        <v>48</v>
      </c>
      <c r="FO18" s="5" t="s">
        <v>49</v>
      </c>
      <c r="FP18" s="5" t="s">
        <v>50</v>
      </c>
      <c r="FQ18" s="5" t="s">
        <v>46</v>
      </c>
      <c r="FR18" s="5" t="s">
        <v>47</v>
      </c>
      <c r="FS18" s="5" t="s">
        <v>48</v>
      </c>
      <c r="FT18" s="5" t="s">
        <v>49</v>
      </c>
      <c r="FU18" s="5" t="s">
        <v>50</v>
      </c>
    </row>
    <row r="19" spans="1:177" x14ac:dyDescent="0.35">
      <c r="A19" s="2" t="s">
        <v>26</v>
      </c>
      <c r="B19" s="2" t="s">
        <v>25</v>
      </c>
      <c r="C19" s="22">
        <v>10</v>
      </c>
      <c r="D19" s="3">
        <v>32</v>
      </c>
      <c r="E19" s="3">
        <v>92</v>
      </c>
      <c r="F19" s="3">
        <v>124</v>
      </c>
      <c r="G19" s="3">
        <v>128</v>
      </c>
      <c r="H19" s="3">
        <f>C19+F19-G19</f>
        <v>6</v>
      </c>
      <c r="I19" s="3">
        <f t="shared" ref="I19:I25" si="259">D19+E19-F19</f>
        <v>0</v>
      </c>
      <c r="J19" s="3">
        <v>32</v>
      </c>
      <c r="K19" s="3">
        <v>0</v>
      </c>
      <c r="L19" s="3">
        <v>0</v>
      </c>
      <c r="M19" s="3">
        <f>H19+K19-L19</f>
        <v>6</v>
      </c>
      <c r="N19" s="3">
        <f t="shared" ref="N19:N25" si="260">I19+J19-K19</f>
        <v>32</v>
      </c>
      <c r="O19" s="3">
        <v>44</v>
      </c>
      <c r="P19" s="3">
        <v>64</v>
      </c>
      <c r="Q19" s="3">
        <v>35</v>
      </c>
      <c r="R19" s="3">
        <f>M19+P19-Q19</f>
        <v>35</v>
      </c>
      <c r="S19" s="3">
        <f t="shared" ref="S19:S25" si="261">N19+O19-P19</f>
        <v>12</v>
      </c>
      <c r="T19" s="3">
        <v>16</v>
      </c>
      <c r="U19" s="3">
        <v>28</v>
      </c>
      <c r="V19" s="3">
        <v>0</v>
      </c>
      <c r="W19" s="3">
        <f>R19+U19-V19</f>
        <v>63</v>
      </c>
      <c r="X19" s="3">
        <f t="shared" ref="X19:X25" si="262">S19+T19-U19</f>
        <v>0</v>
      </c>
      <c r="Y19" s="3"/>
      <c r="Z19" s="3">
        <v>0</v>
      </c>
      <c r="AA19" s="3">
        <v>1</v>
      </c>
      <c r="AB19" s="3">
        <f>W19+Z19-AA19</f>
        <v>62</v>
      </c>
      <c r="AC19" s="3">
        <f t="shared" ref="AC19:AC25" si="263">X19+Y19-Z19</f>
        <v>0</v>
      </c>
      <c r="AD19" s="3"/>
      <c r="AE19" s="3">
        <v>0</v>
      </c>
      <c r="AF19" s="3">
        <v>0</v>
      </c>
      <c r="AG19" s="3">
        <f>AB19+AE19-AF19</f>
        <v>62</v>
      </c>
      <c r="AH19" s="3">
        <f t="shared" ref="AH19:AH25" si="264">AC19+AD19-AE19</f>
        <v>0</v>
      </c>
      <c r="AI19" s="3"/>
      <c r="AJ19" s="3">
        <v>0</v>
      </c>
      <c r="AK19" s="3">
        <v>44</v>
      </c>
      <c r="AL19" s="3">
        <f>AG19+AJ19-AK19</f>
        <v>18</v>
      </c>
      <c r="AM19" s="3">
        <f t="shared" ref="AM19:AM25" si="265">AH19+AI19-AJ19</f>
        <v>0</v>
      </c>
      <c r="AN19" s="3">
        <f>28+144</f>
        <v>172</v>
      </c>
      <c r="AO19" s="3">
        <v>144</v>
      </c>
      <c r="AP19" s="3">
        <v>88</v>
      </c>
      <c r="AQ19" s="3">
        <f>AL19+AO19-AP19</f>
        <v>74</v>
      </c>
      <c r="AR19" s="3">
        <f t="shared" ref="AR19:AR25" si="266">AM19+AN19-AO19</f>
        <v>28</v>
      </c>
      <c r="AS19" s="3">
        <v>88</v>
      </c>
      <c r="AT19" s="3">
        <v>76</v>
      </c>
      <c r="AU19" s="3">
        <v>138</v>
      </c>
      <c r="AV19" s="3">
        <f>AQ19+AT19-AU19</f>
        <v>12</v>
      </c>
      <c r="AW19" s="3">
        <f t="shared" ref="AW19:AW25" si="267">AR19+AS19-AT19</f>
        <v>40</v>
      </c>
      <c r="AX19" s="3">
        <v>22</v>
      </c>
      <c r="AY19" s="3">
        <v>50</v>
      </c>
      <c r="AZ19" s="3">
        <v>40</v>
      </c>
      <c r="BA19" s="3">
        <f>AV19+AY19-AZ19</f>
        <v>22</v>
      </c>
      <c r="BB19" s="3">
        <f t="shared" ref="BB19:BB25" si="268">AW19+AX19-AY19</f>
        <v>12</v>
      </c>
      <c r="BC19" s="3">
        <v>48</v>
      </c>
      <c r="BD19" s="3">
        <v>44</v>
      </c>
      <c r="BE19" s="3">
        <v>34</v>
      </c>
      <c r="BF19" s="3">
        <f>BA19+BD19-BE19</f>
        <v>32</v>
      </c>
      <c r="BG19" s="3">
        <f t="shared" ref="BG19:BG25" si="269">BB19+BC19-BD19</f>
        <v>16</v>
      </c>
      <c r="BH19" s="3">
        <v>44</v>
      </c>
      <c r="BI19" s="3">
        <v>32</v>
      </c>
      <c r="BJ19" s="3">
        <v>21</v>
      </c>
      <c r="BK19" s="3">
        <f>BF19+BI19-BJ19</f>
        <v>43</v>
      </c>
      <c r="BL19" s="3">
        <f t="shared" ref="BL19:BL25" si="270">BG19+BH19-BI19</f>
        <v>28</v>
      </c>
      <c r="BM19" s="3">
        <v>70</v>
      </c>
      <c r="BN19" s="3">
        <v>98</v>
      </c>
      <c r="BO19" s="3">
        <v>145</v>
      </c>
      <c r="BP19" s="3">
        <f>BK19+BN19-BO19</f>
        <v>-4</v>
      </c>
      <c r="BQ19" s="3">
        <f t="shared" ref="BQ19:BQ25" si="271">BL19+BM19-BN19</f>
        <v>0</v>
      </c>
      <c r="BR19" s="3">
        <v>60</v>
      </c>
      <c r="BS19" s="3">
        <v>60</v>
      </c>
      <c r="BT19" s="3">
        <v>57</v>
      </c>
      <c r="BU19" s="3">
        <f>BP19+BS19-BT19</f>
        <v>-1</v>
      </c>
      <c r="BV19" s="3">
        <f t="shared" ref="BV19:BV25" si="272">BQ19+BR19-BS19</f>
        <v>0</v>
      </c>
      <c r="BW19" s="3">
        <v>92</v>
      </c>
      <c r="BX19" s="3">
        <v>66</v>
      </c>
      <c r="BY19" s="3">
        <v>56</v>
      </c>
      <c r="BZ19" s="3">
        <f>BU19+BX19-BY19</f>
        <v>9</v>
      </c>
      <c r="CA19" s="3">
        <f t="shared" ref="CA19:CA25" si="273">BV19+BW19-BX19</f>
        <v>26</v>
      </c>
      <c r="CB19" s="3">
        <v>14</v>
      </c>
      <c r="CC19" s="3">
        <v>16</v>
      </c>
      <c r="CD19" s="3">
        <v>4</v>
      </c>
      <c r="CE19" s="3">
        <f>BZ19+CC19-CD19</f>
        <v>21</v>
      </c>
      <c r="CF19" s="3">
        <f t="shared" ref="CF19:CF25" si="274">CA19+CB19-CC19</f>
        <v>24</v>
      </c>
      <c r="CG19" s="3">
        <v>10</v>
      </c>
      <c r="CH19" s="3">
        <v>24</v>
      </c>
      <c r="CI19" s="3">
        <v>0</v>
      </c>
      <c r="CJ19" s="3">
        <f>CE19+CH19-CI19</f>
        <v>45</v>
      </c>
      <c r="CK19" s="3">
        <f t="shared" ref="CK19:CK25" si="275">CF19+CG19-CH19</f>
        <v>10</v>
      </c>
      <c r="CL19" s="3">
        <v>30</v>
      </c>
      <c r="CM19" s="3">
        <v>0</v>
      </c>
      <c r="CN19" s="3">
        <v>0</v>
      </c>
      <c r="CO19" s="3">
        <f>CJ19+CM19-CN19</f>
        <v>45</v>
      </c>
      <c r="CP19" s="3">
        <f t="shared" ref="CP19:CP25" si="276">CK19+CL19-CM19</f>
        <v>40</v>
      </c>
      <c r="CQ19" s="3"/>
      <c r="CR19" s="3">
        <v>0</v>
      </c>
      <c r="CS19" s="3">
        <v>36</v>
      </c>
      <c r="CT19" s="3">
        <f>CO19+CR19-CS19</f>
        <v>9</v>
      </c>
      <c r="CU19" s="3">
        <f t="shared" ref="CU19:CU25" si="277">CP19+CQ19-CR19</f>
        <v>40</v>
      </c>
      <c r="CV19" s="3">
        <v>36</v>
      </c>
      <c r="CW19" s="3">
        <v>60</v>
      </c>
      <c r="CX19" s="3">
        <v>53</v>
      </c>
      <c r="CY19" s="3">
        <f>CT19+CW19-CX19</f>
        <v>16</v>
      </c>
      <c r="CZ19" s="3">
        <f t="shared" ref="CZ19:CZ25" si="278">CU19+CV19-CW19</f>
        <v>16</v>
      </c>
      <c r="DA19" s="3"/>
      <c r="DB19" s="3"/>
      <c r="DC19" s="3"/>
      <c r="DD19" s="3">
        <f>CY19+DB19-DC19</f>
        <v>16</v>
      </c>
      <c r="DE19" s="3">
        <f t="shared" ref="DE19:DE25" si="279">CZ19+DA19-DB19</f>
        <v>16</v>
      </c>
      <c r="DF19" s="3">
        <f>68+16</f>
        <v>84</v>
      </c>
      <c r="DG19" s="3">
        <v>84</v>
      </c>
      <c r="DH19" s="3">
        <v>76</v>
      </c>
      <c r="DI19" s="3">
        <f>DD19+DG19-DH19</f>
        <v>24</v>
      </c>
      <c r="DJ19" s="3">
        <f t="shared" ref="DJ19:DJ25" si="280">DE19+DF19-DG19</f>
        <v>16</v>
      </c>
      <c r="DK19" s="3">
        <v>56</v>
      </c>
      <c r="DL19" s="3">
        <v>72</v>
      </c>
      <c r="DM19" s="3">
        <v>54</v>
      </c>
      <c r="DN19" s="3">
        <f>DI19+DL19-DM19</f>
        <v>42</v>
      </c>
      <c r="DO19" s="3">
        <f t="shared" ref="DO19:DO25" si="281">DJ19+DK19-DL19</f>
        <v>0</v>
      </c>
      <c r="DP19" s="3">
        <v>32</v>
      </c>
      <c r="DQ19" s="3">
        <v>32</v>
      </c>
      <c r="DR19" s="3">
        <v>33</v>
      </c>
      <c r="DS19" s="3">
        <f>DN19+DQ19-DR19</f>
        <v>41</v>
      </c>
      <c r="DT19" s="3">
        <f t="shared" ref="DT19:DT25" si="282">DO19+DP19-DQ19</f>
        <v>0</v>
      </c>
      <c r="DU19" s="3">
        <v>48</v>
      </c>
      <c r="DV19" s="3">
        <v>48</v>
      </c>
      <c r="DW19" s="3">
        <v>55</v>
      </c>
      <c r="DX19" s="3">
        <f>DS19+DV19-DW19</f>
        <v>34</v>
      </c>
      <c r="DY19" s="3">
        <f t="shared" ref="DY19:DY25" si="283">DT19+DU19-DV19</f>
        <v>0</v>
      </c>
      <c r="DZ19" s="3">
        <v>44</v>
      </c>
      <c r="EA19" s="3">
        <v>44</v>
      </c>
      <c r="EB19" s="3">
        <v>42</v>
      </c>
      <c r="EC19" s="3">
        <v>41</v>
      </c>
      <c r="ED19" s="3">
        <f t="shared" ref="ED19:ED25" si="284">DY19+DZ19-EA19</f>
        <v>0</v>
      </c>
      <c r="EE19" s="3">
        <v>60</v>
      </c>
      <c r="EF19" s="3">
        <v>32</v>
      </c>
      <c r="EG19" s="3">
        <v>73</v>
      </c>
      <c r="EH19" s="3">
        <f>EC19+EF19-EG19</f>
        <v>0</v>
      </c>
      <c r="EI19" s="3">
        <f t="shared" ref="EI19:EI25" si="285">ED19+EE19-EF19</f>
        <v>28</v>
      </c>
      <c r="EJ19" s="3">
        <v>76</v>
      </c>
      <c r="EK19" s="3">
        <v>104</v>
      </c>
      <c r="EL19" s="3">
        <v>88</v>
      </c>
      <c r="EM19" s="3">
        <f>EH19+EK19-EL19</f>
        <v>16</v>
      </c>
      <c r="EN19" s="3">
        <f t="shared" ref="EN19:EN25" si="286">EI19+EJ19-EK19</f>
        <v>0</v>
      </c>
      <c r="EO19" s="3">
        <v>32</v>
      </c>
      <c r="EP19" s="3"/>
      <c r="EQ19" s="3">
        <v>72</v>
      </c>
      <c r="ER19" s="3">
        <f>EM19+EP19-EQ19</f>
        <v>-56</v>
      </c>
      <c r="ES19" s="3">
        <f t="shared" ref="ES19:ES25" si="287">EN19+EO19-EP19</f>
        <v>32</v>
      </c>
      <c r="ET19" s="3">
        <v>32</v>
      </c>
      <c r="EU19" s="3"/>
      <c r="EV19" s="3">
        <v>72</v>
      </c>
      <c r="EW19" s="3">
        <f>ER19+EU19-EV19</f>
        <v>-128</v>
      </c>
      <c r="EX19" s="3">
        <f t="shared" ref="EX19:EX25" si="288">ES19+ET19-EU19</f>
        <v>64</v>
      </c>
      <c r="EY19" s="3">
        <v>32</v>
      </c>
      <c r="EZ19" s="3"/>
      <c r="FA19" s="3">
        <v>72</v>
      </c>
      <c r="FB19" s="3">
        <f>EW19+EZ19-FA19</f>
        <v>-200</v>
      </c>
      <c r="FC19" s="3">
        <f t="shared" ref="FC19:FC25" si="289">EX19+EY19-EZ19</f>
        <v>96</v>
      </c>
      <c r="FD19" s="3">
        <v>32</v>
      </c>
      <c r="FE19" s="3"/>
      <c r="FF19" s="3">
        <v>72</v>
      </c>
      <c r="FG19" s="3">
        <f>FB19+FE19-FF19</f>
        <v>-272</v>
      </c>
      <c r="FH19" s="3">
        <f t="shared" ref="FH19:FH25" si="290">FC19+FD19-FE19</f>
        <v>128</v>
      </c>
      <c r="FI19" s="3">
        <v>32</v>
      </c>
      <c r="FJ19" s="3"/>
      <c r="FK19" s="3">
        <v>72</v>
      </c>
      <c r="FL19" s="3">
        <f>FG19+FJ19-FK19</f>
        <v>-344</v>
      </c>
      <c r="FM19" s="3">
        <f t="shared" ref="FM19:FM25" si="291">FH19+FI19-FJ19</f>
        <v>160</v>
      </c>
      <c r="FN19" s="3">
        <v>32</v>
      </c>
      <c r="FO19" s="3"/>
      <c r="FP19" s="3">
        <v>72</v>
      </c>
      <c r="FQ19" s="3">
        <f>FL19+FO19-FP19</f>
        <v>-416</v>
      </c>
      <c r="FR19" s="3">
        <f t="shared" ref="FR19:FR25" si="292">FM19+FN19-FO19</f>
        <v>192</v>
      </c>
      <c r="FS19" s="3">
        <v>32</v>
      </c>
      <c r="FT19" s="3"/>
      <c r="FU19" s="3">
        <v>72</v>
      </c>
    </row>
    <row r="20" spans="1:177" x14ac:dyDescent="0.35">
      <c r="A20" s="2" t="s">
        <v>8</v>
      </c>
      <c r="B20" s="2" t="s">
        <v>27</v>
      </c>
      <c r="C20" s="22">
        <v>25</v>
      </c>
      <c r="D20" s="3">
        <v>40</v>
      </c>
      <c r="E20" s="3">
        <v>0</v>
      </c>
      <c r="F20" s="3">
        <v>0</v>
      </c>
      <c r="G20" s="3">
        <v>0</v>
      </c>
      <c r="H20" s="3">
        <f t="shared" ref="H20:H25" si="293">C20+F20-G20</f>
        <v>25</v>
      </c>
      <c r="I20" s="3">
        <f t="shared" si="259"/>
        <v>40</v>
      </c>
      <c r="J20" s="3"/>
      <c r="K20" s="3">
        <v>0</v>
      </c>
      <c r="L20" s="3">
        <v>0</v>
      </c>
      <c r="M20" s="3">
        <f t="shared" ref="M20:M25" si="294">H20+K20-L20</f>
        <v>25</v>
      </c>
      <c r="N20" s="3">
        <f t="shared" si="260"/>
        <v>40</v>
      </c>
      <c r="O20" s="3">
        <v>0</v>
      </c>
      <c r="P20" s="3">
        <v>16</v>
      </c>
      <c r="Q20" s="3">
        <v>15</v>
      </c>
      <c r="R20" s="3">
        <f t="shared" ref="R20:R25" si="295">M20+P20-Q20</f>
        <v>26</v>
      </c>
      <c r="S20" s="3">
        <f t="shared" si="261"/>
        <v>24</v>
      </c>
      <c r="T20" s="3"/>
      <c r="U20" s="3">
        <v>16</v>
      </c>
      <c r="V20" s="3">
        <v>4</v>
      </c>
      <c r="W20" s="3">
        <f t="shared" ref="W20:W25" si="296">R20+U20-V20</f>
        <v>38</v>
      </c>
      <c r="X20" s="3">
        <f t="shared" si="262"/>
        <v>8</v>
      </c>
      <c r="Y20" s="3"/>
      <c r="Z20" s="3">
        <v>0</v>
      </c>
      <c r="AA20" s="3">
        <v>11</v>
      </c>
      <c r="AB20" s="3">
        <f t="shared" ref="AB20:AB25" si="297">W20+Z20-AA20</f>
        <v>27</v>
      </c>
      <c r="AC20" s="3">
        <f t="shared" si="263"/>
        <v>8</v>
      </c>
      <c r="AD20" s="3"/>
      <c r="AE20" s="3">
        <v>0</v>
      </c>
      <c r="AF20" s="3">
        <v>5</v>
      </c>
      <c r="AG20" s="3">
        <f t="shared" ref="AG20:AG25" si="298">AB20+AE20-AF20</f>
        <v>22</v>
      </c>
      <c r="AH20" s="3">
        <f t="shared" si="264"/>
        <v>8</v>
      </c>
      <c r="AI20" s="3"/>
      <c r="AJ20" s="3">
        <v>0</v>
      </c>
      <c r="AK20" s="3">
        <v>15</v>
      </c>
      <c r="AL20" s="3">
        <f t="shared" ref="AL20:AL25" si="299">AG20+AJ20-AK20</f>
        <v>7</v>
      </c>
      <c r="AM20" s="3">
        <f t="shared" si="265"/>
        <v>8</v>
      </c>
      <c r="AN20" s="3">
        <v>40</v>
      </c>
      <c r="AO20" s="3">
        <v>16</v>
      </c>
      <c r="AP20" s="3">
        <v>12</v>
      </c>
      <c r="AQ20" s="3">
        <f t="shared" ref="AQ20:AQ25" si="300">AL20+AO20-AP20</f>
        <v>11</v>
      </c>
      <c r="AR20" s="3">
        <f t="shared" si="266"/>
        <v>32</v>
      </c>
      <c r="AS20" s="3">
        <v>36</v>
      </c>
      <c r="AT20" s="3">
        <v>56</v>
      </c>
      <c r="AU20" s="3">
        <v>46</v>
      </c>
      <c r="AV20" s="3">
        <f t="shared" ref="AV20:AV25" si="301">AQ20+AT20-AU20</f>
        <v>21</v>
      </c>
      <c r="AW20" s="3">
        <f t="shared" si="267"/>
        <v>12</v>
      </c>
      <c r="AX20" s="3">
        <v>48</v>
      </c>
      <c r="AY20" s="3">
        <v>44</v>
      </c>
      <c r="AZ20" s="3">
        <v>17</v>
      </c>
      <c r="BA20" s="3">
        <f t="shared" ref="BA20:BA25" si="302">AV20+AY20-AZ20</f>
        <v>48</v>
      </c>
      <c r="BB20" s="3">
        <f t="shared" si="268"/>
        <v>16</v>
      </c>
      <c r="BC20" s="3">
        <v>28</v>
      </c>
      <c r="BD20" s="3">
        <v>44</v>
      </c>
      <c r="BE20" s="3">
        <v>25</v>
      </c>
      <c r="BF20" s="3">
        <f t="shared" ref="BF20:BF25" si="303">BA20+BD20-BE20</f>
        <v>67</v>
      </c>
      <c r="BG20" s="3">
        <f t="shared" si="269"/>
        <v>0</v>
      </c>
      <c r="BH20" s="3">
        <v>43</v>
      </c>
      <c r="BI20" s="3">
        <v>27</v>
      </c>
      <c r="BJ20" s="3">
        <v>56</v>
      </c>
      <c r="BK20" s="3">
        <f t="shared" ref="BK20:BK25" si="304">BF20+BI20-BJ20</f>
        <v>38</v>
      </c>
      <c r="BL20" s="3">
        <f t="shared" si="270"/>
        <v>16</v>
      </c>
      <c r="BM20" s="3"/>
      <c r="BN20" s="3">
        <v>0</v>
      </c>
      <c r="BO20" s="3">
        <v>6</v>
      </c>
      <c r="BP20" s="3">
        <f t="shared" ref="BP20:BP25" si="305">BK20+BN20-BO20</f>
        <v>32</v>
      </c>
      <c r="BQ20" s="3">
        <f t="shared" si="271"/>
        <v>16</v>
      </c>
      <c r="BR20" s="3"/>
      <c r="BS20" s="3"/>
      <c r="BT20" s="3">
        <v>15</v>
      </c>
      <c r="BU20" s="3">
        <f t="shared" ref="BU20:BU25" si="306">BP20+BS20-BT20</f>
        <v>17</v>
      </c>
      <c r="BV20" s="3">
        <f t="shared" si="272"/>
        <v>16</v>
      </c>
      <c r="BW20" s="3">
        <v>20</v>
      </c>
      <c r="BX20" s="3">
        <v>0</v>
      </c>
      <c r="BY20" s="3">
        <v>14</v>
      </c>
      <c r="BZ20" s="3">
        <f t="shared" ref="BZ20:BZ24" si="307">BU20+BX20-BY20</f>
        <v>3</v>
      </c>
      <c r="CA20" s="3">
        <f t="shared" si="273"/>
        <v>36</v>
      </c>
      <c r="CB20" s="3"/>
      <c r="CC20" s="3">
        <v>16</v>
      </c>
      <c r="CD20" s="3">
        <v>4</v>
      </c>
      <c r="CE20" s="3">
        <f t="shared" ref="CE20:CE25" si="308">BZ20+CC20-CD20</f>
        <v>15</v>
      </c>
      <c r="CF20" s="3">
        <f t="shared" si="274"/>
        <v>20</v>
      </c>
      <c r="CG20" s="3"/>
      <c r="CH20" s="3">
        <v>0</v>
      </c>
      <c r="CI20" s="3">
        <v>5</v>
      </c>
      <c r="CJ20" s="3">
        <f t="shared" ref="CJ20:CJ25" si="309">CE20+CH20-CI20</f>
        <v>10</v>
      </c>
      <c r="CK20" s="3">
        <f t="shared" si="275"/>
        <v>20</v>
      </c>
      <c r="CL20" s="3"/>
      <c r="CM20" s="3">
        <v>0</v>
      </c>
      <c r="CN20" s="3">
        <v>2</v>
      </c>
      <c r="CO20" s="3">
        <f t="shared" ref="CO20:CO25" si="310">CJ20+CM20-CN20</f>
        <v>8</v>
      </c>
      <c r="CP20" s="3">
        <f t="shared" si="276"/>
        <v>20</v>
      </c>
      <c r="CQ20" s="3">
        <v>16</v>
      </c>
      <c r="CR20" s="3">
        <v>0</v>
      </c>
      <c r="CS20" s="3">
        <v>1</v>
      </c>
      <c r="CT20" s="3">
        <f t="shared" ref="CT20:CT25" si="311">CO20+CR20-CS20</f>
        <v>7</v>
      </c>
      <c r="CU20" s="3">
        <f t="shared" si="277"/>
        <v>36</v>
      </c>
      <c r="CV20" s="3"/>
      <c r="CW20" s="3">
        <v>16</v>
      </c>
      <c r="CX20" s="3">
        <v>3</v>
      </c>
      <c r="CY20" s="3">
        <f t="shared" ref="CY20:CY25" si="312">CT20+CW20-CX20</f>
        <v>20</v>
      </c>
      <c r="CZ20" s="3">
        <f t="shared" si="278"/>
        <v>20</v>
      </c>
      <c r="DA20" s="3"/>
      <c r="DB20" s="3"/>
      <c r="DC20" s="3"/>
      <c r="DD20" s="3">
        <f t="shared" ref="DD20:DD25" si="313">CY20+DB20-DC20</f>
        <v>20</v>
      </c>
      <c r="DE20" s="3">
        <f t="shared" si="279"/>
        <v>20</v>
      </c>
      <c r="DF20" s="3">
        <v>32</v>
      </c>
      <c r="DG20" s="3">
        <v>32</v>
      </c>
      <c r="DH20" s="3">
        <v>38</v>
      </c>
      <c r="DI20" s="3">
        <f t="shared" ref="DI20:DI25" si="314">DD20+DG20-DH20</f>
        <v>14</v>
      </c>
      <c r="DJ20" s="3">
        <f t="shared" si="280"/>
        <v>20</v>
      </c>
      <c r="DK20" s="3">
        <v>28</v>
      </c>
      <c r="DL20" s="3">
        <v>48</v>
      </c>
      <c r="DM20" s="3">
        <v>38</v>
      </c>
      <c r="DN20" s="3">
        <f t="shared" ref="DN20:DN25" si="315">DI20+DL20-DM20</f>
        <v>24</v>
      </c>
      <c r="DO20" s="3">
        <f t="shared" si="281"/>
        <v>0</v>
      </c>
      <c r="DP20" s="3">
        <v>32</v>
      </c>
      <c r="DQ20" s="3">
        <v>16</v>
      </c>
      <c r="DR20" s="3">
        <v>27</v>
      </c>
      <c r="DS20" s="3">
        <f t="shared" ref="DS20:DS25" si="316">DN20+DQ20-DR20</f>
        <v>13</v>
      </c>
      <c r="DT20" s="3">
        <f t="shared" si="282"/>
        <v>16</v>
      </c>
      <c r="DU20" s="3">
        <v>16</v>
      </c>
      <c r="DV20" s="3">
        <v>32</v>
      </c>
      <c r="DW20" s="3">
        <v>34</v>
      </c>
      <c r="DX20" s="3">
        <f t="shared" ref="DX20:DX25" si="317">DS20+DV20-DW20</f>
        <v>11</v>
      </c>
      <c r="DY20" s="3">
        <f t="shared" si="283"/>
        <v>0</v>
      </c>
      <c r="DZ20" s="3"/>
      <c r="EA20" s="3">
        <v>0</v>
      </c>
      <c r="EB20" s="3">
        <v>1</v>
      </c>
      <c r="EC20" s="3">
        <f t="shared" ref="EC20:EC25" si="318">DX20+EA20-EB20</f>
        <v>10</v>
      </c>
      <c r="ED20" s="3">
        <f t="shared" si="284"/>
        <v>0</v>
      </c>
      <c r="EE20" s="3">
        <v>16</v>
      </c>
      <c r="EF20" s="3">
        <v>16</v>
      </c>
      <c r="EG20" s="3">
        <v>0</v>
      </c>
      <c r="EH20" s="3">
        <f t="shared" ref="EH20:EH25" si="319">EC20+EF20-EG20</f>
        <v>26</v>
      </c>
      <c r="EI20" s="3">
        <f t="shared" si="285"/>
        <v>0</v>
      </c>
      <c r="EJ20" s="3"/>
      <c r="EK20" s="3">
        <v>0</v>
      </c>
      <c r="EL20" s="3">
        <v>0</v>
      </c>
      <c r="EM20" s="3">
        <f t="shared" ref="EM20:EM25" si="320">EH20+EK20-EL20</f>
        <v>26</v>
      </c>
      <c r="EN20" s="3">
        <f t="shared" si="286"/>
        <v>0</v>
      </c>
      <c r="EO20" s="3"/>
      <c r="EP20" s="3"/>
      <c r="EQ20" s="3">
        <v>30</v>
      </c>
      <c r="ER20" s="3">
        <f t="shared" ref="ER20:ER25" si="321">EM20+EP20-EQ20</f>
        <v>-4</v>
      </c>
      <c r="ES20" s="3">
        <f t="shared" si="287"/>
        <v>0</v>
      </c>
      <c r="ET20" s="3"/>
      <c r="EU20" s="3"/>
      <c r="EV20" s="3">
        <v>30</v>
      </c>
      <c r="EW20" s="3">
        <f t="shared" ref="EW20:EW25" si="322">ER20+EU20-EV20</f>
        <v>-34</v>
      </c>
      <c r="EX20" s="3">
        <f t="shared" si="288"/>
        <v>0</v>
      </c>
      <c r="EY20" s="3"/>
      <c r="EZ20" s="3"/>
      <c r="FA20" s="3">
        <v>30</v>
      </c>
      <c r="FB20" s="3">
        <f t="shared" ref="FB20:FB25" si="323">EW20+EZ20-FA20</f>
        <v>-64</v>
      </c>
      <c r="FC20" s="3">
        <f t="shared" si="289"/>
        <v>0</v>
      </c>
      <c r="FD20" s="3"/>
      <c r="FE20" s="3"/>
      <c r="FF20" s="3">
        <v>30</v>
      </c>
      <c r="FG20" s="3">
        <f t="shared" ref="FG20:FG25" si="324">FB20+FE20-FF20</f>
        <v>-94</v>
      </c>
      <c r="FH20" s="3">
        <f t="shared" si="290"/>
        <v>0</v>
      </c>
      <c r="FI20" s="3"/>
      <c r="FJ20" s="3"/>
      <c r="FK20" s="3">
        <v>30</v>
      </c>
      <c r="FL20" s="3">
        <f t="shared" ref="FL20:FL25" si="325">FG20+FJ20-FK20</f>
        <v>-124</v>
      </c>
      <c r="FM20" s="3">
        <f t="shared" si="291"/>
        <v>0</v>
      </c>
      <c r="FN20" s="3"/>
      <c r="FO20" s="3"/>
      <c r="FP20" s="3">
        <v>30</v>
      </c>
      <c r="FQ20" s="3">
        <f t="shared" ref="FQ20:FQ25" si="326">FL20+FO20-FP20</f>
        <v>-154</v>
      </c>
      <c r="FR20" s="3">
        <f t="shared" si="292"/>
        <v>0</v>
      </c>
      <c r="FS20" s="3"/>
      <c r="FT20" s="3"/>
      <c r="FU20" s="3">
        <v>30</v>
      </c>
    </row>
    <row r="21" spans="1:177" x14ac:dyDescent="0.35">
      <c r="A21" s="2" t="s">
        <v>9</v>
      </c>
      <c r="B21" s="2" t="s">
        <v>40</v>
      </c>
      <c r="C21" s="22">
        <v>45</v>
      </c>
      <c r="D21" s="3">
        <v>0</v>
      </c>
      <c r="E21" s="3">
        <v>16</v>
      </c>
      <c r="F21" s="3">
        <v>16</v>
      </c>
      <c r="G21" s="3">
        <v>34</v>
      </c>
      <c r="H21" s="3">
        <f t="shared" si="293"/>
        <v>27</v>
      </c>
      <c r="I21" s="3">
        <f t="shared" si="259"/>
        <v>0</v>
      </c>
      <c r="J21" s="3">
        <v>12</v>
      </c>
      <c r="K21" s="3">
        <v>0</v>
      </c>
      <c r="L21" s="3">
        <v>0</v>
      </c>
      <c r="M21" s="3">
        <f t="shared" si="294"/>
        <v>27</v>
      </c>
      <c r="N21" s="3">
        <f t="shared" si="260"/>
        <v>12</v>
      </c>
      <c r="O21" s="3">
        <v>48</v>
      </c>
      <c r="P21" s="3">
        <v>60</v>
      </c>
      <c r="Q21" s="3">
        <v>32</v>
      </c>
      <c r="R21" s="3">
        <f t="shared" si="295"/>
        <v>55</v>
      </c>
      <c r="S21" s="3">
        <f t="shared" si="261"/>
        <v>0</v>
      </c>
      <c r="T21" s="3">
        <v>48</v>
      </c>
      <c r="U21" s="3">
        <v>32</v>
      </c>
      <c r="V21" s="3">
        <v>27</v>
      </c>
      <c r="W21" s="3">
        <f t="shared" si="296"/>
        <v>60</v>
      </c>
      <c r="X21" s="3">
        <f t="shared" si="262"/>
        <v>16</v>
      </c>
      <c r="Y21" s="3">
        <v>44</v>
      </c>
      <c r="Z21" s="3">
        <v>60</v>
      </c>
      <c r="AA21" s="3">
        <v>47</v>
      </c>
      <c r="AB21" s="3">
        <f t="shared" si="297"/>
        <v>73</v>
      </c>
      <c r="AC21" s="3">
        <f t="shared" si="263"/>
        <v>0</v>
      </c>
      <c r="AD21" s="3">
        <v>48</v>
      </c>
      <c r="AE21" s="3">
        <v>32</v>
      </c>
      <c r="AF21" s="3">
        <v>28</v>
      </c>
      <c r="AG21" s="3">
        <f t="shared" si="298"/>
        <v>77</v>
      </c>
      <c r="AH21" s="3">
        <f t="shared" si="264"/>
        <v>16</v>
      </c>
      <c r="AI21" s="3">
        <v>12</v>
      </c>
      <c r="AJ21" s="3">
        <v>16</v>
      </c>
      <c r="AK21" s="3">
        <v>30</v>
      </c>
      <c r="AL21" s="3">
        <f t="shared" si="299"/>
        <v>63</v>
      </c>
      <c r="AM21" s="3">
        <f t="shared" si="265"/>
        <v>12</v>
      </c>
      <c r="AN21" s="3">
        <v>32</v>
      </c>
      <c r="AO21" s="3">
        <v>44</v>
      </c>
      <c r="AP21" s="3">
        <v>50</v>
      </c>
      <c r="AQ21" s="3">
        <f t="shared" si="300"/>
        <v>57</v>
      </c>
      <c r="AR21" s="3">
        <f t="shared" si="266"/>
        <v>0</v>
      </c>
      <c r="AS21" s="3">
        <v>32</v>
      </c>
      <c r="AT21" s="3">
        <v>16</v>
      </c>
      <c r="AU21" s="3">
        <v>32</v>
      </c>
      <c r="AV21" s="3">
        <f t="shared" si="301"/>
        <v>41</v>
      </c>
      <c r="AW21" s="3">
        <f t="shared" si="267"/>
        <v>16</v>
      </c>
      <c r="AX21" s="3">
        <v>28</v>
      </c>
      <c r="AY21" s="3">
        <v>28</v>
      </c>
      <c r="AZ21" s="3">
        <v>47</v>
      </c>
      <c r="BA21" s="3">
        <f t="shared" si="302"/>
        <v>22</v>
      </c>
      <c r="BB21" s="3">
        <f t="shared" si="268"/>
        <v>16</v>
      </c>
      <c r="BC21" s="3">
        <v>48</v>
      </c>
      <c r="BD21" s="3">
        <v>48</v>
      </c>
      <c r="BE21" s="3">
        <v>28</v>
      </c>
      <c r="BF21" s="3">
        <f t="shared" si="303"/>
        <v>42</v>
      </c>
      <c r="BG21" s="3">
        <f t="shared" si="269"/>
        <v>16</v>
      </c>
      <c r="BH21" s="3">
        <v>28</v>
      </c>
      <c r="BI21" s="3">
        <v>28</v>
      </c>
      <c r="BJ21" s="3">
        <v>43</v>
      </c>
      <c r="BK21" s="3">
        <f t="shared" si="304"/>
        <v>27</v>
      </c>
      <c r="BL21" s="3">
        <f t="shared" si="270"/>
        <v>16</v>
      </c>
      <c r="BM21" s="3">
        <v>48</v>
      </c>
      <c r="BN21" s="3">
        <v>64</v>
      </c>
      <c r="BO21" s="3">
        <v>48</v>
      </c>
      <c r="BP21" s="3">
        <f t="shared" si="305"/>
        <v>43</v>
      </c>
      <c r="BQ21" s="3">
        <f t="shared" si="271"/>
        <v>0</v>
      </c>
      <c r="BR21" s="3">
        <v>12</v>
      </c>
      <c r="BS21" s="3"/>
      <c r="BT21" s="3">
        <v>33</v>
      </c>
      <c r="BU21" s="3">
        <f t="shared" si="306"/>
        <v>10</v>
      </c>
      <c r="BV21" s="3">
        <f t="shared" si="272"/>
        <v>12</v>
      </c>
      <c r="BW21" s="3">
        <v>12</v>
      </c>
      <c r="BX21" s="3">
        <v>24</v>
      </c>
      <c r="BY21" s="3">
        <v>19</v>
      </c>
      <c r="BZ21" s="3">
        <f t="shared" si="307"/>
        <v>15</v>
      </c>
      <c r="CA21" s="3">
        <f t="shared" si="273"/>
        <v>0</v>
      </c>
      <c r="CB21" s="3">
        <f>47+35</f>
        <v>82</v>
      </c>
      <c r="CC21" s="3">
        <v>47</v>
      </c>
      <c r="CD21" s="3">
        <v>51</v>
      </c>
      <c r="CE21" s="3">
        <f t="shared" si="308"/>
        <v>11</v>
      </c>
      <c r="CF21" s="3">
        <f t="shared" si="274"/>
        <v>35</v>
      </c>
      <c r="CG21" s="3">
        <v>32</v>
      </c>
      <c r="CH21" s="3">
        <v>67</v>
      </c>
      <c r="CI21" s="3">
        <v>37</v>
      </c>
      <c r="CJ21" s="3">
        <f t="shared" si="309"/>
        <v>41</v>
      </c>
      <c r="CK21" s="3">
        <f t="shared" si="275"/>
        <v>0</v>
      </c>
      <c r="CL21" s="3">
        <v>56</v>
      </c>
      <c r="CM21" s="3">
        <v>40</v>
      </c>
      <c r="CN21" s="3">
        <v>41</v>
      </c>
      <c r="CO21" s="3">
        <f t="shared" si="310"/>
        <v>40</v>
      </c>
      <c r="CP21" s="3">
        <f t="shared" si="276"/>
        <v>16</v>
      </c>
      <c r="CQ21" s="3">
        <v>44</v>
      </c>
      <c r="CR21" s="3">
        <v>48</v>
      </c>
      <c r="CS21" s="3">
        <v>31</v>
      </c>
      <c r="CT21" s="3">
        <f t="shared" si="311"/>
        <v>57</v>
      </c>
      <c r="CU21" s="3">
        <f t="shared" si="277"/>
        <v>12</v>
      </c>
      <c r="CV21" s="3">
        <v>32</v>
      </c>
      <c r="CW21" s="3">
        <v>44</v>
      </c>
      <c r="CX21" s="3">
        <v>44</v>
      </c>
      <c r="CY21" s="3">
        <f t="shared" si="312"/>
        <v>57</v>
      </c>
      <c r="CZ21" s="3">
        <f t="shared" si="278"/>
        <v>0</v>
      </c>
      <c r="DA21" s="3"/>
      <c r="DB21" s="3"/>
      <c r="DC21" s="3"/>
      <c r="DD21" s="3">
        <f t="shared" si="313"/>
        <v>57</v>
      </c>
      <c r="DE21" s="3">
        <f t="shared" si="279"/>
        <v>0</v>
      </c>
      <c r="DF21" s="3">
        <v>40</v>
      </c>
      <c r="DG21" s="3">
        <v>40</v>
      </c>
      <c r="DH21" s="3">
        <v>16</v>
      </c>
      <c r="DI21" s="3">
        <f t="shared" si="314"/>
        <v>81</v>
      </c>
      <c r="DJ21" s="3">
        <f t="shared" si="280"/>
        <v>0</v>
      </c>
      <c r="DK21" s="3">
        <v>16</v>
      </c>
      <c r="DL21" s="3">
        <v>16</v>
      </c>
      <c r="DM21" s="3">
        <v>36</v>
      </c>
      <c r="DN21" s="3">
        <f t="shared" si="315"/>
        <v>61</v>
      </c>
      <c r="DO21" s="3">
        <f t="shared" si="281"/>
        <v>0</v>
      </c>
      <c r="DP21" s="3">
        <v>64</v>
      </c>
      <c r="DQ21" s="3">
        <v>48</v>
      </c>
      <c r="DR21" s="3">
        <v>47</v>
      </c>
      <c r="DS21" s="3">
        <f t="shared" si="316"/>
        <v>62</v>
      </c>
      <c r="DT21" s="3">
        <f t="shared" si="282"/>
        <v>16</v>
      </c>
      <c r="DU21" s="3">
        <v>16</v>
      </c>
      <c r="DV21" s="3">
        <v>32</v>
      </c>
      <c r="DW21" s="3">
        <v>55</v>
      </c>
      <c r="DX21" s="3">
        <f t="shared" si="317"/>
        <v>39</v>
      </c>
      <c r="DY21" s="3">
        <f t="shared" si="283"/>
        <v>0</v>
      </c>
      <c r="DZ21" s="3"/>
      <c r="EA21" s="3">
        <v>0</v>
      </c>
      <c r="EB21" s="3">
        <v>5</v>
      </c>
      <c r="EC21" s="3">
        <f t="shared" si="318"/>
        <v>34</v>
      </c>
      <c r="ED21" s="3">
        <f t="shared" si="284"/>
        <v>0</v>
      </c>
      <c r="EE21" s="3"/>
      <c r="EF21" s="3">
        <v>0</v>
      </c>
      <c r="EG21" s="3">
        <v>1</v>
      </c>
      <c r="EH21" s="3">
        <f t="shared" si="319"/>
        <v>33</v>
      </c>
      <c r="EI21" s="3">
        <f t="shared" si="285"/>
        <v>0</v>
      </c>
      <c r="EJ21" s="3">
        <v>16</v>
      </c>
      <c r="EK21" s="3">
        <v>16</v>
      </c>
      <c r="EL21" s="3">
        <v>20</v>
      </c>
      <c r="EM21" s="3">
        <f t="shared" si="320"/>
        <v>29</v>
      </c>
      <c r="EN21" s="3">
        <f t="shared" si="286"/>
        <v>0</v>
      </c>
      <c r="EO21" s="3"/>
      <c r="EP21" s="3"/>
      <c r="EQ21" s="3">
        <v>39</v>
      </c>
      <c r="ER21" s="3">
        <f t="shared" si="321"/>
        <v>-10</v>
      </c>
      <c r="ES21" s="3">
        <f t="shared" si="287"/>
        <v>0</v>
      </c>
      <c r="ET21" s="3"/>
      <c r="EU21" s="3"/>
      <c r="EV21" s="3">
        <v>39</v>
      </c>
      <c r="EW21" s="3">
        <f t="shared" si="322"/>
        <v>-49</v>
      </c>
      <c r="EX21" s="3">
        <f t="shared" si="288"/>
        <v>0</v>
      </c>
      <c r="EY21" s="3"/>
      <c r="EZ21" s="3"/>
      <c r="FA21" s="3">
        <v>39</v>
      </c>
      <c r="FB21" s="3">
        <f t="shared" si="323"/>
        <v>-88</v>
      </c>
      <c r="FC21" s="3">
        <f t="shared" si="289"/>
        <v>0</v>
      </c>
      <c r="FD21" s="3"/>
      <c r="FE21" s="3"/>
      <c r="FF21" s="3">
        <v>39</v>
      </c>
      <c r="FG21" s="3">
        <f t="shared" si="324"/>
        <v>-127</v>
      </c>
      <c r="FH21" s="3">
        <f t="shared" si="290"/>
        <v>0</v>
      </c>
      <c r="FI21" s="3"/>
      <c r="FJ21" s="3"/>
      <c r="FK21" s="3">
        <v>39</v>
      </c>
      <c r="FL21" s="3">
        <f t="shared" si="325"/>
        <v>-166</v>
      </c>
      <c r="FM21" s="3">
        <f t="shared" si="291"/>
        <v>0</v>
      </c>
      <c r="FN21" s="3"/>
      <c r="FO21" s="3"/>
      <c r="FP21" s="3">
        <v>39</v>
      </c>
      <c r="FQ21" s="3">
        <f t="shared" si="326"/>
        <v>-205</v>
      </c>
      <c r="FR21" s="3">
        <f t="shared" si="292"/>
        <v>0</v>
      </c>
      <c r="FS21" s="3"/>
      <c r="FT21" s="3"/>
      <c r="FU21" s="3">
        <v>39</v>
      </c>
    </row>
    <row r="22" spans="1:177" x14ac:dyDescent="0.35">
      <c r="A22" s="2" t="s">
        <v>24</v>
      </c>
      <c r="B22" s="2" t="s">
        <v>28</v>
      </c>
      <c r="C22" s="22">
        <v>30</v>
      </c>
      <c r="D22" s="3">
        <v>16</v>
      </c>
      <c r="E22" s="3"/>
      <c r="F22" s="3">
        <v>0</v>
      </c>
      <c r="G22" s="3">
        <v>13</v>
      </c>
      <c r="H22" s="3">
        <f t="shared" si="293"/>
        <v>17</v>
      </c>
      <c r="I22" s="3">
        <f t="shared" si="259"/>
        <v>16</v>
      </c>
      <c r="J22" s="3"/>
      <c r="K22" s="3">
        <v>0</v>
      </c>
      <c r="L22" s="3">
        <v>0</v>
      </c>
      <c r="M22" s="3">
        <f t="shared" si="294"/>
        <v>17</v>
      </c>
      <c r="N22" s="3">
        <f t="shared" si="260"/>
        <v>16</v>
      </c>
      <c r="O22" s="3">
        <v>16</v>
      </c>
      <c r="P22" s="3">
        <v>16</v>
      </c>
      <c r="Q22" s="3">
        <v>9</v>
      </c>
      <c r="R22" s="3">
        <f t="shared" si="295"/>
        <v>24</v>
      </c>
      <c r="S22" s="3">
        <f t="shared" si="261"/>
        <v>16</v>
      </c>
      <c r="T22" s="3"/>
      <c r="U22" s="3">
        <v>16</v>
      </c>
      <c r="V22" s="3">
        <v>14</v>
      </c>
      <c r="W22" s="3">
        <f t="shared" si="296"/>
        <v>26</v>
      </c>
      <c r="X22" s="3">
        <f t="shared" si="262"/>
        <v>0</v>
      </c>
      <c r="Y22" s="3"/>
      <c r="Z22" s="3">
        <v>0</v>
      </c>
      <c r="AA22" s="3">
        <v>4</v>
      </c>
      <c r="AB22" s="3">
        <f t="shared" si="297"/>
        <v>22</v>
      </c>
      <c r="AC22" s="3">
        <f t="shared" si="263"/>
        <v>0</v>
      </c>
      <c r="AD22" s="3">
        <v>16</v>
      </c>
      <c r="AE22" s="3">
        <v>16</v>
      </c>
      <c r="AF22" s="3">
        <v>5</v>
      </c>
      <c r="AG22" s="3">
        <f t="shared" si="298"/>
        <v>33</v>
      </c>
      <c r="AH22" s="3">
        <f t="shared" si="264"/>
        <v>0</v>
      </c>
      <c r="AI22" s="3">
        <v>12</v>
      </c>
      <c r="AJ22" s="3">
        <v>0</v>
      </c>
      <c r="AK22" s="3">
        <v>8</v>
      </c>
      <c r="AL22" s="3">
        <f t="shared" si="299"/>
        <v>25</v>
      </c>
      <c r="AM22" s="3">
        <f t="shared" si="265"/>
        <v>12</v>
      </c>
      <c r="AN22" s="3"/>
      <c r="AO22" s="3">
        <v>0</v>
      </c>
      <c r="AP22" s="3">
        <v>2</v>
      </c>
      <c r="AQ22" s="3">
        <f t="shared" si="300"/>
        <v>23</v>
      </c>
      <c r="AR22" s="3">
        <f t="shared" si="266"/>
        <v>12</v>
      </c>
      <c r="AS22" s="3"/>
      <c r="AT22" s="3">
        <v>32</v>
      </c>
      <c r="AU22" s="3">
        <v>5</v>
      </c>
      <c r="AV22" s="3">
        <f t="shared" si="301"/>
        <v>50</v>
      </c>
      <c r="AW22" s="3">
        <f t="shared" si="267"/>
        <v>-20</v>
      </c>
      <c r="AX22" s="3">
        <v>32</v>
      </c>
      <c r="AY22" s="3">
        <v>0</v>
      </c>
      <c r="AZ22" s="3">
        <v>31</v>
      </c>
      <c r="BA22" s="3">
        <f t="shared" si="302"/>
        <v>19</v>
      </c>
      <c r="BB22" s="3">
        <f t="shared" si="268"/>
        <v>12</v>
      </c>
      <c r="BC22" s="3">
        <v>32</v>
      </c>
      <c r="BD22" s="3">
        <v>28</v>
      </c>
      <c r="BE22" s="3">
        <v>34</v>
      </c>
      <c r="BF22" s="3">
        <f t="shared" si="303"/>
        <v>13</v>
      </c>
      <c r="BG22" s="3">
        <f t="shared" si="269"/>
        <v>16</v>
      </c>
      <c r="BH22" s="3">
        <v>16</v>
      </c>
      <c r="BI22" s="3">
        <v>32</v>
      </c>
      <c r="BJ22" s="3">
        <v>16</v>
      </c>
      <c r="BK22" s="3">
        <f t="shared" si="304"/>
        <v>29</v>
      </c>
      <c r="BL22" s="3">
        <f t="shared" si="270"/>
        <v>0</v>
      </c>
      <c r="BM22" s="3"/>
      <c r="BN22" s="3">
        <v>0</v>
      </c>
      <c r="BO22" s="3">
        <v>5</v>
      </c>
      <c r="BP22" s="3">
        <f t="shared" si="305"/>
        <v>24</v>
      </c>
      <c r="BQ22" s="3">
        <f t="shared" si="271"/>
        <v>0</v>
      </c>
      <c r="BR22" s="3">
        <v>12</v>
      </c>
      <c r="BS22" s="3"/>
      <c r="BT22" s="3">
        <v>11</v>
      </c>
      <c r="BU22" s="3">
        <f t="shared" si="306"/>
        <v>13</v>
      </c>
      <c r="BV22" s="3">
        <f t="shared" si="272"/>
        <v>12</v>
      </c>
      <c r="BW22" s="3"/>
      <c r="BX22" s="3">
        <v>0</v>
      </c>
      <c r="BY22" s="3">
        <v>9</v>
      </c>
      <c r="BZ22" s="3">
        <f t="shared" si="307"/>
        <v>4</v>
      </c>
      <c r="CA22" s="3">
        <f t="shared" si="273"/>
        <v>12</v>
      </c>
      <c r="CB22" s="3">
        <v>12</v>
      </c>
      <c r="CC22" s="3">
        <v>24</v>
      </c>
      <c r="CD22" s="3">
        <v>12</v>
      </c>
      <c r="CE22" s="3">
        <f t="shared" si="308"/>
        <v>16</v>
      </c>
      <c r="CF22" s="3">
        <f t="shared" si="274"/>
        <v>0</v>
      </c>
      <c r="CG22" s="3">
        <v>34</v>
      </c>
      <c r="CH22" s="3">
        <v>22</v>
      </c>
      <c r="CI22" s="3">
        <v>25</v>
      </c>
      <c r="CJ22" s="3">
        <f t="shared" si="309"/>
        <v>13</v>
      </c>
      <c r="CK22" s="3">
        <f t="shared" si="275"/>
        <v>12</v>
      </c>
      <c r="CL22" s="3">
        <v>12</v>
      </c>
      <c r="CM22" s="3">
        <v>12</v>
      </c>
      <c r="CN22" s="3">
        <v>19</v>
      </c>
      <c r="CO22" s="3">
        <f t="shared" si="310"/>
        <v>6</v>
      </c>
      <c r="CP22" s="3">
        <f t="shared" si="276"/>
        <v>12</v>
      </c>
      <c r="CQ22" s="3">
        <v>24</v>
      </c>
      <c r="CR22" s="3">
        <v>24</v>
      </c>
      <c r="CS22" s="3">
        <v>2</v>
      </c>
      <c r="CT22" s="3">
        <f t="shared" si="311"/>
        <v>28</v>
      </c>
      <c r="CU22" s="3">
        <f t="shared" si="277"/>
        <v>12</v>
      </c>
      <c r="CV22" s="3"/>
      <c r="CW22" s="3">
        <v>0</v>
      </c>
      <c r="CX22" s="3">
        <v>9</v>
      </c>
      <c r="CY22" s="3">
        <f t="shared" si="312"/>
        <v>19</v>
      </c>
      <c r="CZ22" s="3">
        <f t="shared" si="278"/>
        <v>12</v>
      </c>
      <c r="DA22" s="3"/>
      <c r="DB22" s="3"/>
      <c r="DC22" s="3"/>
      <c r="DD22" s="3">
        <f t="shared" si="313"/>
        <v>19</v>
      </c>
      <c r="DE22" s="3">
        <f t="shared" si="279"/>
        <v>12</v>
      </c>
      <c r="DF22" s="3"/>
      <c r="DG22" s="3">
        <v>12</v>
      </c>
      <c r="DH22" s="3">
        <v>2</v>
      </c>
      <c r="DI22" s="3">
        <f t="shared" si="314"/>
        <v>29</v>
      </c>
      <c r="DJ22" s="3">
        <f t="shared" si="280"/>
        <v>0</v>
      </c>
      <c r="DK22" s="3">
        <v>12</v>
      </c>
      <c r="DL22" s="3">
        <v>0</v>
      </c>
      <c r="DM22" s="3">
        <v>19</v>
      </c>
      <c r="DN22" s="3">
        <f t="shared" si="315"/>
        <v>10</v>
      </c>
      <c r="DO22" s="3">
        <f t="shared" si="281"/>
        <v>12</v>
      </c>
      <c r="DP22" s="3">
        <v>16</v>
      </c>
      <c r="DQ22" s="3">
        <v>28</v>
      </c>
      <c r="DR22" s="3">
        <v>6</v>
      </c>
      <c r="DS22" s="3">
        <f t="shared" si="316"/>
        <v>32</v>
      </c>
      <c r="DT22" s="3">
        <f t="shared" si="282"/>
        <v>0</v>
      </c>
      <c r="DU22" s="3"/>
      <c r="DV22" s="3">
        <v>0</v>
      </c>
      <c r="DW22" s="3">
        <v>25</v>
      </c>
      <c r="DX22" s="3">
        <f t="shared" si="317"/>
        <v>7</v>
      </c>
      <c r="DY22" s="3">
        <f t="shared" si="283"/>
        <v>0</v>
      </c>
      <c r="DZ22" s="3">
        <v>16</v>
      </c>
      <c r="EA22" s="3">
        <v>16</v>
      </c>
      <c r="EB22" s="3">
        <v>5</v>
      </c>
      <c r="EC22" s="3">
        <f t="shared" si="318"/>
        <v>18</v>
      </c>
      <c r="ED22" s="3">
        <f t="shared" si="284"/>
        <v>0</v>
      </c>
      <c r="EE22" s="3"/>
      <c r="EF22" s="3">
        <v>0</v>
      </c>
      <c r="EG22" s="3">
        <v>1</v>
      </c>
      <c r="EH22" s="3">
        <f t="shared" si="319"/>
        <v>17</v>
      </c>
      <c r="EI22" s="3">
        <f t="shared" si="285"/>
        <v>0</v>
      </c>
      <c r="EJ22" s="3">
        <v>12</v>
      </c>
      <c r="EK22" s="3">
        <v>12</v>
      </c>
      <c r="EL22" s="3">
        <v>22</v>
      </c>
      <c r="EM22" s="3">
        <f t="shared" si="320"/>
        <v>7</v>
      </c>
      <c r="EN22" s="3">
        <f t="shared" si="286"/>
        <v>0</v>
      </c>
      <c r="EO22" s="3"/>
      <c r="EP22" s="3"/>
      <c r="EQ22" s="3">
        <v>54</v>
      </c>
      <c r="ER22" s="3">
        <f t="shared" si="321"/>
        <v>-47</v>
      </c>
      <c r="ES22" s="3">
        <f t="shared" si="287"/>
        <v>0</v>
      </c>
      <c r="ET22" s="3"/>
      <c r="EU22" s="3"/>
      <c r="EV22" s="3">
        <v>54</v>
      </c>
      <c r="EW22" s="3">
        <f t="shared" si="322"/>
        <v>-101</v>
      </c>
      <c r="EX22" s="3">
        <f t="shared" si="288"/>
        <v>0</v>
      </c>
      <c r="EY22" s="3"/>
      <c r="EZ22" s="3"/>
      <c r="FA22" s="3">
        <v>54</v>
      </c>
      <c r="FB22" s="3">
        <f t="shared" si="323"/>
        <v>-155</v>
      </c>
      <c r="FC22" s="3">
        <f t="shared" si="289"/>
        <v>0</v>
      </c>
      <c r="FD22" s="3"/>
      <c r="FE22" s="3"/>
      <c r="FF22" s="3">
        <v>54</v>
      </c>
      <c r="FG22" s="3">
        <f t="shared" si="324"/>
        <v>-209</v>
      </c>
      <c r="FH22" s="3">
        <f t="shared" si="290"/>
        <v>0</v>
      </c>
      <c r="FI22" s="3"/>
      <c r="FJ22" s="3"/>
      <c r="FK22" s="3">
        <v>54</v>
      </c>
      <c r="FL22" s="3">
        <f t="shared" si="325"/>
        <v>-263</v>
      </c>
      <c r="FM22" s="3">
        <f t="shared" si="291"/>
        <v>0</v>
      </c>
      <c r="FN22" s="3"/>
      <c r="FO22" s="3"/>
      <c r="FP22" s="3">
        <v>54</v>
      </c>
      <c r="FQ22" s="3">
        <f t="shared" si="326"/>
        <v>-317</v>
      </c>
      <c r="FR22" s="3">
        <f t="shared" si="292"/>
        <v>0</v>
      </c>
      <c r="FS22" s="3"/>
      <c r="FT22" s="3"/>
      <c r="FU22" s="3">
        <v>54</v>
      </c>
    </row>
    <row r="23" spans="1:177" x14ac:dyDescent="0.35">
      <c r="A23" s="2" t="s">
        <v>10</v>
      </c>
      <c r="B23" s="2" t="s">
        <v>41</v>
      </c>
      <c r="C23" s="22">
        <v>35</v>
      </c>
      <c r="D23" s="3">
        <v>52</v>
      </c>
      <c r="E23" s="3"/>
      <c r="F23" s="3">
        <v>0</v>
      </c>
      <c r="G23" s="3">
        <v>0</v>
      </c>
      <c r="H23" s="3">
        <f t="shared" si="293"/>
        <v>35</v>
      </c>
      <c r="I23" s="3">
        <f t="shared" si="259"/>
        <v>52</v>
      </c>
      <c r="J23" s="3"/>
      <c r="K23" s="3">
        <v>0</v>
      </c>
      <c r="L23" s="3">
        <v>0</v>
      </c>
      <c r="M23" s="3">
        <f t="shared" si="294"/>
        <v>35</v>
      </c>
      <c r="N23" s="3">
        <f t="shared" si="260"/>
        <v>52</v>
      </c>
      <c r="O23" s="3">
        <v>0</v>
      </c>
      <c r="P23" s="3">
        <v>0</v>
      </c>
      <c r="Q23" s="3">
        <v>8</v>
      </c>
      <c r="R23" s="3">
        <f t="shared" si="295"/>
        <v>27</v>
      </c>
      <c r="S23" s="3">
        <f t="shared" si="261"/>
        <v>52</v>
      </c>
      <c r="T23" s="3"/>
      <c r="U23" s="3">
        <v>0</v>
      </c>
      <c r="V23" s="3">
        <v>0</v>
      </c>
      <c r="W23" s="3">
        <f t="shared" si="296"/>
        <v>27</v>
      </c>
      <c r="X23" s="3">
        <f t="shared" si="262"/>
        <v>52</v>
      </c>
      <c r="Y23" s="3"/>
      <c r="Z23" s="3">
        <v>0</v>
      </c>
      <c r="AA23" s="3">
        <v>0</v>
      </c>
      <c r="AB23" s="3">
        <f t="shared" si="297"/>
        <v>27</v>
      </c>
      <c r="AC23" s="3">
        <f t="shared" si="263"/>
        <v>52</v>
      </c>
      <c r="AD23" s="3"/>
      <c r="AE23" s="3">
        <v>0</v>
      </c>
      <c r="AF23" s="3">
        <v>0</v>
      </c>
      <c r="AG23" s="3">
        <f t="shared" si="298"/>
        <v>27</v>
      </c>
      <c r="AH23" s="3">
        <f t="shared" si="264"/>
        <v>52</v>
      </c>
      <c r="AI23" s="3"/>
      <c r="AJ23" s="3">
        <v>0</v>
      </c>
      <c r="AK23" s="3">
        <v>0</v>
      </c>
      <c r="AL23" s="3">
        <f t="shared" si="299"/>
        <v>27</v>
      </c>
      <c r="AM23" s="3">
        <f t="shared" si="265"/>
        <v>52</v>
      </c>
      <c r="AN23" s="3"/>
      <c r="AO23" s="3">
        <v>0</v>
      </c>
      <c r="AP23" s="3">
        <v>0</v>
      </c>
      <c r="AQ23" s="3">
        <f t="shared" si="300"/>
        <v>27</v>
      </c>
      <c r="AR23" s="3">
        <f t="shared" si="266"/>
        <v>52</v>
      </c>
      <c r="AS23" s="3"/>
      <c r="AT23" s="3">
        <v>0</v>
      </c>
      <c r="AU23" s="3">
        <v>0</v>
      </c>
      <c r="AV23" s="3">
        <f t="shared" si="301"/>
        <v>27</v>
      </c>
      <c r="AW23" s="3">
        <f t="shared" si="267"/>
        <v>52</v>
      </c>
      <c r="AX23" s="3"/>
      <c r="AY23" s="3">
        <v>0</v>
      </c>
      <c r="AZ23" s="3">
        <v>0</v>
      </c>
      <c r="BA23" s="3">
        <f t="shared" si="302"/>
        <v>27</v>
      </c>
      <c r="BB23" s="3">
        <f t="shared" si="268"/>
        <v>52</v>
      </c>
      <c r="BC23" s="3"/>
      <c r="BD23" s="3">
        <v>0</v>
      </c>
      <c r="BE23" s="3">
        <v>0</v>
      </c>
      <c r="BF23" s="3">
        <f t="shared" si="303"/>
        <v>27</v>
      </c>
      <c r="BG23" s="3">
        <f t="shared" si="269"/>
        <v>52</v>
      </c>
      <c r="BH23" s="3"/>
      <c r="BI23" s="3">
        <v>0</v>
      </c>
      <c r="BJ23" s="3">
        <v>0</v>
      </c>
      <c r="BK23" s="3">
        <f t="shared" si="304"/>
        <v>27</v>
      </c>
      <c r="BL23" s="3">
        <f t="shared" si="270"/>
        <v>52</v>
      </c>
      <c r="BM23" s="3"/>
      <c r="BN23" s="3">
        <v>0</v>
      </c>
      <c r="BO23" s="3">
        <v>0</v>
      </c>
      <c r="BP23" s="3">
        <f t="shared" si="305"/>
        <v>27</v>
      </c>
      <c r="BQ23" s="3">
        <f t="shared" si="271"/>
        <v>52</v>
      </c>
      <c r="BR23" s="3"/>
      <c r="BS23" s="3"/>
      <c r="BT23" s="3">
        <v>0</v>
      </c>
      <c r="BU23" s="3">
        <f t="shared" si="306"/>
        <v>27</v>
      </c>
      <c r="BV23" s="3">
        <f t="shared" si="272"/>
        <v>52</v>
      </c>
      <c r="BW23" s="3"/>
      <c r="BX23" s="3">
        <v>0</v>
      </c>
      <c r="BY23" s="3">
        <v>0</v>
      </c>
      <c r="BZ23" s="3">
        <f t="shared" si="307"/>
        <v>27</v>
      </c>
      <c r="CA23" s="3">
        <f t="shared" si="273"/>
        <v>52</v>
      </c>
      <c r="CB23" s="3"/>
      <c r="CC23" s="3">
        <v>0</v>
      </c>
      <c r="CD23" s="3">
        <v>0</v>
      </c>
      <c r="CE23" s="3">
        <f t="shared" si="308"/>
        <v>27</v>
      </c>
      <c r="CF23" s="3">
        <f t="shared" si="274"/>
        <v>52</v>
      </c>
      <c r="CG23" s="3"/>
      <c r="CH23" s="3">
        <v>0</v>
      </c>
      <c r="CI23" s="3">
        <v>0</v>
      </c>
      <c r="CJ23" s="3">
        <f t="shared" si="309"/>
        <v>27</v>
      </c>
      <c r="CK23" s="3">
        <f t="shared" si="275"/>
        <v>52</v>
      </c>
      <c r="CL23" s="3"/>
      <c r="CM23" s="3">
        <v>0</v>
      </c>
      <c r="CN23" s="3">
        <v>0</v>
      </c>
      <c r="CO23" s="3">
        <f t="shared" si="310"/>
        <v>27</v>
      </c>
      <c r="CP23" s="3">
        <f t="shared" si="276"/>
        <v>52</v>
      </c>
      <c r="CQ23" s="3"/>
      <c r="CR23" s="3">
        <v>0</v>
      </c>
      <c r="CS23" s="3">
        <v>0</v>
      </c>
      <c r="CT23" s="3">
        <f t="shared" si="311"/>
        <v>27</v>
      </c>
      <c r="CU23" s="3">
        <f t="shared" si="277"/>
        <v>52</v>
      </c>
      <c r="CV23" s="3"/>
      <c r="CW23" s="3">
        <v>0</v>
      </c>
      <c r="CX23" s="3">
        <v>11</v>
      </c>
      <c r="CY23" s="3">
        <f t="shared" si="312"/>
        <v>16</v>
      </c>
      <c r="CZ23" s="3">
        <f t="shared" si="278"/>
        <v>52</v>
      </c>
      <c r="DA23" s="3"/>
      <c r="DB23" s="3"/>
      <c r="DC23" s="3"/>
      <c r="DD23" s="3">
        <f t="shared" si="313"/>
        <v>16</v>
      </c>
      <c r="DE23" s="3">
        <f t="shared" si="279"/>
        <v>52</v>
      </c>
      <c r="DF23" s="3"/>
      <c r="DG23" s="3">
        <v>0</v>
      </c>
      <c r="DH23" s="3">
        <v>0</v>
      </c>
      <c r="DI23" s="3">
        <f t="shared" si="314"/>
        <v>16</v>
      </c>
      <c r="DJ23" s="3">
        <f t="shared" si="280"/>
        <v>52</v>
      </c>
      <c r="DK23" s="3"/>
      <c r="DL23" s="3">
        <v>0</v>
      </c>
      <c r="DM23" s="3">
        <v>0</v>
      </c>
      <c r="DN23" s="3">
        <f t="shared" si="315"/>
        <v>16</v>
      </c>
      <c r="DO23" s="3">
        <f t="shared" si="281"/>
        <v>52</v>
      </c>
      <c r="DP23" s="3"/>
      <c r="DQ23" s="3">
        <v>0</v>
      </c>
      <c r="DR23" s="3">
        <v>0</v>
      </c>
      <c r="DS23" s="3">
        <f t="shared" si="316"/>
        <v>16</v>
      </c>
      <c r="DT23" s="3">
        <f t="shared" si="282"/>
        <v>52</v>
      </c>
      <c r="DU23" s="3"/>
      <c r="DV23" s="3">
        <v>0</v>
      </c>
      <c r="DW23" s="3"/>
      <c r="DX23" s="3">
        <f t="shared" si="317"/>
        <v>16</v>
      </c>
      <c r="DY23" s="3">
        <f t="shared" si="283"/>
        <v>52</v>
      </c>
      <c r="DZ23" s="3"/>
      <c r="EA23" s="3">
        <v>0</v>
      </c>
      <c r="EB23" s="3">
        <v>0</v>
      </c>
      <c r="EC23" s="3">
        <f t="shared" si="318"/>
        <v>16</v>
      </c>
      <c r="ED23" s="3">
        <f t="shared" si="284"/>
        <v>52</v>
      </c>
      <c r="EE23" s="3"/>
      <c r="EF23" s="3">
        <v>0</v>
      </c>
      <c r="EG23" s="3">
        <v>0</v>
      </c>
      <c r="EH23" s="3">
        <f t="shared" si="319"/>
        <v>16</v>
      </c>
      <c r="EI23" s="3">
        <f t="shared" si="285"/>
        <v>52</v>
      </c>
      <c r="EJ23" s="3"/>
      <c r="EK23" s="3">
        <v>0</v>
      </c>
      <c r="EL23" s="3">
        <v>0</v>
      </c>
      <c r="EM23" s="3">
        <f t="shared" si="320"/>
        <v>16</v>
      </c>
      <c r="EN23" s="3">
        <f t="shared" si="286"/>
        <v>52</v>
      </c>
      <c r="EO23" s="3"/>
      <c r="EP23" s="3"/>
      <c r="EQ23" s="3">
        <v>0</v>
      </c>
      <c r="ER23" s="3">
        <f t="shared" si="321"/>
        <v>16</v>
      </c>
      <c r="ES23" s="3">
        <f t="shared" si="287"/>
        <v>52</v>
      </c>
      <c r="ET23" s="3"/>
      <c r="EU23" s="3"/>
      <c r="EV23" s="3">
        <v>0</v>
      </c>
      <c r="EW23" s="3">
        <f t="shared" si="322"/>
        <v>16</v>
      </c>
      <c r="EX23" s="3">
        <f t="shared" si="288"/>
        <v>52</v>
      </c>
      <c r="EY23" s="3"/>
      <c r="EZ23" s="3"/>
      <c r="FA23" s="3">
        <v>0</v>
      </c>
      <c r="FB23" s="3">
        <f t="shared" si="323"/>
        <v>16</v>
      </c>
      <c r="FC23" s="3">
        <f t="shared" si="289"/>
        <v>52</v>
      </c>
      <c r="FD23" s="3"/>
      <c r="FE23" s="3"/>
      <c r="FF23" s="3">
        <v>0</v>
      </c>
      <c r="FG23" s="3">
        <f t="shared" si="324"/>
        <v>16</v>
      </c>
      <c r="FH23" s="3">
        <f t="shared" si="290"/>
        <v>52</v>
      </c>
      <c r="FI23" s="3"/>
      <c r="FJ23" s="3"/>
      <c r="FK23" s="3">
        <v>0</v>
      </c>
      <c r="FL23" s="3">
        <f t="shared" si="325"/>
        <v>16</v>
      </c>
      <c r="FM23" s="3">
        <f t="shared" si="291"/>
        <v>52</v>
      </c>
      <c r="FN23" s="3"/>
      <c r="FO23" s="3"/>
      <c r="FP23" s="3">
        <v>0</v>
      </c>
      <c r="FQ23" s="3">
        <f t="shared" si="326"/>
        <v>16</v>
      </c>
      <c r="FR23" s="3">
        <f t="shared" si="292"/>
        <v>52</v>
      </c>
      <c r="FS23" s="3"/>
      <c r="FT23" s="3"/>
      <c r="FU23" s="3">
        <v>0</v>
      </c>
    </row>
    <row r="24" spans="1:177" x14ac:dyDescent="0.35">
      <c r="A24" s="2" t="s">
        <v>11</v>
      </c>
      <c r="B24" s="2" t="s">
        <v>29</v>
      </c>
      <c r="C24" s="22">
        <v>0</v>
      </c>
      <c r="D24" s="3">
        <v>28</v>
      </c>
      <c r="E24" s="3">
        <v>44</v>
      </c>
      <c r="F24" s="3">
        <v>72</v>
      </c>
      <c r="G24" s="3">
        <v>27</v>
      </c>
      <c r="H24" s="3">
        <f t="shared" si="293"/>
        <v>45</v>
      </c>
      <c r="I24" s="3">
        <f t="shared" si="259"/>
        <v>0</v>
      </c>
      <c r="J24" s="3">
        <v>12</v>
      </c>
      <c r="K24" s="3">
        <v>0</v>
      </c>
      <c r="L24" s="3">
        <v>0</v>
      </c>
      <c r="M24" s="3">
        <f t="shared" si="294"/>
        <v>45</v>
      </c>
      <c r="N24" s="3">
        <f t="shared" si="260"/>
        <v>12</v>
      </c>
      <c r="O24" s="3">
        <v>40</v>
      </c>
      <c r="P24" s="3">
        <v>40</v>
      </c>
      <c r="Q24" s="3">
        <v>41</v>
      </c>
      <c r="R24" s="3">
        <f t="shared" si="295"/>
        <v>44</v>
      </c>
      <c r="S24" s="3">
        <f t="shared" si="261"/>
        <v>12</v>
      </c>
      <c r="T24" s="3">
        <v>44</v>
      </c>
      <c r="U24" s="3">
        <v>56</v>
      </c>
      <c r="V24" s="3">
        <v>36</v>
      </c>
      <c r="W24" s="3">
        <f t="shared" si="296"/>
        <v>64</v>
      </c>
      <c r="X24" s="3">
        <f t="shared" si="262"/>
        <v>0</v>
      </c>
      <c r="Y24" s="3">
        <v>60</v>
      </c>
      <c r="Z24" s="3">
        <v>60</v>
      </c>
      <c r="AA24" s="3">
        <v>37</v>
      </c>
      <c r="AB24" s="3">
        <f t="shared" si="297"/>
        <v>87</v>
      </c>
      <c r="AC24" s="3">
        <f t="shared" si="263"/>
        <v>0</v>
      </c>
      <c r="AD24" s="3">
        <v>44</v>
      </c>
      <c r="AE24" s="3">
        <v>28</v>
      </c>
      <c r="AF24" s="3">
        <v>50</v>
      </c>
      <c r="AG24" s="3">
        <f t="shared" si="298"/>
        <v>65</v>
      </c>
      <c r="AH24" s="3">
        <f t="shared" si="264"/>
        <v>16</v>
      </c>
      <c r="AI24" s="3">
        <v>16</v>
      </c>
      <c r="AJ24" s="3">
        <v>16</v>
      </c>
      <c r="AK24" s="3">
        <v>24</v>
      </c>
      <c r="AL24" s="3">
        <f t="shared" si="299"/>
        <v>57</v>
      </c>
      <c r="AM24" s="3">
        <f t="shared" si="265"/>
        <v>16</v>
      </c>
      <c r="AN24" s="3">
        <v>21</v>
      </c>
      <c r="AO24" s="3">
        <v>16</v>
      </c>
      <c r="AP24" s="3">
        <v>14</v>
      </c>
      <c r="AQ24" s="3">
        <f t="shared" si="300"/>
        <v>59</v>
      </c>
      <c r="AR24" s="3">
        <f t="shared" si="266"/>
        <v>21</v>
      </c>
      <c r="AS24" s="3">
        <v>11</v>
      </c>
      <c r="AT24" s="3">
        <v>16</v>
      </c>
      <c r="AU24" s="3">
        <v>68</v>
      </c>
      <c r="AV24" s="3">
        <f t="shared" si="301"/>
        <v>7</v>
      </c>
      <c r="AW24" s="3">
        <f t="shared" si="267"/>
        <v>16</v>
      </c>
      <c r="AX24" s="3">
        <v>28</v>
      </c>
      <c r="AY24" s="3">
        <v>44</v>
      </c>
      <c r="AZ24" s="3">
        <v>21</v>
      </c>
      <c r="BA24" s="3">
        <f t="shared" si="302"/>
        <v>30</v>
      </c>
      <c r="BB24" s="3">
        <f t="shared" si="268"/>
        <v>0</v>
      </c>
      <c r="BC24" s="3">
        <v>40</v>
      </c>
      <c r="BD24" s="3">
        <v>28</v>
      </c>
      <c r="BE24" s="3">
        <v>30</v>
      </c>
      <c r="BF24" s="3">
        <f t="shared" si="303"/>
        <v>28</v>
      </c>
      <c r="BG24" s="3">
        <f t="shared" si="269"/>
        <v>12</v>
      </c>
      <c r="BH24" s="3">
        <v>60</v>
      </c>
      <c r="BI24" s="3">
        <v>60</v>
      </c>
      <c r="BJ24" s="3">
        <v>82</v>
      </c>
      <c r="BK24" s="3">
        <f t="shared" si="304"/>
        <v>6</v>
      </c>
      <c r="BL24" s="3">
        <f t="shared" si="270"/>
        <v>12</v>
      </c>
      <c r="BM24" s="3">
        <v>4</v>
      </c>
      <c r="BN24" s="3">
        <v>16</v>
      </c>
      <c r="BO24" s="3">
        <v>1</v>
      </c>
      <c r="BP24" s="3">
        <f t="shared" si="305"/>
        <v>21</v>
      </c>
      <c r="BQ24" s="3">
        <f t="shared" si="271"/>
        <v>0</v>
      </c>
      <c r="BR24" s="3">
        <v>84</v>
      </c>
      <c r="BS24" s="3">
        <v>64</v>
      </c>
      <c r="BT24" s="3">
        <v>70</v>
      </c>
      <c r="BU24" s="3">
        <f t="shared" si="306"/>
        <v>15</v>
      </c>
      <c r="BV24" s="3">
        <f t="shared" si="272"/>
        <v>20</v>
      </c>
      <c r="BW24" s="3">
        <v>31</v>
      </c>
      <c r="BX24" s="3">
        <v>39</v>
      </c>
      <c r="BY24" s="3">
        <v>44</v>
      </c>
      <c r="BZ24" s="3">
        <f t="shared" si="307"/>
        <v>10</v>
      </c>
      <c r="CA24" s="3">
        <f t="shared" si="273"/>
        <v>12</v>
      </c>
      <c r="CB24" s="3">
        <f>39+55</f>
        <v>94</v>
      </c>
      <c r="CC24" s="3">
        <v>67</v>
      </c>
      <c r="CD24" s="3">
        <v>40</v>
      </c>
      <c r="CE24" s="3">
        <f t="shared" si="308"/>
        <v>37</v>
      </c>
      <c r="CF24" s="3">
        <f t="shared" si="274"/>
        <v>39</v>
      </c>
      <c r="CG24" s="3">
        <v>41</v>
      </c>
      <c r="CH24" s="3">
        <v>68</v>
      </c>
      <c r="CI24" s="3">
        <v>101</v>
      </c>
      <c r="CJ24" s="3">
        <f t="shared" si="309"/>
        <v>4</v>
      </c>
      <c r="CK24" s="3">
        <f t="shared" si="275"/>
        <v>12</v>
      </c>
      <c r="CL24" s="3">
        <v>76</v>
      </c>
      <c r="CM24" s="3">
        <v>72</v>
      </c>
      <c r="CN24" s="3">
        <v>56</v>
      </c>
      <c r="CO24" s="3">
        <f t="shared" si="310"/>
        <v>20</v>
      </c>
      <c r="CP24" s="3">
        <f t="shared" si="276"/>
        <v>16</v>
      </c>
      <c r="CQ24" s="3">
        <v>48</v>
      </c>
      <c r="CR24" s="3">
        <v>64</v>
      </c>
      <c r="CS24" s="3">
        <v>16</v>
      </c>
      <c r="CT24" s="3">
        <f t="shared" si="311"/>
        <v>68</v>
      </c>
      <c r="CU24" s="3">
        <f t="shared" si="277"/>
        <v>0</v>
      </c>
      <c r="CV24" s="3">
        <v>44</v>
      </c>
      <c r="CW24" s="3">
        <v>40</v>
      </c>
      <c r="CX24" s="3">
        <v>65</v>
      </c>
      <c r="CY24" s="3">
        <f t="shared" si="312"/>
        <v>43</v>
      </c>
      <c r="CZ24" s="3">
        <f t="shared" si="278"/>
        <v>4</v>
      </c>
      <c r="DA24" s="3">
        <v>40</v>
      </c>
      <c r="DB24" s="3"/>
      <c r="DC24" s="3"/>
      <c r="DD24" s="3">
        <f t="shared" si="313"/>
        <v>43</v>
      </c>
      <c r="DE24" s="3">
        <f t="shared" si="279"/>
        <v>44</v>
      </c>
      <c r="DF24" s="3">
        <v>20</v>
      </c>
      <c r="DG24" s="3">
        <v>48</v>
      </c>
      <c r="DH24" s="3">
        <v>49</v>
      </c>
      <c r="DI24" s="3">
        <f t="shared" si="314"/>
        <v>42</v>
      </c>
      <c r="DJ24" s="3">
        <f t="shared" si="280"/>
        <v>16</v>
      </c>
      <c r="DK24" s="3"/>
      <c r="DL24" s="3">
        <v>12</v>
      </c>
      <c r="DM24" s="3">
        <v>36</v>
      </c>
      <c r="DN24" s="3">
        <f t="shared" si="315"/>
        <v>18</v>
      </c>
      <c r="DO24" s="3">
        <f t="shared" si="281"/>
        <v>4</v>
      </c>
      <c r="DP24" s="3"/>
      <c r="DQ24" s="3">
        <v>0</v>
      </c>
      <c r="DR24" s="3">
        <v>2</v>
      </c>
      <c r="DS24" s="3">
        <f t="shared" si="316"/>
        <v>16</v>
      </c>
      <c r="DT24" s="3">
        <f t="shared" si="282"/>
        <v>4</v>
      </c>
      <c r="DU24" s="3">
        <v>40</v>
      </c>
      <c r="DV24" s="3">
        <v>28</v>
      </c>
      <c r="DW24" s="3">
        <v>31</v>
      </c>
      <c r="DX24" s="3">
        <f t="shared" si="317"/>
        <v>13</v>
      </c>
      <c r="DY24" s="3">
        <f t="shared" si="283"/>
        <v>16</v>
      </c>
      <c r="DZ24" s="3">
        <v>71</v>
      </c>
      <c r="EA24" s="3">
        <v>77</v>
      </c>
      <c r="EB24" s="3">
        <v>62</v>
      </c>
      <c r="EC24" s="3">
        <f t="shared" si="318"/>
        <v>28</v>
      </c>
      <c r="ED24" s="3">
        <f t="shared" si="284"/>
        <v>10</v>
      </c>
      <c r="EE24" s="3">
        <v>18</v>
      </c>
      <c r="EF24" s="3">
        <v>28</v>
      </c>
      <c r="EG24" s="3">
        <v>14</v>
      </c>
      <c r="EH24" s="3">
        <f t="shared" si="319"/>
        <v>42</v>
      </c>
      <c r="EI24" s="3">
        <f t="shared" si="285"/>
        <v>0</v>
      </c>
      <c r="EJ24" s="3">
        <v>52</v>
      </c>
      <c r="EK24" s="3">
        <v>52</v>
      </c>
      <c r="EL24" s="3">
        <v>135</v>
      </c>
      <c r="EM24" s="3">
        <f t="shared" si="320"/>
        <v>-41</v>
      </c>
      <c r="EN24" s="3">
        <f t="shared" si="286"/>
        <v>0</v>
      </c>
      <c r="EO24" s="3">
        <v>60</v>
      </c>
      <c r="EP24" s="3"/>
      <c r="EQ24" s="3">
        <v>89</v>
      </c>
      <c r="ER24" s="3">
        <f t="shared" si="321"/>
        <v>-130</v>
      </c>
      <c r="ES24" s="3">
        <f t="shared" si="287"/>
        <v>60</v>
      </c>
      <c r="ET24" s="3">
        <v>60</v>
      </c>
      <c r="EU24" s="3"/>
      <c r="EV24" s="3">
        <v>89</v>
      </c>
      <c r="EW24" s="3">
        <f t="shared" si="322"/>
        <v>-219</v>
      </c>
      <c r="EX24" s="3">
        <f t="shared" si="288"/>
        <v>120</v>
      </c>
      <c r="EY24" s="3">
        <v>60</v>
      </c>
      <c r="EZ24" s="3"/>
      <c r="FA24" s="3">
        <v>89</v>
      </c>
      <c r="FB24" s="3">
        <f t="shared" si="323"/>
        <v>-308</v>
      </c>
      <c r="FC24" s="3">
        <f t="shared" si="289"/>
        <v>180</v>
      </c>
      <c r="FD24" s="3">
        <v>60</v>
      </c>
      <c r="FE24" s="3"/>
      <c r="FF24" s="3">
        <v>89</v>
      </c>
      <c r="FG24" s="3">
        <f t="shared" si="324"/>
        <v>-397</v>
      </c>
      <c r="FH24" s="3">
        <f t="shared" si="290"/>
        <v>240</v>
      </c>
      <c r="FI24" s="3">
        <v>60</v>
      </c>
      <c r="FJ24" s="3"/>
      <c r="FK24" s="3">
        <v>89</v>
      </c>
      <c r="FL24" s="3">
        <f t="shared" si="325"/>
        <v>-486</v>
      </c>
      <c r="FM24" s="3">
        <f t="shared" si="291"/>
        <v>300</v>
      </c>
      <c r="FN24" s="3">
        <v>60</v>
      </c>
      <c r="FO24" s="3"/>
      <c r="FP24" s="3">
        <v>89</v>
      </c>
      <c r="FQ24" s="3">
        <f t="shared" si="326"/>
        <v>-575</v>
      </c>
      <c r="FR24" s="3">
        <f t="shared" si="292"/>
        <v>360</v>
      </c>
      <c r="FS24" s="3">
        <v>60</v>
      </c>
      <c r="FT24" s="3"/>
      <c r="FU24" s="3">
        <v>89</v>
      </c>
    </row>
    <row r="25" spans="1:177" x14ac:dyDescent="0.35">
      <c r="A25" s="2" t="s">
        <v>12</v>
      </c>
      <c r="B25" s="2" t="s">
        <v>30</v>
      </c>
      <c r="C25" s="22">
        <v>30</v>
      </c>
      <c r="D25" s="3">
        <v>0</v>
      </c>
      <c r="E25" s="3"/>
      <c r="F25" s="3">
        <v>0</v>
      </c>
      <c r="G25" s="3">
        <v>0</v>
      </c>
      <c r="H25" s="3">
        <f t="shared" si="293"/>
        <v>30</v>
      </c>
      <c r="I25" s="3">
        <f t="shared" si="259"/>
        <v>0</v>
      </c>
      <c r="J25" s="3"/>
      <c r="K25" s="3">
        <v>0</v>
      </c>
      <c r="L25" s="3">
        <v>0</v>
      </c>
      <c r="M25" s="3">
        <f t="shared" si="294"/>
        <v>30</v>
      </c>
      <c r="N25" s="3">
        <f t="shared" si="260"/>
        <v>0</v>
      </c>
      <c r="O25" s="3">
        <v>0</v>
      </c>
      <c r="P25" s="3">
        <v>0</v>
      </c>
      <c r="Q25" s="3">
        <v>14</v>
      </c>
      <c r="R25" s="3">
        <f t="shared" si="295"/>
        <v>16</v>
      </c>
      <c r="S25" s="3">
        <f t="shared" si="261"/>
        <v>0</v>
      </c>
      <c r="T25" s="3">
        <v>24</v>
      </c>
      <c r="U25" s="3">
        <v>24</v>
      </c>
      <c r="V25" s="3">
        <v>8</v>
      </c>
      <c r="W25" s="3">
        <f t="shared" si="296"/>
        <v>32</v>
      </c>
      <c r="X25" s="3">
        <f t="shared" si="262"/>
        <v>0</v>
      </c>
      <c r="Y25" s="3">
        <v>12</v>
      </c>
      <c r="Z25" s="3">
        <v>0</v>
      </c>
      <c r="AA25" s="3">
        <v>5</v>
      </c>
      <c r="AB25" s="3">
        <f t="shared" si="297"/>
        <v>27</v>
      </c>
      <c r="AC25" s="3">
        <f t="shared" si="263"/>
        <v>12</v>
      </c>
      <c r="AD25" s="3">
        <v>12</v>
      </c>
      <c r="AE25" s="3">
        <v>24</v>
      </c>
      <c r="AF25" s="3">
        <v>7</v>
      </c>
      <c r="AG25" s="3">
        <f t="shared" si="298"/>
        <v>44</v>
      </c>
      <c r="AH25" s="3">
        <f t="shared" si="264"/>
        <v>0</v>
      </c>
      <c r="AI25" s="3">
        <v>15</v>
      </c>
      <c r="AJ25" s="3">
        <v>0</v>
      </c>
      <c r="AK25" s="3">
        <v>4</v>
      </c>
      <c r="AL25" s="3">
        <f t="shared" si="299"/>
        <v>40</v>
      </c>
      <c r="AM25" s="3">
        <f t="shared" si="265"/>
        <v>15</v>
      </c>
      <c r="AN25" s="3"/>
      <c r="AO25" s="3">
        <v>0</v>
      </c>
      <c r="AP25" s="3">
        <v>1</v>
      </c>
      <c r="AQ25" s="3">
        <f t="shared" si="300"/>
        <v>39</v>
      </c>
      <c r="AR25" s="3">
        <f t="shared" si="266"/>
        <v>15</v>
      </c>
      <c r="AS25" s="3"/>
      <c r="AT25" s="3">
        <v>0</v>
      </c>
      <c r="AU25" s="3">
        <v>4</v>
      </c>
      <c r="AV25" s="3">
        <f t="shared" si="301"/>
        <v>35</v>
      </c>
      <c r="AW25" s="3">
        <f t="shared" si="267"/>
        <v>15</v>
      </c>
      <c r="AX25" s="3"/>
      <c r="AY25" s="3">
        <v>0</v>
      </c>
      <c r="AZ25" s="3">
        <v>11</v>
      </c>
      <c r="BA25" s="3">
        <f t="shared" si="302"/>
        <v>24</v>
      </c>
      <c r="BB25" s="3">
        <f t="shared" si="268"/>
        <v>15</v>
      </c>
      <c r="BC25" s="3"/>
      <c r="BD25" s="3">
        <v>15</v>
      </c>
      <c r="BE25" s="3">
        <v>17</v>
      </c>
      <c r="BF25" s="3">
        <f t="shared" si="303"/>
        <v>22</v>
      </c>
      <c r="BG25" s="3">
        <f t="shared" si="269"/>
        <v>0</v>
      </c>
      <c r="BH25" s="3">
        <v>16</v>
      </c>
      <c r="BI25" s="3">
        <v>16</v>
      </c>
      <c r="BJ25" s="3">
        <v>14</v>
      </c>
      <c r="BK25" s="3">
        <f t="shared" si="304"/>
        <v>24</v>
      </c>
      <c r="BL25" s="3">
        <f t="shared" si="270"/>
        <v>0</v>
      </c>
      <c r="BM25" s="3">
        <v>28</v>
      </c>
      <c r="BN25" s="3">
        <v>28</v>
      </c>
      <c r="BO25" s="3">
        <v>4</v>
      </c>
      <c r="BP25" s="3">
        <f t="shared" si="305"/>
        <v>48</v>
      </c>
      <c r="BQ25" s="3">
        <f t="shared" si="271"/>
        <v>0</v>
      </c>
      <c r="BR25" s="3"/>
      <c r="BS25" s="3"/>
      <c r="BT25" s="3">
        <v>8</v>
      </c>
      <c r="BU25" s="3">
        <f t="shared" si="306"/>
        <v>40</v>
      </c>
      <c r="BV25" s="3">
        <f t="shared" si="272"/>
        <v>0</v>
      </c>
      <c r="BW25" s="3"/>
      <c r="BX25" s="3">
        <v>0</v>
      </c>
      <c r="BY25" s="3">
        <v>5</v>
      </c>
      <c r="BZ25" s="3">
        <v>10</v>
      </c>
      <c r="CA25" s="3">
        <f t="shared" si="273"/>
        <v>0</v>
      </c>
      <c r="CB25" s="3"/>
      <c r="CC25" s="3">
        <v>0</v>
      </c>
      <c r="CD25" s="3">
        <v>6</v>
      </c>
      <c r="CE25" s="3">
        <f t="shared" si="308"/>
        <v>4</v>
      </c>
      <c r="CF25" s="3">
        <f t="shared" si="274"/>
        <v>0</v>
      </c>
      <c r="CG25" s="3">
        <v>17</v>
      </c>
      <c r="CH25" s="3">
        <v>17</v>
      </c>
      <c r="CI25" s="3">
        <v>11</v>
      </c>
      <c r="CJ25" s="3">
        <f t="shared" si="309"/>
        <v>10</v>
      </c>
      <c r="CK25" s="3">
        <f t="shared" si="275"/>
        <v>0</v>
      </c>
      <c r="CL25" s="3">
        <v>12</v>
      </c>
      <c r="CM25" s="3">
        <v>12</v>
      </c>
      <c r="CN25" s="3">
        <v>8</v>
      </c>
      <c r="CO25" s="3">
        <f t="shared" si="310"/>
        <v>14</v>
      </c>
      <c r="CP25" s="3">
        <f t="shared" si="276"/>
        <v>0</v>
      </c>
      <c r="CQ25" s="3">
        <v>16</v>
      </c>
      <c r="CR25" s="3">
        <v>16</v>
      </c>
      <c r="CS25" s="3">
        <v>17</v>
      </c>
      <c r="CT25" s="3">
        <f t="shared" si="311"/>
        <v>13</v>
      </c>
      <c r="CU25" s="3">
        <f t="shared" si="277"/>
        <v>0</v>
      </c>
      <c r="CV25" s="3">
        <v>16</v>
      </c>
      <c r="CW25" s="3">
        <v>16</v>
      </c>
      <c r="CX25" s="3">
        <v>9</v>
      </c>
      <c r="CY25" s="3">
        <f t="shared" si="312"/>
        <v>20</v>
      </c>
      <c r="CZ25" s="3">
        <f t="shared" si="278"/>
        <v>0</v>
      </c>
      <c r="DA25" s="3"/>
      <c r="DB25" s="3"/>
      <c r="DC25" s="3"/>
      <c r="DD25" s="3">
        <f t="shared" si="313"/>
        <v>20</v>
      </c>
      <c r="DE25" s="3">
        <f t="shared" si="279"/>
        <v>0</v>
      </c>
      <c r="DF25" s="3">
        <v>16</v>
      </c>
      <c r="DG25" s="3">
        <v>16</v>
      </c>
      <c r="DH25" s="3">
        <v>7</v>
      </c>
      <c r="DI25" s="3">
        <f t="shared" si="314"/>
        <v>29</v>
      </c>
      <c r="DJ25" s="3">
        <f t="shared" si="280"/>
        <v>0</v>
      </c>
      <c r="DK25" s="3"/>
      <c r="DL25" s="3">
        <v>0</v>
      </c>
      <c r="DM25" s="3">
        <v>5</v>
      </c>
      <c r="DN25" s="3">
        <f t="shared" si="315"/>
        <v>24</v>
      </c>
      <c r="DO25" s="3">
        <f t="shared" si="281"/>
        <v>0</v>
      </c>
      <c r="DP25" s="3">
        <v>16</v>
      </c>
      <c r="DQ25" s="3">
        <v>0</v>
      </c>
      <c r="DR25" s="3">
        <v>2</v>
      </c>
      <c r="DS25" s="3">
        <f t="shared" si="316"/>
        <v>22</v>
      </c>
      <c r="DT25" s="3">
        <f t="shared" si="282"/>
        <v>16</v>
      </c>
      <c r="DU25" s="3"/>
      <c r="DV25" s="3">
        <v>0</v>
      </c>
      <c r="DW25" s="3">
        <v>7</v>
      </c>
      <c r="DX25" s="3">
        <f t="shared" si="317"/>
        <v>15</v>
      </c>
      <c r="DY25" s="3">
        <f t="shared" si="283"/>
        <v>16</v>
      </c>
      <c r="DZ25" s="3"/>
      <c r="EA25" s="3">
        <v>12</v>
      </c>
      <c r="EB25" s="3">
        <v>1</v>
      </c>
      <c r="EC25" s="3">
        <f t="shared" si="318"/>
        <v>26</v>
      </c>
      <c r="ED25" s="3">
        <f t="shared" si="284"/>
        <v>4</v>
      </c>
      <c r="EE25" s="3"/>
      <c r="EF25" s="3">
        <v>0</v>
      </c>
      <c r="EG25" s="3">
        <v>1</v>
      </c>
      <c r="EH25" s="3">
        <f t="shared" si="319"/>
        <v>25</v>
      </c>
      <c r="EI25" s="3">
        <f t="shared" si="285"/>
        <v>4</v>
      </c>
      <c r="EJ25" s="3"/>
      <c r="EK25" s="3">
        <v>0</v>
      </c>
      <c r="EL25" s="3">
        <v>16</v>
      </c>
      <c r="EM25" s="3">
        <f t="shared" si="320"/>
        <v>9</v>
      </c>
      <c r="EN25" s="3">
        <f t="shared" si="286"/>
        <v>4</v>
      </c>
      <c r="EO25" s="3"/>
      <c r="EP25" s="3"/>
      <c r="EQ25" s="3">
        <v>14</v>
      </c>
      <c r="ER25" s="3">
        <f t="shared" si="321"/>
        <v>-5</v>
      </c>
      <c r="ES25" s="3">
        <f t="shared" si="287"/>
        <v>4</v>
      </c>
      <c r="ET25" s="3"/>
      <c r="EU25" s="3"/>
      <c r="EV25" s="3">
        <v>14</v>
      </c>
      <c r="EW25" s="3">
        <f t="shared" si="322"/>
        <v>-19</v>
      </c>
      <c r="EX25" s="3">
        <f t="shared" si="288"/>
        <v>4</v>
      </c>
      <c r="EY25" s="3"/>
      <c r="EZ25" s="3"/>
      <c r="FA25" s="3">
        <v>14</v>
      </c>
      <c r="FB25" s="3">
        <f t="shared" si="323"/>
        <v>-33</v>
      </c>
      <c r="FC25" s="3">
        <f t="shared" si="289"/>
        <v>4</v>
      </c>
      <c r="FD25" s="3"/>
      <c r="FE25" s="3"/>
      <c r="FF25" s="3">
        <v>14</v>
      </c>
      <c r="FG25" s="3">
        <f t="shared" si="324"/>
        <v>-47</v>
      </c>
      <c r="FH25" s="3">
        <f t="shared" si="290"/>
        <v>4</v>
      </c>
      <c r="FI25" s="3"/>
      <c r="FJ25" s="3"/>
      <c r="FK25" s="3">
        <v>14</v>
      </c>
      <c r="FL25" s="3">
        <f t="shared" si="325"/>
        <v>-61</v>
      </c>
      <c r="FM25" s="3">
        <f t="shared" si="291"/>
        <v>4</v>
      </c>
      <c r="FN25" s="3"/>
      <c r="FO25" s="3"/>
      <c r="FP25" s="3">
        <v>14</v>
      </c>
      <c r="FQ25" s="3">
        <f t="shared" si="326"/>
        <v>-75</v>
      </c>
      <c r="FR25" s="3">
        <f t="shared" si="292"/>
        <v>4</v>
      </c>
      <c r="FS25" s="3"/>
      <c r="FT25" s="3"/>
      <c r="FU25" s="3">
        <v>14</v>
      </c>
    </row>
    <row r="26" spans="1:177" x14ac:dyDescent="0.35">
      <c r="A26" s="33" t="s">
        <v>68</v>
      </c>
      <c r="B26" s="33"/>
      <c r="C26" s="5">
        <f>SUM(C19:C25)</f>
        <v>175</v>
      </c>
      <c r="D26" s="5">
        <f t="shared" ref="D26:BO26" si="327">SUM(D19:D25)</f>
        <v>168</v>
      </c>
      <c r="E26" s="5">
        <f t="shared" si="327"/>
        <v>152</v>
      </c>
      <c r="F26" s="5">
        <f t="shared" si="327"/>
        <v>212</v>
      </c>
      <c r="G26" s="5">
        <f t="shared" si="327"/>
        <v>202</v>
      </c>
      <c r="H26" s="5">
        <f t="shared" si="327"/>
        <v>185</v>
      </c>
      <c r="I26" s="5">
        <f t="shared" si="327"/>
        <v>108</v>
      </c>
      <c r="J26" s="5">
        <f t="shared" si="327"/>
        <v>56</v>
      </c>
      <c r="K26" s="5">
        <f t="shared" si="327"/>
        <v>0</v>
      </c>
      <c r="L26" s="5">
        <f t="shared" si="327"/>
        <v>0</v>
      </c>
      <c r="M26" s="5">
        <f t="shared" si="327"/>
        <v>185</v>
      </c>
      <c r="N26" s="5">
        <f t="shared" si="327"/>
        <v>164</v>
      </c>
      <c r="O26" s="5">
        <f t="shared" si="327"/>
        <v>148</v>
      </c>
      <c r="P26" s="5">
        <f t="shared" si="327"/>
        <v>196</v>
      </c>
      <c r="Q26" s="5">
        <f t="shared" si="327"/>
        <v>154</v>
      </c>
      <c r="R26" s="5">
        <f t="shared" si="327"/>
        <v>227</v>
      </c>
      <c r="S26" s="5">
        <f t="shared" si="327"/>
        <v>116</v>
      </c>
      <c r="T26" s="5">
        <f t="shared" si="327"/>
        <v>132</v>
      </c>
      <c r="U26" s="5">
        <f t="shared" si="327"/>
        <v>172</v>
      </c>
      <c r="V26" s="5">
        <f t="shared" si="327"/>
        <v>89</v>
      </c>
      <c r="W26" s="5">
        <f t="shared" si="327"/>
        <v>310</v>
      </c>
      <c r="X26" s="5">
        <f t="shared" si="327"/>
        <v>76</v>
      </c>
      <c r="Y26" s="5">
        <f t="shared" si="327"/>
        <v>116</v>
      </c>
      <c r="Z26" s="5">
        <f t="shared" si="327"/>
        <v>120</v>
      </c>
      <c r="AA26" s="5">
        <f t="shared" si="327"/>
        <v>105</v>
      </c>
      <c r="AB26" s="5">
        <f t="shared" si="327"/>
        <v>325</v>
      </c>
      <c r="AC26" s="5">
        <f t="shared" si="327"/>
        <v>72</v>
      </c>
      <c r="AD26" s="5">
        <f t="shared" si="327"/>
        <v>120</v>
      </c>
      <c r="AE26" s="5">
        <f t="shared" si="327"/>
        <v>100</v>
      </c>
      <c r="AF26" s="5">
        <f t="shared" si="327"/>
        <v>95</v>
      </c>
      <c r="AG26" s="5">
        <f t="shared" si="327"/>
        <v>330</v>
      </c>
      <c r="AH26" s="5">
        <f t="shared" si="327"/>
        <v>92</v>
      </c>
      <c r="AI26" s="5">
        <f t="shared" si="327"/>
        <v>55</v>
      </c>
      <c r="AJ26" s="5">
        <f t="shared" si="327"/>
        <v>32</v>
      </c>
      <c r="AK26" s="5">
        <f t="shared" si="327"/>
        <v>125</v>
      </c>
      <c r="AL26" s="5">
        <f t="shared" si="327"/>
        <v>237</v>
      </c>
      <c r="AM26" s="5">
        <f t="shared" si="327"/>
        <v>115</v>
      </c>
      <c r="AN26" s="5">
        <f t="shared" si="327"/>
        <v>265</v>
      </c>
      <c r="AO26" s="5">
        <f t="shared" si="327"/>
        <v>220</v>
      </c>
      <c r="AP26" s="5">
        <f t="shared" si="327"/>
        <v>167</v>
      </c>
      <c r="AQ26" s="5">
        <f t="shared" si="327"/>
        <v>290</v>
      </c>
      <c r="AR26" s="5">
        <f t="shared" si="327"/>
        <v>160</v>
      </c>
      <c r="AS26" s="5">
        <f t="shared" si="327"/>
        <v>167</v>
      </c>
      <c r="AT26" s="5">
        <f t="shared" si="327"/>
        <v>196</v>
      </c>
      <c r="AU26" s="5">
        <f t="shared" si="327"/>
        <v>293</v>
      </c>
      <c r="AV26" s="5">
        <f t="shared" si="327"/>
        <v>193</v>
      </c>
      <c r="AW26" s="5">
        <f t="shared" si="327"/>
        <v>131</v>
      </c>
      <c r="AX26" s="5">
        <f t="shared" si="327"/>
        <v>158</v>
      </c>
      <c r="AY26" s="5">
        <f t="shared" si="327"/>
        <v>166</v>
      </c>
      <c r="AZ26" s="5">
        <f t="shared" si="327"/>
        <v>167</v>
      </c>
      <c r="BA26" s="5">
        <f t="shared" si="327"/>
        <v>192</v>
      </c>
      <c r="BB26" s="5">
        <f t="shared" si="327"/>
        <v>123</v>
      </c>
      <c r="BC26" s="5">
        <f t="shared" si="327"/>
        <v>196</v>
      </c>
      <c r="BD26" s="5">
        <f t="shared" si="327"/>
        <v>207</v>
      </c>
      <c r="BE26" s="5">
        <f t="shared" si="327"/>
        <v>168</v>
      </c>
      <c r="BF26" s="5">
        <f t="shared" si="327"/>
        <v>231</v>
      </c>
      <c r="BG26" s="5">
        <f t="shared" si="327"/>
        <v>112</v>
      </c>
      <c r="BH26" s="5">
        <f t="shared" si="327"/>
        <v>207</v>
      </c>
      <c r="BI26" s="5">
        <f t="shared" si="327"/>
        <v>195</v>
      </c>
      <c r="BJ26" s="5">
        <f t="shared" si="327"/>
        <v>232</v>
      </c>
      <c r="BK26" s="5">
        <f t="shared" si="327"/>
        <v>194</v>
      </c>
      <c r="BL26" s="5">
        <f t="shared" si="327"/>
        <v>124</v>
      </c>
      <c r="BM26" s="5">
        <f t="shared" si="327"/>
        <v>150</v>
      </c>
      <c r="BN26" s="5">
        <f t="shared" si="327"/>
        <v>206</v>
      </c>
      <c r="BO26" s="5">
        <f t="shared" si="327"/>
        <v>209</v>
      </c>
      <c r="BP26" s="5">
        <f t="shared" ref="BP26:CD26" si="328">SUM(BP19:BP25)</f>
        <v>191</v>
      </c>
      <c r="BQ26" s="5">
        <f t="shared" si="328"/>
        <v>68</v>
      </c>
      <c r="BR26" s="5">
        <f t="shared" si="328"/>
        <v>168</v>
      </c>
      <c r="BS26" s="5">
        <f t="shared" si="328"/>
        <v>124</v>
      </c>
      <c r="BT26" s="5">
        <f t="shared" si="328"/>
        <v>194</v>
      </c>
      <c r="BU26" s="5">
        <f t="shared" si="328"/>
        <v>121</v>
      </c>
      <c r="BV26" s="5">
        <f t="shared" si="328"/>
        <v>112</v>
      </c>
      <c r="BW26" s="5">
        <f t="shared" si="328"/>
        <v>155</v>
      </c>
      <c r="BX26" s="5">
        <f t="shared" si="328"/>
        <v>129</v>
      </c>
      <c r="BY26" s="5">
        <f t="shared" si="328"/>
        <v>147</v>
      </c>
      <c r="BZ26" s="5">
        <f t="shared" si="328"/>
        <v>78</v>
      </c>
      <c r="CA26" s="5">
        <f t="shared" si="328"/>
        <v>138</v>
      </c>
      <c r="CB26" s="5">
        <f t="shared" si="328"/>
        <v>202</v>
      </c>
      <c r="CC26" s="5">
        <f t="shared" si="328"/>
        <v>170</v>
      </c>
      <c r="CD26" s="5">
        <f t="shared" si="328"/>
        <v>117</v>
      </c>
      <c r="CE26" s="5">
        <f t="shared" ref="CE26" si="329">SUM(CE19:CE25)</f>
        <v>131</v>
      </c>
      <c r="CF26" s="5">
        <f t="shared" ref="CF26" si="330">SUM(CF19:CF25)</f>
        <v>170</v>
      </c>
      <c r="CG26" s="5">
        <f t="shared" ref="CG26" si="331">SUM(CG19:CG25)</f>
        <v>134</v>
      </c>
      <c r="CH26" s="5">
        <f t="shared" ref="CH26" si="332">SUM(CH19:CH25)</f>
        <v>198</v>
      </c>
      <c r="CI26" s="5">
        <f t="shared" ref="CI26" si="333">SUM(CI19:CI25)</f>
        <v>179</v>
      </c>
      <c r="CJ26" s="5">
        <f t="shared" ref="CJ26" si="334">SUM(CJ19:CJ25)</f>
        <v>150</v>
      </c>
      <c r="CK26" s="5">
        <f t="shared" ref="CK26" si="335">SUM(CK19:CK25)</f>
        <v>106</v>
      </c>
      <c r="CL26" s="5">
        <f t="shared" ref="CL26" si="336">SUM(CL19:CL25)</f>
        <v>186</v>
      </c>
      <c r="CM26" s="5">
        <f t="shared" ref="CM26" si="337">SUM(CM19:CM25)</f>
        <v>136</v>
      </c>
      <c r="CN26" s="5">
        <f t="shared" ref="CN26:CR26" si="338">SUM(CN19:CN25)</f>
        <v>126</v>
      </c>
      <c r="CO26" s="5">
        <f t="shared" si="338"/>
        <v>160</v>
      </c>
      <c r="CP26" s="5">
        <f t="shared" si="338"/>
        <v>156</v>
      </c>
      <c r="CQ26" s="5">
        <f t="shared" si="338"/>
        <v>148</v>
      </c>
      <c r="CR26" s="5">
        <f t="shared" si="338"/>
        <v>152</v>
      </c>
      <c r="CS26" s="5">
        <f t="shared" ref="CS26:CW26" si="339">SUM(CS19:CS25)</f>
        <v>103</v>
      </c>
      <c r="CT26" s="5">
        <f t="shared" si="339"/>
        <v>209</v>
      </c>
      <c r="CU26" s="5">
        <f t="shared" si="339"/>
        <v>152</v>
      </c>
      <c r="CV26" s="5">
        <f t="shared" si="339"/>
        <v>128</v>
      </c>
      <c r="CW26" s="5">
        <f t="shared" si="339"/>
        <v>176</v>
      </c>
      <c r="CX26" s="5">
        <f t="shared" ref="CX26:DB26" si="340">SUM(CX19:CX25)</f>
        <v>194</v>
      </c>
      <c r="CY26" s="5">
        <f t="shared" si="340"/>
        <v>191</v>
      </c>
      <c r="CZ26" s="5">
        <f t="shared" si="340"/>
        <v>104</v>
      </c>
      <c r="DA26" s="5">
        <f t="shared" si="340"/>
        <v>40</v>
      </c>
      <c r="DB26" s="5">
        <f t="shared" si="340"/>
        <v>0</v>
      </c>
      <c r="DC26" s="5">
        <f t="shared" ref="DC26:DG26" si="341">SUM(DC19:DC25)</f>
        <v>0</v>
      </c>
      <c r="DD26" s="5">
        <f t="shared" si="341"/>
        <v>191</v>
      </c>
      <c r="DE26" s="5">
        <f t="shared" si="341"/>
        <v>144</v>
      </c>
      <c r="DF26" s="5">
        <f t="shared" si="341"/>
        <v>192</v>
      </c>
      <c r="DG26" s="5">
        <f t="shared" si="341"/>
        <v>232</v>
      </c>
      <c r="DH26" s="5">
        <f t="shared" ref="DH26:DL26" si="342">SUM(DH19:DH25)</f>
        <v>188</v>
      </c>
      <c r="DI26" s="5">
        <f t="shared" si="342"/>
        <v>235</v>
      </c>
      <c r="DJ26" s="5">
        <f t="shared" si="342"/>
        <v>104</v>
      </c>
      <c r="DK26" s="5">
        <f t="shared" si="342"/>
        <v>112</v>
      </c>
      <c r="DL26" s="5">
        <f t="shared" si="342"/>
        <v>148</v>
      </c>
      <c r="DM26" s="5">
        <f t="shared" ref="DM26:DQ26" si="343">SUM(DM19:DM25)</f>
        <v>188</v>
      </c>
      <c r="DN26" s="6">
        <f t="shared" si="343"/>
        <v>195</v>
      </c>
      <c r="DO26" s="6">
        <f t="shared" si="343"/>
        <v>68</v>
      </c>
      <c r="DP26" s="6">
        <f t="shared" si="343"/>
        <v>160</v>
      </c>
      <c r="DQ26" s="6">
        <f t="shared" si="343"/>
        <v>124</v>
      </c>
      <c r="DR26" s="6">
        <f t="shared" ref="DR26:DV26" si="344">SUM(DR19:DR25)</f>
        <v>117</v>
      </c>
      <c r="DS26" s="5">
        <f t="shared" si="344"/>
        <v>202</v>
      </c>
      <c r="DT26" s="5">
        <f t="shared" si="344"/>
        <v>104</v>
      </c>
      <c r="DU26" s="5">
        <f t="shared" si="344"/>
        <v>120</v>
      </c>
      <c r="DV26" s="5">
        <f t="shared" si="344"/>
        <v>140</v>
      </c>
      <c r="DW26" s="5">
        <f t="shared" ref="DW26:EA26" si="345">SUM(DW19:DW25)</f>
        <v>207</v>
      </c>
      <c r="DX26" s="6">
        <f t="shared" si="345"/>
        <v>135</v>
      </c>
      <c r="DY26" s="6">
        <f t="shared" si="345"/>
        <v>84</v>
      </c>
      <c r="DZ26" s="6">
        <f t="shared" si="345"/>
        <v>131</v>
      </c>
      <c r="EA26" s="6">
        <f t="shared" si="345"/>
        <v>149</v>
      </c>
      <c r="EB26" s="6">
        <f t="shared" ref="EB26:EF26" si="346">SUM(EB19:EB25)</f>
        <v>116</v>
      </c>
      <c r="EC26" s="5">
        <f t="shared" si="346"/>
        <v>173</v>
      </c>
      <c r="ED26" s="5">
        <f t="shared" si="346"/>
        <v>66</v>
      </c>
      <c r="EE26" s="5">
        <f t="shared" si="346"/>
        <v>94</v>
      </c>
      <c r="EF26" s="5">
        <f t="shared" si="346"/>
        <v>76</v>
      </c>
      <c r="EG26" s="5">
        <f t="shared" ref="EG26:EK26" si="347">SUM(EG19:EG25)</f>
        <v>90</v>
      </c>
      <c r="EH26" s="6">
        <f t="shared" si="347"/>
        <v>159</v>
      </c>
      <c r="EI26" s="6">
        <f t="shared" si="347"/>
        <v>84</v>
      </c>
      <c r="EJ26" s="6">
        <f t="shared" si="347"/>
        <v>156</v>
      </c>
      <c r="EK26" s="6">
        <f t="shared" si="347"/>
        <v>184</v>
      </c>
      <c r="EL26" s="6">
        <f t="shared" ref="EL26:EP26" si="348">SUM(EL19:EL25)</f>
        <v>281</v>
      </c>
      <c r="EM26" s="5">
        <f t="shared" si="348"/>
        <v>62</v>
      </c>
      <c r="EN26" s="5">
        <f t="shared" si="348"/>
        <v>56</v>
      </c>
      <c r="EO26" s="5">
        <f t="shared" si="348"/>
        <v>92</v>
      </c>
      <c r="EP26" s="5">
        <f t="shared" si="348"/>
        <v>0</v>
      </c>
      <c r="EQ26" s="5">
        <f t="shared" ref="EQ26:EU26" si="349">SUM(EQ19:EQ25)</f>
        <v>298</v>
      </c>
      <c r="ER26" s="5">
        <f t="shared" si="349"/>
        <v>-236</v>
      </c>
      <c r="ES26" s="5">
        <f t="shared" si="349"/>
        <v>148</v>
      </c>
      <c r="ET26" s="5">
        <f t="shared" si="349"/>
        <v>92</v>
      </c>
      <c r="EU26" s="5">
        <f t="shared" si="349"/>
        <v>0</v>
      </c>
      <c r="EV26" s="5">
        <f t="shared" ref="EV26:EZ26" si="350">SUM(EV19:EV25)</f>
        <v>298</v>
      </c>
      <c r="EW26" s="5">
        <f t="shared" si="350"/>
        <v>-534</v>
      </c>
      <c r="EX26" s="5">
        <f t="shared" si="350"/>
        <v>240</v>
      </c>
      <c r="EY26" s="5">
        <f t="shared" si="350"/>
        <v>92</v>
      </c>
      <c r="EZ26" s="5">
        <f t="shared" si="350"/>
        <v>0</v>
      </c>
      <c r="FA26" s="5">
        <f t="shared" ref="FA26:FE26" si="351">SUM(FA19:FA25)</f>
        <v>298</v>
      </c>
      <c r="FB26" s="5">
        <f t="shared" si="351"/>
        <v>-832</v>
      </c>
      <c r="FC26" s="5">
        <f t="shared" si="351"/>
        <v>332</v>
      </c>
      <c r="FD26" s="5">
        <f t="shared" si="351"/>
        <v>92</v>
      </c>
      <c r="FE26" s="5">
        <f t="shared" si="351"/>
        <v>0</v>
      </c>
      <c r="FF26" s="5">
        <f t="shared" ref="FF26:FJ26" si="352">SUM(FF19:FF25)</f>
        <v>298</v>
      </c>
      <c r="FG26" s="5">
        <f t="shared" si="352"/>
        <v>-1130</v>
      </c>
      <c r="FH26" s="5">
        <f t="shared" si="352"/>
        <v>424</v>
      </c>
      <c r="FI26" s="5">
        <f t="shared" si="352"/>
        <v>92</v>
      </c>
      <c r="FJ26" s="5">
        <f t="shared" si="352"/>
        <v>0</v>
      </c>
      <c r="FK26" s="5">
        <f t="shared" ref="FK26:FO26" si="353">SUM(FK19:FK25)</f>
        <v>298</v>
      </c>
      <c r="FL26" s="5">
        <f t="shared" si="353"/>
        <v>-1428</v>
      </c>
      <c r="FM26" s="5">
        <f t="shared" si="353"/>
        <v>516</v>
      </c>
      <c r="FN26" s="5">
        <f t="shared" si="353"/>
        <v>92</v>
      </c>
      <c r="FO26" s="5">
        <f t="shared" si="353"/>
        <v>0</v>
      </c>
      <c r="FP26" s="5">
        <f t="shared" ref="FP26:FT26" si="354">SUM(FP19:FP25)</f>
        <v>298</v>
      </c>
      <c r="FQ26" s="5">
        <f t="shared" si="354"/>
        <v>-1726</v>
      </c>
      <c r="FR26" s="5">
        <f t="shared" si="354"/>
        <v>608</v>
      </c>
      <c r="FS26" s="5">
        <f t="shared" si="354"/>
        <v>92</v>
      </c>
      <c r="FT26" s="5">
        <f t="shared" si="354"/>
        <v>0</v>
      </c>
      <c r="FU26" s="5">
        <f t="shared" ref="FU26" si="355">SUM(FU19:FU25)</f>
        <v>298</v>
      </c>
    </row>
    <row r="27" spans="1:177" x14ac:dyDescent="0.35">
      <c r="A27" s="33" t="s">
        <v>39</v>
      </c>
      <c r="B27" s="33"/>
      <c r="C27" s="5">
        <f t="shared" ref="C27:AH27" si="356">C11+C16+C17+C26</f>
        <v>670</v>
      </c>
      <c r="D27" s="5">
        <f t="shared" si="356"/>
        <v>624</v>
      </c>
      <c r="E27" s="5">
        <f t="shared" si="356"/>
        <v>385</v>
      </c>
      <c r="F27" s="5">
        <f t="shared" si="356"/>
        <v>324</v>
      </c>
      <c r="G27" s="5">
        <f t="shared" si="356"/>
        <v>311</v>
      </c>
      <c r="H27" s="5">
        <f t="shared" si="356"/>
        <v>607</v>
      </c>
      <c r="I27" s="5">
        <f t="shared" si="356"/>
        <v>685</v>
      </c>
      <c r="J27" s="5">
        <f t="shared" si="356"/>
        <v>140</v>
      </c>
      <c r="K27" s="5">
        <f t="shared" si="356"/>
        <v>227</v>
      </c>
      <c r="L27" s="5">
        <f t="shared" si="356"/>
        <v>103</v>
      </c>
      <c r="M27" s="5">
        <f t="shared" si="356"/>
        <v>638</v>
      </c>
      <c r="N27" s="5">
        <f t="shared" si="356"/>
        <v>598</v>
      </c>
      <c r="O27" s="5">
        <f t="shared" si="356"/>
        <v>316</v>
      </c>
      <c r="P27" s="5">
        <f t="shared" si="356"/>
        <v>252</v>
      </c>
      <c r="Q27" s="5">
        <f t="shared" si="356"/>
        <v>208</v>
      </c>
      <c r="R27" s="5">
        <f t="shared" si="356"/>
        <v>682</v>
      </c>
      <c r="S27" s="5">
        <f t="shared" si="356"/>
        <v>662</v>
      </c>
      <c r="T27" s="5">
        <f t="shared" si="356"/>
        <v>328</v>
      </c>
      <c r="U27" s="5">
        <f t="shared" si="356"/>
        <v>242</v>
      </c>
      <c r="V27" s="5">
        <f t="shared" si="356"/>
        <v>199</v>
      </c>
      <c r="W27" s="5">
        <f t="shared" si="356"/>
        <v>643</v>
      </c>
      <c r="X27" s="5">
        <f t="shared" si="356"/>
        <v>748</v>
      </c>
      <c r="Y27" s="5">
        <f t="shared" si="356"/>
        <v>284</v>
      </c>
      <c r="Z27" s="5">
        <f t="shared" si="356"/>
        <v>312</v>
      </c>
      <c r="AA27" s="5">
        <f t="shared" si="356"/>
        <v>225</v>
      </c>
      <c r="AB27" s="5">
        <f t="shared" si="356"/>
        <v>730</v>
      </c>
      <c r="AC27" s="5">
        <f t="shared" si="356"/>
        <v>720</v>
      </c>
      <c r="AD27" s="5">
        <f t="shared" si="356"/>
        <v>345</v>
      </c>
      <c r="AE27" s="5">
        <f t="shared" si="356"/>
        <v>295</v>
      </c>
      <c r="AF27" s="5">
        <f t="shared" si="356"/>
        <v>242</v>
      </c>
      <c r="AG27" s="5">
        <f t="shared" si="356"/>
        <v>795</v>
      </c>
      <c r="AH27" s="5">
        <f t="shared" si="356"/>
        <v>756</v>
      </c>
      <c r="AI27" s="5">
        <f t="shared" ref="AI27:BN27" si="357">AI11+AI16+AI17+AI26</f>
        <v>284</v>
      </c>
      <c r="AJ27" s="5">
        <f t="shared" si="357"/>
        <v>228</v>
      </c>
      <c r="AK27" s="5">
        <f t="shared" si="357"/>
        <v>221</v>
      </c>
      <c r="AL27" s="5">
        <f t="shared" si="357"/>
        <v>802</v>
      </c>
      <c r="AM27" s="5">
        <f t="shared" si="357"/>
        <v>812</v>
      </c>
      <c r="AN27" s="5">
        <f t="shared" si="357"/>
        <v>349</v>
      </c>
      <c r="AO27" s="5">
        <f t="shared" si="357"/>
        <v>293</v>
      </c>
      <c r="AP27" s="5">
        <f t="shared" si="357"/>
        <v>350</v>
      </c>
      <c r="AQ27" s="5">
        <f t="shared" si="357"/>
        <v>745</v>
      </c>
      <c r="AR27" s="5">
        <f t="shared" si="357"/>
        <v>868</v>
      </c>
      <c r="AS27" s="5">
        <f t="shared" si="357"/>
        <v>280</v>
      </c>
      <c r="AT27" s="5">
        <f t="shared" si="357"/>
        <v>302</v>
      </c>
      <c r="AU27" s="5">
        <f t="shared" si="357"/>
        <v>336</v>
      </c>
      <c r="AV27" s="5">
        <f t="shared" si="357"/>
        <v>711</v>
      </c>
      <c r="AW27" s="5">
        <f t="shared" si="357"/>
        <v>816</v>
      </c>
      <c r="AX27" s="5">
        <f t="shared" si="357"/>
        <v>167</v>
      </c>
      <c r="AY27" s="5">
        <f t="shared" si="357"/>
        <v>284</v>
      </c>
      <c r="AZ27" s="5">
        <f t="shared" si="357"/>
        <v>273</v>
      </c>
      <c r="BA27" s="5">
        <f t="shared" si="357"/>
        <v>722</v>
      </c>
      <c r="BB27" s="5">
        <f t="shared" si="357"/>
        <v>699</v>
      </c>
      <c r="BC27" s="5">
        <f t="shared" si="357"/>
        <v>244</v>
      </c>
      <c r="BD27" s="5">
        <f t="shared" si="357"/>
        <v>284</v>
      </c>
      <c r="BE27" s="5">
        <f t="shared" si="357"/>
        <v>217</v>
      </c>
      <c r="BF27" s="5">
        <f t="shared" si="357"/>
        <v>789</v>
      </c>
      <c r="BG27" s="5">
        <f t="shared" si="357"/>
        <v>659</v>
      </c>
      <c r="BH27" s="5">
        <f t="shared" si="357"/>
        <v>238</v>
      </c>
      <c r="BI27" s="5">
        <f t="shared" si="357"/>
        <v>245</v>
      </c>
      <c r="BJ27" s="5">
        <f t="shared" si="357"/>
        <v>411</v>
      </c>
      <c r="BK27" s="5">
        <f t="shared" si="357"/>
        <v>623</v>
      </c>
      <c r="BL27" s="5">
        <f t="shared" si="357"/>
        <v>652</v>
      </c>
      <c r="BM27" s="5">
        <f t="shared" si="357"/>
        <v>418</v>
      </c>
      <c r="BN27" s="5">
        <f t="shared" si="357"/>
        <v>376</v>
      </c>
      <c r="BO27" s="5">
        <f t="shared" ref="BO27:CT27" si="358">BO11+BO16+BO17+BO26</f>
        <v>338</v>
      </c>
      <c r="BP27" s="5">
        <f t="shared" si="358"/>
        <v>661</v>
      </c>
      <c r="BQ27" s="5">
        <f t="shared" si="358"/>
        <v>694</v>
      </c>
      <c r="BR27" s="5">
        <f t="shared" si="358"/>
        <v>511</v>
      </c>
      <c r="BS27" s="5">
        <f t="shared" si="358"/>
        <v>408</v>
      </c>
      <c r="BT27" s="5">
        <f t="shared" si="358"/>
        <v>414</v>
      </c>
      <c r="BU27" s="5">
        <f t="shared" si="358"/>
        <v>655</v>
      </c>
      <c r="BV27" s="5">
        <f t="shared" si="358"/>
        <v>797</v>
      </c>
      <c r="BW27" s="5">
        <f t="shared" si="358"/>
        <v>394</v>
      </c>
      <c r="BX27" s="5">
        <f t="shared" si="358"/>
        <v>348</v>
      </c>
      <c r="BY27" s="5">
        <f t="shared" si="358"/>
        <v>339</v>
      </c>
      <c r="BZ27" s="5">
        <f t="shared" si="358"/>
        <v>639</v>
      </c>
      <c r="CA27" s="5">
        <f t="shared" si="358"/>
        <v>843</v>
      </c>
      <c r="CB27" s="5">
        <f t="shared" si="358"/>
        <v>488</v>
      </c>
      <c r="CC27" s="5">
        <f t="shared" si="358"/>
        <v>509</v>
      </c>
      <c r="CD27" s="5">
        <f t="shared" si="358"/>
        <v>376</v>
      </c>
      <c r="CE27" s="5">
        <f t="shared" si="358"/>
        <v>717</v>
      </c>
      <c r="CF27" s="5">
        <f t="shared" si="358"/>
        <v>822</v>
      </c>
      <c r="CG27" s="5">
        <f t="shared" si="358"/>
        <v>328</v>
      </c>
      <c r="CH27" s="5">
        <f t="shared" si="358"/>
        <v>403</v>
      </c>
      <c r="CI27" s="5">
        <f t="shared" si="358"/>
        <v>424</v>
      </c>
      <c r="CJ27" s="5">
        <f t="shared" si="358"/>
        <v>738</v>
      </c>
      <c r="CK27" s="5">
        <f t="shared" si="358"/>
        <v>747</v>
      </c>
      <c r="CL27" s="5">
        <f t="shared" si="358"/>
        <v>435</v>
      </c>
      <c r="CM27" s="5">
        <f t="shared" si="358"/>
        <v>450</v>
      </c>
      <c r="CN27" s="5">
        <f t="shared" si="358"/>
        <v>460</v>
      </c>
      <c r="CO27" s="5">
        <f t="shared" si="358"/>
        <v>631</v>
      </c>
      <c r="CP27" s="5">
        <f t="shared" si="358"/>
        <v>732</v>
      </c>
      <c r="CQ27" s="5">
        <f t="shared" si="358"/>
        <v>522</v>
      </c>
      <c r="CR27" s="5">
        <f t="shared" si="358"/>
        <v>398</v>
      </c>
      <c r="CS27" s="5">
        <f t="shared" si="358"/>
        <v>351</v>
      </c>
      <c r="CT27" s="5">
        <f t="shared" si="358"/>
        <v>678</v>
      </c>
      <c r="CU27" s="5">
        <f t="shared" ref="CU27:DC27" si="359">CU11+CU16+CU17+CU26</f>
        <v>856</v>
      </c>
      <c r="CV27" s="5">
        <f t="shared" si="359"/>
        <v>392</v>
      </c>
      <c r="CW27" s="5">
        <f t="shared" si="359"/>
        <v>491</v>
      </c>
      <c r="CX27" s="5">
        <f t="shared" si="359"/>
        <v>519</v>
      </c>
      <c r="CY27" s="5">
        <f t="shared" si="359"/>
        <v>650</v>
      </c>
      <c r="CZ27" s="5">
        <f t="shared" si="359"/>
        <v>757</v>
      </c>
      <c r="DA27" s="5">
        <f t="shared" si="359"/>
        <v>116</v>
      </c>
      <c r="DB27" s="5">
        <f t="shared" si="359"/>
        <v>0</v>
      </c>
      <c r="DC27" s="5">
        <f t="shared" si="359"/>
        <v>0</v>
      </c>
      <c r="DD27" s="5">
        <f t="shared" ref="DD27" si="360">DD11+DD16+DD17+DD26</f>
        <v>650</v>
      </c>
      <c r="DE27" s="5">
        <f t="shared" ref="DE27" si="361">DE11+DE16+DE17+DE26</f>
        <v>873</v>
      </c>
      <c r="DF27" s="5">
        <f t="shared" ref="DF27" si="362">DF11+DF16+DF17+DF26</f>
        <v>354</v>
      </c>
      <c r="DG27" s="5">
        <f t="shared" ref="DG27" si="363">DG11+DG16+DG17+DG26</f>
        <v>565</v>
      </c>
      <c r="DH27" s="5">
        <f t="shared" ref="DH27" si="364">DH11+DH16+DH17+DH26</f>
        <v>472</v>
      </c>
      <c r="DI27" s="5">
        <f t="shared" ref="DI27" si="365">DI11+DI16+DI17+DI26</f>
        <v>743</v>
      </c>
      <c r="DJ27" s="5">
        <f t="shared" ref="DJ27" si="366">DJ11+DJ16+DJ17+DJ26</f>
        <v>662</v>
      </c>
      <c r="DK27" s="5">
        <f t="shared" ref="DK27" si="367">DK11+DK16+DK17+DK26</f>
        <v>353</v>
      </c>
      <c r="DL27" s="5">
        <f t="shared" ref="DL27" si="368">DL11+DL16+DL17+DL26</f>
        <v>373</v>
      </c>
      <c r="DM27" s="5">
        <f t="shared" ref="DM27:DQ27" si="369">DM11+DM16+DM17+DM26</f>
        <v>436</v>
      </c>
      <c r="DN27" s="6">
        <f t="shared" si="369"/>
        <v>680</v>
      </c>
      <c r="DO27" s="6">
        <f t="shared" si="369"/>
        <v>642</v>
      </c>
      <c r="DP27" s="6">
        <f t="shared" si="369"/>
        <v>494</v>
      </c>
      <c r="DQ27" s="6">
        <f t="shared" si="369"/>
        <v>414</v>
      </c>
      <c r="DR27" s="6">
        <f t="shared" ref="DR27:DV27" si="370">DR11+DR16+DR17+DR26</f>
        <v>347</v>
      </c>
      <c r="DS27" s="5">
        <f t="shared" si="370"/>
        <v>632</v>
      </c>
      <c r="DT27" s="5">
        <f t="shared" si="370"/>
        <v>722</v>
      </c>
      <c r="DU27" s="5">
        <f t="shared" si="370"/>
        <v>482</v>
      </c>
      <c r="DV27" s="5">
        <f t="shared" si="370"/>
        <v>602</v>
      </c>
      <c r="DW27" s="5">
        <f t="shared" ref="DW27:EA27" si="371">DW11+DW16+DW17+DW26</f>
        <v>668</v>
      </c>
      <c r="DX27" s="6">
        <f t="shared" si="371"/>
        <v>566</v>
      </c>
      <c r="DY27" s="6">
        <f t="shared" si="371"/>
        <v>602</v>
      </c>
      <c r="DZ27" s="6">
        <f t="shared" si="371"/>
        <v>642</v>
      </c>
      <c r="EA27" s="6">
        <f t="shared" si="371"/>
        <v>590</v>
      </c>
      <c r="EB27" s="6">
        <f t="shared" ref="EB27:EF27" si="372">EB11+EB16+EB17+EB26</f>
        <v>570</v>
      </c>
      <c r="EC27" s="5">
        <f t="shared" si="372"/>
        <v>591</v>
      </c>
      <c r="ED27" s="5">
        <f t="shared" si="372"/>
        <v>654</v>
      </c>
      <c r="EE27" s="5">
        <f t="shared" si="372"/>
        <v>481</v>
      </c>
      <c r="EF27" s="5">
        <f t="shared" si="372"/>
        <v>507</v>
      </c>
      <c r="EG27" s="5">
        <f t="shared" ref="EG27:EK27" si="373">EG11+EG16+EG17+EG26</f>
        <v>554</v>
      </c>
      <c r="EH27" s="6">
        <f t="shared" si="373"/>
        <v>544</v>
      </c>
      <c r="EI27" s="6">
        <f t="shared" si="373"/>
        <v>628</v>
      </c>
      <c r="EJ27" s="6">
        <f t="shared" si="373"/>
        <v>454</v>
      </c>
      <c r="EK27" s="6">
        <f t="shared" si="373"/>
        <v>445</v>
      </c>
      <c r="EL27" s="6">
        <f t="shared" ref="EL27:EP27" si="374">EL11+EL16+EL17+EL26</f>
        <v>522</v>
      </c>
      <c r="EM27" s="5">
        <f t="shared" si="374"/>
        <v>467</v>
      </c>
      <c r="EN27" s="5">
        <f t="shared" si="374"/>
        <v>637</v>
      </c>
      <c r="EO27" s="5">
        <f t="shared" si="374"/>
        <v>173</v>
      </c>
      <c r="EP27" s="5">
        <f t="shared" si="374"/>
        <v>31</v>
      </c>
      <c r="EQ27" s="5">
        <f t="shared" ref="EQ27:EU27" si="375">EQ11+EQ16+EQ17+EQ26</f>
        <v>762</v>
      </c>
      <c r="ER27" s="5">
        <f t="shared" si="375"/>
        <v>-264</v>
      </c>
      <c r="ES27" s="5">
        <f t="shared" si="375"/>
        <v>779</v>
      </c>
      <c r="ET27" s="5">
        <f t="shared" si="375"/>
        <v>173</v>
      </c>
      <c r="EU27" s="5">
        <f t="shared" si="375"/>
        <v>31</v>
      </c>
      <c r="EV27" s="5">
        <f t="shared" ref="EV27:EZ27" si="376">EV11+EV16+EV17+EV26</f>
        <v>762</v>
      </c>
      <c r="EW27" s="5">
        <f t="shared" si="376"/>
        <v>-995</v>
      </c>
      <c r="EX27" s="5">
        <f t="shared" si="376"/>
        <v>921</v>
      </c>
      <c r="EY27" s="5">
        <f t="shared" si="376"/>
        <v>173</v>
      </c>
      <c r="EZ27" s="5">
        <f t="shared" si="376"/>
        <v>31</v>
      </c>
      <c r="FA27" s="5">
        <f t="shared" ref="FA27:FE27" si="377">FA11+FA16+FA17+FA26</f>
        <v>762</v>
      </c>
      <c r="FB27" s="5">
        <f t="shared" si="377"/>
        <v>-1726</v>
      </c>
      <c r="FC27" s="5">
        <f t="shared" si="377"/>
        <v>1063</v>
      </c>
      <c r="FD27" s="5">
        <f t="shared" si="377"/>
        <v>173</v>
      </c>
      <c r="FE27" s="5">
        <f t="shared" si="377"/>
        <v>31</v>
      </c>
      <c r="FF27" s="5">
        <f t="shared" ref="FF27:FJ27" si="378">FF11+FF16+FF17+FF26</f>
        <v>762</v>
      </c>
      <c r="FG27" s="5">
        <f t="shared" si="378"/>
        <v>-2457</v>
      </c>
      <c r="FH27" s="5">
        <f t="shared" si="378"/>
        <v>1205</v>
      </c>
      <c r="FI27" s="5">
        <f t="shared" si="378"/>
        <v>173</v>
      </c>
      <c r="FJ27" s="5">
        <f t="shared" si="378"/>
        <v>31</v>
      </c>
      <c r="FK27" s="5">
        <f t="shared" ref="FK27:FO27" si="379">FK11+FK16+FK17+FK26</f>
        <v>762</v>
      </c>
      <c r="FL27" s="5">
        <f t="shared" si="379"/>
        <v>-3188</v>
      </c>
      <c r="FM27" s="5">
        <f t="shared" si="379"/>
        <v>1347</v>
      </c>
      <c r="FN27" s="5">
        <f t="shared" si="379"/>
        <v>173</v>
      </c>
      <c r="FO27" s="5">
        <f t="shared" si="379"/>
        <v>31</v>
      </c>
      <c r="FP27" s="5">
        <f t="shared" ref="FP27:FT27" si="380">FP11+FP16+FP17+FP26</f>
        <v>762</v>
      </c>
      <c r="FQ27" s="5">
        <f t="shared" si="380"/>
        <v>-3919</v>
      </c>
      <c r="FR27" s="5">
        <f t="shared" si="380"/>
        <v>1489</v>
      </c>
      <c r="FS27" s="5">
        <f t="shared" si="380"/>
        <v>173</v>
      </c>
      <c r="FT27" s="5">
        <f t="shared" si="380"/>
        <v>31</v>
      </c>
      <c r="FU27" s="5">
        <f t="shared" ref="FU27" si="381">FU11+FU16+FU17+FU26</f>
        <v>762</v>
      </c>
    </row>
    <row r="28" spans="1:177" x14ac:dyDescent="0.35">
      <c r="A28" s="25"/>
      <c r="B28" s="25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  <c r="CK28" s="26"/>
      <c r="CL28" s="26"/>
      <c r="CM28" s="26"/>
      <c r="CN28" s="26"/>
      <c r="CO28" s="26"/>
      <c r="CP28" s="26"/>
      <c r="CQ28" s="26"/>
      <c r="CR28" s="26"/>
      <c r="CS28" s="26"/>
      <c r="CT28" s="26"/>
      <c r="CU28" s="26"/>
      <c r="CV28" s="26"/>
      <c r="CW28" s="26"/>
      <c r="CX28" s="26"/>
      <c r="CY28" s="26"/>
      <c r="CZ28" s="26"/>
      <c r="DA28" s="26"/>
      <c r="DB28" s="26"/>
      <c r="DC28" s="26"/>
      <c r="DD28" s="26"/>
      <c r="DE28" s="26"/>
      <c r="DF28" s="26"/>
      <c r="DG28" s="26"/>
      <c r="DH28" s="26"/>
      <c r="DI28" s="26"/>
      <c r="DJ28" s="26"/>
      <c r="DK28" s="26"/>
      <c r="DL28" s="26"/>
      <c r="DM28" s="26"/>
      <c r="DN28" s="26"/>
      <c r="DO28" s="26"/>
      <c r="DP28" s="26"/>
      <c r="DQ28" s="26"/>
      <c r="DR28" s="26"/>
      <c r="DS28" s="26"/>
      <c r="DT28" s="26"/>
      <c r="DU28" s="26"/>
      <c r="DV28" s="26"/>
      <c r="DW28" s="26"/>
      <c r="DX28" s="26"/>
      <c r="DY28" s="26"/>
      <c r="DZ28" s="26"/>
      <c r="EA28" s="26"/>
      <c r="EB28" s="26"/>
      <c r="EC28" s="26"/>
      <c r="ED28" s="26"/>
      <c r="EE28" s="26"/>
      <c r="EF28" s="26"/>
      <c r="EG28" s="26"/>
      <c r="EH28" s="26"/>
      <c r="EI28" s="26"/>
      <c r="EJ28" s="26"/>
      <c r="EK28" s="26"/>
      <c r="EL28" s="26"/>
      <c r="EM28" s="26"/>
      <c r="EN28" s="26"/>
      <c r="EO28" s="26"/>
      <c r="EP28" s="26"/>
      <c r="EQ28" s="26"/>
      <c r="ER28" s="26"/>
      <c r="ES28" s="26"/>
      <c r="ET28" s="26"/>
      <c r="EU28" s="26"/>
      <c r="EV28" s="26"/>
      <c r="EW28" s="26"/>
      <c r="EX28" s="26"/>
      <c r="EY28" s="26"/>
      <c r="EZ28" s="26"/>
      <c r="FA28" s="26"/>
      <c r="FB28" s="26"/>
      <c r="FC28" s="26"/>
      <c r="FD28" s="26"/>
      <c r="FE28" s="26"/>
      <c r="FF28" s="26"/>
      <c r="FG28" s="26"/>
      <c r="FH28" s="26"/>
      <c r="FI28" s="26"/>
      <c r="FJ28" s="26"/>
      <c r="FK28" s="26"/>
      <c r="FL28" s="26"/>
      <c r="FM28" s="26"/>
      <c r="FN28" s="26"/>
      <c r="FO28" s="26"/>
      <c r="FP28" s="26"/>
      <c r="FQ28" s="26"/>
      <c r="FR28" s="26"/>
      <c r="FS28" s="26"/>
      <c r="FT28" s="26"/>
      <c r="FU28" s="26"/>
    </row>
    <row r="29" spans="1:177" s="1" customFormat="1" ht="43.5" x14ac:dyDescent="0.35">
      <c r="A29" s="4" t="s">
        <v>21</v>
      </c>
      <c r="B29" s="4" t="s">
        <v>22</v>
      </c>
      <c r="C29" s="5" t="s">
        <v>46</v>
      </c>
      <c r="D29" s="5" t="s">
        <v>47</v>
      </c>
      <c r="E29" s="5" t="s">
        <v>48</v>
      </c>
      <c r="F29" s="5" t="s">
        <v>49</v>
      </c>
      <c r="G29" s="5" t="s">
        <v>50</v>
      </c>
      <c r="H29" s="6" t="s">
        <v>46</v>
      </c>
      <c r="I29" s="6" t="s">
        <v>47</v>
      </c>
      <c r="J29" s="6" t="s">
        <v>48</v>
      </c>
      <c r="K29" s="6" t="s">
        <v>49</v>
      </c>
      <c r="L29" s="6" t="s">
        <v>50</v>
      </c>
      <c r="M29" s="5" t="s">
        <v>46</v>
      </c>
      <c r="N29" s="5" t="s">
        <v>47</v>
      </c>
      <c r="O29" s="5" t="s">
        <v>48</v>
      </c>
      <c r="P29" s="5" t="s">
        <v>49</v>
      </c>
      <c r="Q29" s="5" t="s">
        <v>50</v>
      </c>
      <c r="R29" s="6" t="s">
        <v>46</v>
      </c>
      <c r="S29" s="6" t="s">
        <v>47</v>
      </c>
      <c r="T29" s="6" t="s">
        <v>48</v>
      </c>
      <c r="U29" s="6" t="s">
        <v>49</v>
      </c>
      <c r="V29" s="6" t="s">
        <v>50</v>
      </c>
      <c r="W29" s="5" t="s">
        <v>46</v>
      </c>
      <c r="X29" s="5" t="s">
        <v>47</v>
      </c>
      <c r="Y29" s="5" t="s">
        <v>48</v>
      </c>
      <c r="Z29" s="5" t="s">
        <v>49</v>
      </c>
      <c r="AA29" s="5" t="s">
        <v>50</v>
      </c>
      <c r="AB29" s="6" t="s">
        <v>46</v>
      </c>
      <c r="AC29" s="6" t="s">
        <v>47</v>
      </c>
      <c r="AD29" s="6" t="s">
        <v>48</v>
      </c>
      <c r="AE29" s="6" t="s">
        <v>49</v>
      </c>
      <c r="AF29" s="6" t="s">
        <v>50</v>
      </c>
      <c r="AG29" s="5" t="s">
        <v>46</v>
      </c>
      <c r="AH29" s="5" t="s">
        <v>47</v>
      </c>
      <c r="AI29" s="5" t="s">
        <v>48</v>
      </c>
      <c r="AJ29" s="5" t="s">
        <v>49</v>
      </c>
      <c r="AK29" s="5" t="s">
        <v>50</v>
      </c>
      <c r="AL29" s="6" t="s">
        <v>46</v>
      </c>
      <c r="AM29" s="6" t="s">
        <v>47</v>
      </c>
      <c r="AN29" s="6" t="s">
        <v>48</v>
      </c>
      <c r="AO29" s="6" t="s">
        <v>49</v>
      </c>
      <c r="AP29" s="6" t="s">
        <v>50</v>
      </c>
      <c r="AQ29" s="5" t="s">
        <v>46</v>
      </c>
      <c r="AR29" s="5" t="s">
        <v>47</v>
      </c>
      <c r="AS29" s="5" t="s">
        <v>48</v>
      </c>
      <c r="AT29" s="5" t="s">
        <v>49</v>
      </c>
      <c r="AU29" s="5" t="s">
        <v>50</v>
      </c>
      <c r="AV29" s="6" t="s">
        <v>46</v>
      </c>
      <c r="AW29" s="6" t="s">
        <v>47</v>
      </c>
      <c r="AX29" s="6" t="s">
        <v>48</v>
      </c>
      <c r="AY29" s="6" t="s">
        <v>49</v>
      </c>
      <c r="AZ29" s="6" t="s">
        <v>50</v>
      </c>
      <c r="BA29" s="5" t="s">
        <v>46</v>
      </c>
      <c r="BB29" s="5" t="s">
        <v>47</v>
      </c>
      <c r="BC29" s="5" t="s">
        <v>48</v>
      </c>
      <c r="BD29" s="5" t="s">
        <v>49</v>
      </c>
      <c r="BE29" s="5" t="s">
        <v>50</v>
      </c>
      <c r="BF29" s="6" t="s">
        <v>46</v>
      </c>
      <c r="BG29" s="6" t="s">
        <v>47</v>
      </c>
      <c r="BH29" s="6" t="s">
        <v>48</v>
      </c>
      <c r="BI29" s="6" t="s">
        <v>49</v>
      </c>
      <c r="BJ29" s="6" t="s">
        <v>50</v>
      </c>
      <c r="BK29" s="5" t="s">
        <v>46</v>
      </c>
      <c r="BL29" s="5" t="s">
        <v>47</v>
      </c>
      <c r="BM29" s="5" t="s">
        <v>48</v>
      </c>
      <c r="BN29" s="5" t="s">
        <v>49</v>
      </c>
      <c r="BO29" s="5" t="s">
        <v>50</v>
      </c>
      <c r="BP29" s="6" t="s">
        <v>46</v>
      </c>
      <c r="BQ29" s="6" t="s">
        <v>47</v>
      </c>
      <c r="BR29" s="6" t="s">
        <v>48</v>
      </c>
      <c r="BS29" s="6" t="s">
        <v>49</v>
      </c>
      <c r="BT29" s="6" t="s">
        <v>50</v>
      </c>
      <c r="BU29" s="5" t="s">
        <v>46</v>
      </c>
      <c r="BV29" s="5" t="s">
        <v>47</v>
      </c>
      <c r="BW29" s="5" t="s">
        <v>48</v>
      </c>
      <c r="BX29" s="5" t="s">
        <v>49</v>
      </c>
      <c r="BY29" s="5" t="s">
        <v>50</v>
      </c>
      <c r="BZ29" s="6" t="s">
        <v>46</v>
      </c>
      <c r="CA29" s="6" t="s">
        <v>47</v>
      </c>
      <c r="CB29" s="6" t="s">
        <v>48</v>
      </c>
      <c r="CC29" s="6" t="s">
        <v>49</v>
      </c>
      <c r="CD29" s="6" t="s">
        <v>50</v>
      </c>
      <c r="CE29" s="5" t="s">
        <v>46</v>
      </c>
      <c r="CF29" s="5" t="s">
        <v>47</v>
      </c>
      <c r="CG29" s="5" t="s">
        <v>48</v>
      </c>
      <c r="CH29" s="5" t="s">
        <v>49</v>
      </c>
      <c r="CI29" s="5" t="s">
        <v>50</v>
      </c>
      <c r="CJ29" s="6" t="s">
        <v>46</v>
      </c>
      <c r="CK29" s="6" t="s">
        <v>47</v>
      </c>
      <c r="CL29" s="6" t="s">
        <v>48</v>
      </c>
      <c r="CM29" s="6" t="s">
        <v>49</v>
      </c>
      <c r="CN29" s="6" t="s">
        <v>50</v>
      </c>
      <c r="CO29" s="6" t="s">
        <v>46</v>
      </c>
      <c r="CP29" s="6" t="s">
        <v>47</v>
      </c>
      <c r="CQ29" s="6" t="s">
        <v>48</v>
      </c>
      <c r="CR29" s="6" t="s">
        <v>49</v>
      </c>
      <c r="CS29" s="6" t="s">
        <v>50</v>
      </c>
      <c r="CT29" s="6" t="s">
        <v>46</v>
      </c>
      <c r="CU29" s="6" t="s">
        <v>47</v>
      </c>
      <c r="CV29" s="6" t="s">
        <v>48</v>
      </c>
      <c r="CW29" s="6" t="s">
        <v>49</v>
      </c>
      <c r="CX29" s="6" t="s">
        <v>50</v>
      </c>
      <c r="CY29" s="6" t="s">
        <v>46</v>
      </c>
      <c r="CZ29" s="6" t="s">
        <v>47</v>
      </c>
      <c r="DA29" s="6" t="s">
        <v>48</v>
      </c>
      <c r="DB29" s="6" t="s">
        <v>49</v>
      </c>
      <c r="DC29" s="6" t="s">
        <v>50</v>
      </c>
      <c r="DD29" s="6" t="s">
        <v>46</v>
      </c>
      <c r="DE29" s="6" t="s">
        <v>47</v>
      </c>
      <c r="DF29" s="6" t="s">
        <v>48</v>
      </c>
      <c r="DG29" s="6" t="s">
        <v>49</v>
      </c>
      <c r="DH29" s="6" t="s">
        <v>50</v>
      </c>
      <c r="DI29" s="6" t="s">
        <v>46</v>
      </c>
      <c r="DJ29" s="6" t="s">
        <v>47</v>
      </c>
      <c r="DK29" s="6" t="s">
        <v>48</v>
      </c>
      <c r="DL29" s="6" t="s">
        <v>49</v>
      </c>
      <c r="DM29" s="6" t="s">
        <v>50</v>
      </c>
      <c r="DN29" s="6" t="s">
        <v>46</v>
      </c>
      <c r="DO29" s="6" t="s">
        <v>47</v>
      </c>
      <c r="DP29" s="6" t="s">
        <v>48</v>
      </c>
      <c r="DQ29" s="6" t="s">
        <v>49</v>
      </c>
      <c r="DR29" s="6" t="s">
        <v>50</v>
      </c>
      <c r="DS29" s="6" t="s">
        <v>46</v>
      </c>
      <c r="DT29" s="6" t="s">
        <v>47</v>
      </c>
      <c r="DU29" s="6" t="s">
        <v>48</v>
      </c>
      <c r="DV29" s="6" t="s">
        <v>49</v>
      </c>
      <c r="DW29" s="6" t="s">
        <v>50</v>
      </c>
      <c r="DX29" s="6" t="s">
        <v>46</v>
      </c>
      <c r="DY29" s="6" t="s">
        <v>47</v>
      </c>
      <c r="DZ29" s="6" t="s">
        <v>48</v>
      </c>
      <c r="EA29" s="6" t="s">
        <v>49</v>
      </c>
      <c r="EB29" s="6" t="s">
        <v>50</v>
      </c>
      <c r="EC29" s="6" t="s">
        <v>46</v>
      </c>
      <c r="ED29" s="6" t="s">
        <v>47</v>
      </c>
      <c r="EE29" s="6" t="s">
        <v>48</v>
      </c>
      <c r="EF29" s="6" t="s">
        <v>49</v>
      </c>
      <c r="EG29" s="6" t="s">
        <v>50</v>
      </c>
      <c r="EH29" s="6" t="s">
        <v>46</v>
      </c>
      <c r="EI29" s="6" t="s">
        <v>47</v>
      </c>
      <c r="EJ29" s="6" t="s">
        <v>48</v>
      </c>
      <c r="EK29" s="6" t="s">
        <v>49</v>
      </c>
      <c r="EL29" s="6" t="s">
        <v>50</v>
      </c>
      <c r="EM29" s="6" t="s">
        <v>46</v>
      </c>
      <c r="EN29" s="6" t="s">
        <v>47</v>
      </c>
      <c r="EO29" s="6" t="s">
        <v>48</v>
      </c>
      <c r="EP29" s="6" t="s">
        <v>49</v>
      </c>
      <c r="EQ29" s="6" t="s">
        <v>50</v>
      </c>
      <c r="ER29" s="6" t="s">
        <v>46</v>
      </c>
      <c r="ES29" s="6" t="s">
        <v>47</v>
      </c>
      <c r="ET29" s="6" t="s">
        <v>48</v>
      </c>
      <c r="EU29" s="6" t="s">
        <v>49</v>
      </c>
      <c r="EV29" s="6" t="s">
        <v>50</v>
      </c>
      <c r="EW29" s="6" t="s">
        <v>46</v>
      </c>
      <c r="EX29" s="6" t="s">
        <v>47</v>
      </c>
      <c r="EY29" s="6" t="s">
        <v>48</v>
      </c>
      <c r="EZ29" s="6" t="s">
        <v>49</v>
      </c>
      <c r="FA29" s="6" t="s">
        <v>50</v>
      </c>
      <c r="FB29" s="6" t="s">
        <v>46</v>
      </c>
      <c r="FC29" s="6" t="s">
        <v>47</v>
      </c>
      <c r="FD29" s="6" t="s">
        <v>48</v>
      </c>
      <c r="FE29" s="6" t="s">
        <v>49</v>
      </c>
      <c r="FF29" s="6" t="s">
        <v>50</v>
      </c>
      <c r="FG29" s="6" t="s">
        <v>46</v>
      </c>
      <c r="FH29" s="6" t="s">
        <v>47</v>
      </c>
      <c r="FI29" s="6" t="s">
        <v>48</v>
      </c>
      <c r="FJ29" s="6" t="s">
        <v>49</v>
      </c>
      <c r="FK29" s="6" t="s">
        <v>50</v>
      </c>
      <c r="FL29" s="6" t="s">
        <v>46</v>
      </c>
      <c r="FM29" s="6" t="s">
        <v>47</v>
      </c>
      <c r="FN29" s="6" t="s">
        <v>48</v>
      </c>
      <c r="FO29" s="6" t="s">
        <v>49</v>
      </c>
      <c r="FP29" s="6" t="s">
        <v>50</v>
      </c>
      <c r="FQ29" s="6" t="s">
        <v>46</v>
      </c>
      <c r="FR29" s="6" t="s">
        <v>47</v>
      </c>
      <c r="FS29" s="6" t="s">
        <v>48</v>
      </c>
      <c r="FT29" s="6" t="s">
        <v>49</v>
      </c>
      <c r="FU29" s="6" t="s">
        <v>50</v>
      </c>
    </row>
    <row r="30" spans="1:177" x14ac:dyDescent="0.35">
      <c r="A30" s="35" t="s">
        <v>66</v>
      </c>
      <c r="B30" s="24" t="s">
        <v>57</v>
      </c>
      <c r="C30" s="24">
        <f>C17</f>
        <v>55</v>
      </c>
      <c r="D30" s="24">
        <f t="shared" ref="D30:BO30" si="382">D17</f>
        <v>22</v>
      </c>
      <c r="E30" s="24">
        <f t="shared" si="382"/>
        <v>32</v>
      </c>
      <c r="F30" s="24">
        <f t="shared" si="382"/>
        <v>0</v>
      </c>
      <c r="G30" s="24">
        <f t="shared" si="382"/>
        <v>39</v>
      </c>
      <c r="H30" s="24">
        <f t="shared" si="382"/>
        <v>16</v>
      </c>
      <c r="I30" s="24">
        <f t="shared" si="382"/>
        <v>54</v>
      </c>
      <c r="J30" s="24">
        <f t="shared" si="382"/>
        <v>0</v>
      </c>
      <c r="K30" s="24">
        <f t="shared" si="382"/>
        <v>54</v>
      </c>
      <c r="L30" s="24">
        <f t="shared" si="382"/>
        <v>0</v>
      </c>
      <c r="M30" s="24">
        <f t="shared" si="382"/>
        <v>70</v>
      </c>
      <c r="N30" s="24">
        <f t="shared" si="382"/>
        <v>0</v>
      </c>
      <c r="O30" s="24">
        <f t="shared" si="382"/>
        <v>0</v>
      </c>
      <c r="P30" s="24">
        <f t="shared" si="382"/>
        <v>0</v>
      </c>
      <c r="Q30" s="24">
        <f t="shared" si="382"/>
        <v>27</v>
      </c>
      <c r="R30" s="24">
        <f t="shared" si="382"/>
        <v>43</v>
      </c>
      <c r="S30" s="24">
        <f t="shared" si="382"/>
        <v>0</v>
      </c>
      <c r="T30" s="24">
        <f t="shared" si="382"/>
        <v>0</v>
      </c>
      <c r="U30" s="24">
        <f t="shared" si="382"/>
        <v>0</v>
      </c>
      <c r="V30" s="24">
        <f t="shared" si="382"/>
        <v>22</v>
      </c>
      <c r="W30" s="24">
        <f t="shared" si="382"/>
        <v>21</v>
      </c>
      <c r="X30" s="24">
        <f t="shared" si="382"/>
        <v>0</v>
      </c>
      <c r="Y30" s="24">
        <f t="shared" si="382"/>
        <v>0</v>
      </c>
      <c r="Z30" s="24">
        <f t="shared" si="382"/>
        <v>0</v>
      </c>
      <c r="AA30" s="24">
        <f t="shared" si="382"/>
        <v>0</v>
      </c>
      <c r="AB30" s="24">
        <f t="shared" si="382"/>
        <v>21</v>
      </c>
      <c r="AC30" s="24">
        <f t="shared" si="382"/>
        <v>0</v>
      </c>
      <c r="AD30" s="24">
        <f t="shared" si="382"/>
        <v>27</v>
      </c>
      <c r="AE30" s="24">
        <f t="shared" si="382"/>
        <v>27</v>
      </c>
      <c r="AF30" s="24">
        <f t="shared" si="382"/>
        <v>22</v>
      </c>
      <c r="AG30" s="24">
        <f t="shared" si="382"/>
        <v>38</v>
      </c>
      <c r="AH30" s="24">
        <f t="shared" si="382"/>
        <v>0</v>
      </c>
      <c r="AI30" s="24">
        <f t="shared" si="382"/>
        <v>47</v>
      </c>
      <c r="AJ30" s="24">
        <f t="shared" si="382"/>
        <v>0</v>
      </c>
      <c r="AK30" s="24">
        <f t="shared" si="382"/>
        <v>5</v>
      </c>
      <c r="AL30" s="24">
        <f t="shared" si="382"/>
        <v>33</v>
      </c>
      <c r="AM30" s="24">
        <f t="shared" si="382"/>
        <v>47</v>
      </c>
      <c r="AN30" s="24">
        <f t="shared" si="382"/>
        <v>0</v>
      </c>
      <c r="AO30" s="24">
        <f t="shared" si="382"/>
        <v>45</v>
      </c>
      <c r="AP30" s="24">
        <f t="shared" si="382"/>
        <v>28</v>
      </c>
      <c r="AQ30" s="24">
        <f t="shared" si="382"/>
        <v>50</v>
      </c>
      <c r="AR30" s="24">
        <f t="shared" si="382"/>
        <v>2</v>
      </c>
      <c r="AS30" s="24">
        <f t="shared" si="382"/>
        <v>25</v>
      </c>
      <c r="AT30" s="24">
        <f t="shared" si="382"/>
        <v>0</v>
      </c>
      <c r="AU30" s="24">
        <f t="shared" si="382"/>
        <v>3</v>
      </c>
      <c r="AV30" s="24">
        <f t="shared" si="382"/>
        <v>47</v>
      </c>
      <c r="AW30" s="24">
        <f t="shared" si="382"/>
        <v>27</v>
      </c>
      <c r="AX30" s="24">
        <f t="shared" si="382"/>
        <v>9</v>
      </c>
      <c r="AY30" s="24">
        <f t="shared" si="382"/>
        <v>36</v>
      </c>
      <c r="AZ30" s="24">
        <f t="shared" si="382"/>
        <v>21</v>
      </c>
      <c r="BA30" s="24">
        <f t="shared" si="382"/>
        <v>62</v>
      </c>
      <c r="BB30" s="24">
        <f t="shared" si="382"/>
        <v>0</v>
      </c>
      <c r="BC30" s="24">
        <f t="shared" si="382"/>
        <v>0</v>
      </c>
      <c r="BD30" s="24">
        <f t="shared" si="382"/>
        <v>0</v>
      </c>
      <c r="BE30" s="24">
        <f t="shared" si="382"/>
        <v>22</v>
      </c>
      <c r="BF30" s="24">
        <f t="shared" si="382"/>
        <v>40</v>
      </c>
      <c r="BG30" s="24">
        <f t="shared" si="382"/>
        <v>0</v>
      </c>
      <c r="BH30" s="24">
        <f t="shared" si="382"/>
        <v>9</v>
      </c>
      <c r="BI30" s="24">
        <f t="shared" si="382"/>
        <v>0</v>
      </c>
      <c r="BJ30" s="24">
        <f t="shared" si="382"/>
        <v>10</v>
      </c>
      <c r="BK30" s="24">
        <f t="shared" si="382"/>
        <v>30</v>
      </c>
      <c r="BL30" s="24">
        <f t="shared" si="382"/>
        <v>9</v>
      </c>
      <c r="BM30" s="24">
        <f t="shared" si="382"/>
        <v>18</v>
      </c>
      <c r="BN30" s="24">
        <f t="shared" si="382"/>
        <v>27</v>
      </c>
      <c r="BO30" s="24">
        <f t="shared" si="382"/>
        <v>30</v>
      </c>
      <c r="BP30" s="24">
        <f t="shared" ref="BP30:CD30" si="383">BP17</f>
        <v>27</v>
      </c>
      <c r="BQ30" s="24">
        <f t="shared" si="383"/>
        <v>0</v>
      </c>
      <c r="BR30" s="24">
        <f t="shared" si="383"/>
        <v>27</v>
      </c>
      <c r="BS30" s="24">
        <f t="shared" si="383"/>
        <v>27</v>
      </c>
      <c r="BT30" s="24">
        <f t="shared" si="383"/>
        <v>0</v>
      </c>
      <c r="BU30" s="24">
        <f t="shared" si="383"/>
        <v>54</v>
      </c>
      <c r="BV30" s="24">
        <f t="shared" si="383"/>
        <v>0</v>
      </c>
      <c r="BW30" s="24">
        <f t="shared" si="383"/>
        <v>27</v>
      </c>
      <c r="BX30" s="24">
        <f t="shared" si="383"/>
        <v>27</v>
      </c>
      <c r="BY30" s="24">
        <f t="shared" si="383"/>
        <v>32</v>
      </c>
      <c r="BZ30" s="24">
        <f t="shared" si="383"/>
        <v>49</v>
      </c>
      <c r="CA30" s="24">
        <f t="shared" si="383"/>
        <v>0</v>
      </c>
      <c r="CB30" s="24">
        <f t="shared" si="383"/>
        <v>36</v>
      </c>
      <c r="CC30" s="24">
        <f t="shared" si="383"/>
        <v>27</v>
      </c>
      <c r="CD30" s="24">
        <f t="shared" si="383"/>
        <v>49</v>
      </c>
      <c r="CE30" s="24">
        <f t="shared" ref="CE30:CI30" si="384">CE17</f>
        <v>27</v>
      </c>
      <c r="CF30" s="24">
        <f t="shared" si="384"/>
        <v>9</v>
      </c>
      <c r="CG30" s="24">
        <f t="shared" si="384"/>
        <v>27</v>
      </c>
      <c r="CH30" s="24">
        <f t="shared" si="384"/>
        <v>0</v>
      </c>
      <c r="CI30" s="24">
        <f t="shared" si="384"/>
        <v>9</v>
      </c>
      <c r="CJ30" s="24">
        <f t="shared" ref="CJ30:CN30" si="385">CJ17</f>
        <v>18</v>
      </c>
      <c r="CK30" s="24">
        <f t="shared" si="385"/>
        <v>36</v>
      </c>
      <c r="CL30" s="24">
        <f t="shared" si="385"/>
        <v>0</v>
      </c>
      <c r="CM30" s="24">
        <f t="shared" si="385"/>
        <v>36</v>
      </c>
      <c r="CN30" s="24">
        <f t="shared" si="385"/>
        <v>32</v>
      </c>
      <c r="CO30" s="24">
        <f t="shared" ref="CO30:CS30" si="386">CO17</f>
        <v>22</v>
      </c>
      <c r="CP30" s="24">
        <f t="shared" si="386"/>
        <v>0</v>
      </c>
      <c r="CQ30" s="24">
        <f t="shared" si="386"/>
        <v>45</v>
      </c>
      <c r="CR30" s="24">
        <f t="shared" si="386"/>
        <v>45</v>
      </c>
      <c r="CS30" s="24">
        <f t="shared" si="386"/>
        <v>20</v>
      </c>
      <c r="CT30" s="24">
        <f t="shared" ref="CT30:CX30" si="387">CT17</f>
        <v>47</v>
      </c>
      <c r="CU30" s="24">
        <f t="shared" si="387"/>
        <v>0</v>
      </c>
      <c r="CV30" s="24">
        <f t="shared" si="387"/>
        <v>0</v>
      </c>
      <c r="CW30" s="24">
        <f t="shared" si="387"/>
        <v>0</v>
      </c>
      <c r="CX30" s="24">
        <f t="shared" si="387"/>
        <v>0</v>
      </c>
      <c r="CY30" s="24">
        <f t="shared" ref="CY30:DC30" si="388">CY17</f>
        <v>47</v>
      </c>
      <c r="CZ30" s="24">
        <f t="shared" si="388"/>
        <v>0</v>
      </c>
      <c r="DA30" s="24">
        <f t="shared" si="388"/>
        <v>20</v>
      </c>
      <c r="DB30" s="24">
        <f t="shared" si="388"/>
        <v>0</v>
      </c>
      <c r="DC30" s="24">
        <f t="shared" si="388"/>
        <v>0</v>
      </c>
      <c r="DD30" s="24">
        <f t="shared" ref="DD30:DH30" si="389">DD17</f>
        <v>47</v>
      </c>
      <c r="DE30" s="24">
        <f t="shared" si="389"/>
        <v>20</v>
      </c>
      <c r="DF30" s="24">
        <f t="shared" si="389"/>
        <v>7</v>
      </c>
      <c r="DG30" s="24">
        <f t="shared" si="389"/>
        <v>27</v>
      </c>
      <c r="DH30" s="24">
        <f t="shared" si="389"/>
        <v>21</v>
      </c>
      <c r="DI30" s="24">
        <f t="shared" ref="DI30:DM30" si="390">DI17</f>
        <v>53</v>
      </c>
      <c r="DJ30" s="24">
        <f t="shared" si="390"/>
        <v>0</v>
      </c>
      <c r="DK30" s="24">
        <f t="shared" si="390"/>
        <v>0</v>
      </c>
      <c r="DL30" s="24">
        <f t="shared" si="390"/>
        <v>0</v>
      </c>
      <c r="DM30" s="24">
        <f t="shared" si="390"/>
        <v>31</v>
      </c>
      <c r="DN30" s="24">
        <f t="shared" ref="DN30:DR30" si="391">DN17</f>
        <v>22</v>
      </c>
      <c r="DO30" s="24">
        <f t="shared" si="391"/>
        <v>0</v>
      </c>
      <c r="DP30" s="24">
        <f t="shared" si="391"/>
        <v>24</v>
      </c>
      <c r="DQ30" s="24">
        <f t="shared" si="391"/>
        <v>24</v>
      </c>
      <c r="DR30" s="24">
        <f t="shared" si="391"/>
        <v>16</v>
      </c>
      <c r="DS30" s="24">
        <f t="shared" ref="DS30:DW30" si="392">DS17</f>
        <v>30</v>
      </c>
      <c r="DT30" s="24">
        <f t="shared" si="392"/>
        <v>0</v>
      </c>
      <c r="DU30" s="24">
        <f t="shared" si="392"/>
        <v>9</v>
      </c>
      <c r="DV30" s="24">
        <f t="shared" si="392"/>
        <v>9</v>
      </c>
      <c r="DW30" s="24">
        <f t="shared" si="392"/>
        <v>24</v>
      </c>
      <c r="DX30" s="24">
        <f t="shared" ref="DX30:EB30" si="393">DX17</f>
        <v>15</v>
      </c>
      <c r="DY30" s="24">
        <f t="shared" si="393"/>
        <v>0</v>
      </c>
      <c r="DZ30" s="24">
        <f t="shared" si="393"/>
        <v>27</v>
      </c>
      <c r="EA30" s="24">
        <f t="shared" si="393"/>
        <v>27</v>
      </c>
      <c r="EB30" s="24">
        <f t="shared" si="393"/>
        <v>4</v>
      </c>
      <c r="EC30" s="24">
        <f t="shared" ref="EC30:EG30" si="394">EC17</f>
        <v>38</v>
      </c>
      <c r="ED30" s="24">
        <f t="shared" si="394"/>
        <v>0</v>
      </c>
      <c r="EE30" s="24">
        <f t="shared" si="394"/>
        <v>36</v>
      </c>
      <c r="EF30" s="24">
        <f t="shared" si="394"/>
        <v>36</v>
      </c>
      <c r="EG30" s="24">
        <f t="shared" si="394"/>
        <v>32</v>
      </c>
      <c r="EH30" s="24">
        <f t="shared" ref="EH30:EL30" si="395">EH17</f>
        <v>42</v>
      </c>
      <c r="EI30" s="24">
        <f t="shared" si="395"/>
        <v>0</v>
      </c>
      <c r="EJ30" s="24">
        <f t="shared" si="395"/>
        <v>0</v>
      </c>
      <c r="EK30" s="24">
        <f t="shared" si="395"/>
        <v>0</v>
      </c>
      <c r="EL30" s="24">
        <f t="shared" si="395"/>
        <v>32</v>
      </c>
      <c r="EM30" s="24">
        <f t="shared" ref="EM30:EQ30" si="396">EM17</f>
        <v>10</v>
      </c>
      <c r="EN30" s="24">
        <f t="shared" si="396"/>
        <v>0</v>
      </c>
      <c r="EO30" s="24">
        <f t="shared" si="396"/>
        <v>31</v>
      </c>
      <c r="EP30" s="24">
        <f t="shared" si="396"/>
        <v>31</v>
      </c>
      <c r="EQ30" s="24">
        <f t="shared" si="396"/>
        <v>54</v>
      </c>
      <c r="ER30" s="24">
        <f t="shared" ref="ER30:EV30" si="397">ER17</f>
        <v>-13</v>
      </c>
      <c r="ES30" s="24">
        <f t="shared" si="397"/>
        <v>0</v>
      </c>
      <c r="ET30" s="24">
        <f t="shared" si="397"/>
        <v>31</v>
      </c>
      <c r="EU30" s="24">
        <f t="shared" si="397"/>
        <v>31</v>
      </c>
      <c r="EV30" s="24">
        <f t="shared" si="397"/>
        <v>54</v>
      </c>
      <c r="EW30" s="24">
        <f t="shared" ref="EW30:FA30" si="398">EW17</f>
        <v>-36</v>
      </c>
      <c r="EX30" s="24">
        <f t="shared" si="398"/>
        <v>0</v>
      </c>
      <c r="EY30" s="24">
        <f t="shared" si="398"/>
        <v>31</v>
      </c>
      <c r="EZ30" s="24">
        <f t="shared" si="398"/>
        <v>31</v>
      </c>
      <c r="FA30" s="24">
        <f t="shared" si="398"/>
        <v>54</v>
      </c>
      <c r="FB30" s="24">
        <f t="shared" ref="FB30:FF30" si="399">FB17</f>
        <v>-59</v>
      </c>
      <c r="FC30" s="24">
        <f t="shared" si="399"/>
        <v>0</v>
      </c>
      <c r="FD30" s="24">
        <f t="shared" si="399"/>
        <v>31</v>
      </c>
      <c r="FE30" s="24">
        <f t="shared" si="399"/>
        <v>31</v>
      </c>
      <c r="FF30" s="24">
        <f t="shared" si="399"/>
        <v>54</v>
      </c>
      <c r="FG30" s="24">
        <f t="shared" ref="FG30:FK30" si="400">FG17</f>
        <v>-82</v>
      </c>
      <c r="FH30" s="24">
        <f t="shared" si="400"/>
        <v>0</v>
      </c>
      <c r="FI30" s="24">
        <f t="shared" si="400"/>
        <v>31</v>
      </c>
      <c r="FJ30" s="24">
        <f t="shared" si="400"/>
        <v>31</v>
      </c>
      <c r="FK30" s="24">
        <f t="shared" si="400"/>
        <v>54</v>
      </c>
      <c r="FL30" s="24">
        <f t="shared" ref="FL30:FP30" si="401">FL17</f>
        <v>-105</v>
      </c>
      <c r="FM30" s="24">
        <f t="shared" si="401"/>
        <v>0</v>
      </c>
      <c r="FN30" s="24">
        <f t="shared" si="401"/>
        <v>31</v>
      </c>
      <c r="FO30" s="24">
        <f t="shared" si="401"/>
        <v>31</v>
      </c>
      <c r="FP30" s="24">
        <f t="shared" si="401"/>
        <v>54</v>
      </c>
      <c r="FQ30" s="24">
        <f t="shared" ref="FQ30:FU30" si="402">FQ17</f>
        <v>-128</v>
      </c>
      <c r="FR30" s="24">
        <f t="shared" si="402"/>
        <v>0</v>
      </c>
      <c r="FS30" s="24">
        <f t="shared" si="402"/>
        <v>31</v>
      </c>
      <c r="FT30" s="24">
        <f t="shared" si="402"/>
        <v>31</v>
      </c>
      <c r="FU30" s="24">
        <f t="shared" si="402"/>
        <v>54</v>
      </c>
    </row>
    <row r="31" spans="1:177" x14ac:dyDescent="0.35">
      <c r="A31" s="48"/>
      <c r="B31" s="3" t="s">
        <v>58</v>
      </c>
      <c r="C31" s="3">
        <f t="shared" ref="C31:AH31" si="403">C11</f>
        <v>364</v>
      </c>
      <c r="D31" s="3">
        <f t="shared" si="403"/>
        <v>434</v>
      </c>
      <c r="E31" s="3">
        <f t="shared" si="403"/>
        <v>201</v>
      </c>
      <c r="F31" s="3">
        <f t="shared" si="403"/>
        <v>112</v>
      </c>
      <c r="G31" s="3">
        <f t="shared" si="403"/>
        <v>70</v>
      </c>
      <c r="H31" s="3">
        <f t="shared" si="403"/>
        <v>406</v>
      </c>
      <c r="I31" s="3">
        <f t="shared" si="403"/>
        <v>523</v>
      </c>
      <c r="J31" s="3">
        <f t="shared" si="403"/>
        <v>84</v>
      </c>
      <c r="K31" s="3">
        <f t="shared" si="403"/>
        <v>173</v>
      </c>
      <c r="L31" s="3">
        <f t="shared" si="403"/>
        <v>103</v>
      </c>
      <c r="M31" s="3">
        <f t="shared" si="403"/>
        <v>383</v>
      </c>
      <c r="N31" s="3">
        <f t="shared" si="403"/>
        <v>434</v>
      </c>
      <c r="O31" s="3">
        <f t="shared" si="403"/>
        <v>168</v>
      </c>
      <c r="P31" s="3">
        <f t="shared" si="403"/>
        <v>56</v>
      </c>
      <c r="Q31" s="3">
        <f t="shared" si="403"/>
        <v>27</v>
      </c>
      <c r="R31" s="3">
        <f t="shared" si="403"/>
        <v>412</v>
      </c>
      <c r="S31" s="3">
        <f t="shared" si="403"/>
        <v>546</v>
      </c>
      <c r="T31" s="3">
        <f t="shared" si="403"/>
        <v>196</v>
      </c>
      <c r="U31" s="3">
        <f t="shared" si="403"/>
        <v>70</v>
      </c>
      <c r="V31" s="3">
        <f t="shared" si="403"/>
        <v>88</v>
      </c>
      <c r="W31" s="3">
        <f t="shared" si="403"/>
        <v>312</v>
      </c>
      <c r="X31" s="3">
        <f t="shared" si="403"/>
        <v>672</v>
      </c>
      <c r="Y31" s="3">
        <f t="shared" si="403"/>
        <v>56</v>
      </c>
      <c r="Z31" s="3">
        <f t="shared" si="403"/>
        <v>112</v>
      </c>
      <c r="AA31" s="3">
        <f t="shared" si="403"/>
        <v>120</v>
      </c>
      <c r="AB31" s="3">
        <f t="shared" si="403"/>
        <v>304</v>
      </c>
      <c r="AC31" s="3">
        <f t="shared" si="403"/>
        <v>616</v>
      </c>
      <c r="AD31" s="3">
        <f t="shared" si="403"/>
        <v>98</v>
      </c>
      <c r="AE31" s="3">
        <f t="shared" si="403"/>
        <v>168</v>
      </c>
      <c r="AF31" s="3">
        <f t="shared" si="403"/>
        <v>125</v>
      </c>
      <c r="AG31" s="3">
        <f t="shared" si="403"/>
        <v>347</v>
      </c>
      <c r="AH31" s="3">
        <f t="shared" si="403"/>
        <v>532</v>
      </c>
      <c r="AI31" s="3">
        <f t="shared" ref="AI31:BN31" si="404">AI11</f>
        <v>182</v>
      </c>
      <c r="AJ31" s="3">
        <f t="shared" si="404"/>
        <v>196</v>
      </c>
      <c r="AK31" s="3">
        <f t="shared" si="404"/>
        <v>91</v>
      </c>
      <c r="AL31" s="3">
        <f t="shared" si="404"/>
        <v>452</v>
      </c>
      <c r="AM31" s="3">
        <f t="shared" si="404"/>
        <v>518</v>
      </c>
      <c r="AN31" s="3">
        <f t="shared" si="404"/>
        <v>84</v>
      </c>
      <c r="AO31" s="3">
        <f t="shared" si="404"/>
        <v>28</v>
      </c>
      <c r="AP31" s="3">
        <f t="shared" si="404"/>
        <v>95</v>
      </c>
      <c r="AQ31" s="3">
        <f t="shared" si="404"/>
        <v>385</v>
      </c>
      <c r="AR31" s="3">
        <f t="shared" si="404"/>
        <v>574</v>
      </c>
      <c r="AS31" s="3">
        <f t="shared" si="404"/>
        <v>28</v>
      </c>
      <c r="AT31" s="3">
        <f t="shared" si="404"/>
        <v>28</v>
      </c>
      <c r="AU31" s="3">
        <f t="shared" si="404"/>
        <v>40</v>
      </c>
      <c r="AV31" s="3">
        <f t="shared" si="404"/>
        <v>373</v>
      </c>
      <c r="AW31" s="3">
        <f t="shared" si="404"/>
        <v>574</v>
      </c>
      <c r="AX31" s="3">
        <f t="shared" si="404"/>
        <v>0</v>
      </c>
      <c r="AY31" s="3">
        <f t="shared" si="404"/>
        <v>0</v>
      </c>
      <c r="AZ31" s="3">
        <f t="shared" si="404"/>
        <v>85</v>
      </c>
      <c r="BA31" s="3">
        <f t="shared" si="404"/>
        <v>288</v>
      </c>
      <c r="BB31" s="3">
        <f t="shared" si="404"/>
        <v>574</v>
      </c>
      <c r="BC31" s="3">
        <f t="shared" si="404"/>
        <v>0</v>
      </c>
      <c r="BD31" s="3">
        <f t="shared" si="404"/>
        <v>28</v>
      </c>
      <c r="BE31" s="3">
        <f t="shared" si="404"/>
        <v>27</v>
      </c>
      <c r="BF31" s="3">
        <f t="shared" si="404"/>
        <v>289</v>
      </c>
      <c r="BG31" s="3">
        <f t="shared" si="404"/>
        <v>546</v>
      </c>
      <c r="BH31" s="3">
        <f t="shared" si="404"/>
        <v>0</v>
      </c>
      <c r="BI31" s="3">
        <f t="shared" si="404"/>
        <v>28</v>
      </c>
      <c r="BJ31" s="3">
        <f t="shared" si="404"/>
        <v>0</v>
      </c>
      <c r="BK31" s="3">
        <f t="shared" si="404"/>
        <v>317</v>
      </c>
      <c r="BL31" s="3">
        <f t="shared" si="404"/>
        <v>518</v>
      </c>
      <c r="BM31" s="3">
        <f t="shared" si="404"/>
        <v>0</v>
      </c>
      <c r="BN31" s="3">
        <f t="shared" si="404"/>
        <v>0</v>
      </c>
      <c r="BO31" s="3">
        <f t="shared" ref="BO31:CT31" si="405">BO11</f>
        <v>6</v>
      </c>
      <c r="BP31" s="3">
        <f t="shared" si="405"/>
        <v>311</v>
      </c>
      <c r="BQ31" s="3">
        <f t="shared" si="405"/>
        <v>518</v>
      </c>
      <c r="BR31" s="3">
        <f t="shared" si="405"/>
        <v>0</v>
      </c>
      <c r="BS31" s="3">
        <f t="shared" si="405"/>
        <v>0</v>
      </c>
      <c r="BT31" s="3">
        <f t="shared" si="405"/>
        <v>0</v>
      </c>
      <c r="BU31" s="3">
        <f t="shared" si="405"/>
        <v>311</v>
      </c>
      <c r="BV31" s="3">
        <f t="shared" si="405"/>
        <v>518</v>
      </c>
      <c r="BW31" s="3">
        <f t="shared" si="405"/>
        <v>0</v>
      </c>
      <c r="BX31" s="3">
        <f t="shared" si="405"/>
        <v>0</v>
      </c>
      <c r="BY31" s="3">
        <f t="shared" si="405"/>
        <v>0</v>
      </c>
      <c r="BZ31" s="3">
        <f t="shared" si="405"/>
        <v>311</v>
      </c>
      <c r="CA31" s="3">
        <f t="shared" si="405"/>
        <v>518</v>
      </c>
      <c r="CB31" s="3">
        <f t="shared" si="405"/>
        <v>0</v>
      </c>
      <c r="CC31" s="3">
        <f t="shared" si="405"/>
        <v>0</v>
      </c>
      <c r="CD31" s="3">
        <f t="shared" si="405"/>
        <v>0</v>
      </c>
      <c r="CE31" s="3">
        <f t="shared" si="405"/>
        <v>311</v>
      </c>
      <c r="CF31" s="3">
        <f t="shared" si="405"/>
        <v>518</v>
      </c>
      <c r="CG31" s="3">
        <f t="shared" si="405"/>
        <v>0</v>
      </c>
      <c r="CH31" s="3">
        <f t="shared" si="405"/>
        <v>0</v>
      </c>
      <c r="CI31" s="3">
        <f t="shared" si="405"/>
        <v>0</v>
      </c>
      <c r="CJ31" s="3">
        <f t="shared" si="405"/>
        <v>311</v>
      </c>
      <c r="CK31" s="3">
        <f t="shared" si="405"/>
        <v>518</v>
      </c>
      <c r="CL31" s="3">
        <f t="shared" si="405"/>
        <v>0</v>
      </c>
      <c r="CM31" s="3">
        <f t="shared" si="405"/>
        <v>0</v>
      </c>
      <c r="CN31" s="3">
        <f t="shared" si="405"/>
        <v>0</v>
      </c>
      <c r="CO31" s="3">
        <f t="shared" si="405"/>
        <v>311</v>
      </c>
      <c r="CP31" s="3">
        <f t="shared" si="405"/>
        <v>518</v>
      </c>
      <c r="CQ31" s="3">
        <f t="shared" si="405"/>
        <v>0</v>
      </c>
      <c r="CR31" s="3">
        <f t="shared" si="405"/>
        <v>0</v>
      </c>
      <c r="CS31" s="3">
        <f t="shared" si="405"/>
        <v>0</v>
      </c>
      <c r="CT31" s="3">
        <f t="shared" si="405"/>
        <v>311</v>
      </c>
      <c r="CU31" s="3">
        <f t="shared" ref="CU31:DC31" si="406">CU11</f>
        <v>518</v>
      </c>
      <c r="CV31" s="3">
        <f t="shared" si="406"/>
        <v>0</v>
      </c>
      <c r="CW31" s="3">
        <f t="shared" si="406"/>
        <v>0</v>
      </c>
      <c r="CX31" s="3">
        <f t="shared" si="406"/>
        <v>0</v>
      </c>
      <c r="CY31" s="3">
        <f t="shared" si="406"/>
        <v>311</v>
      </c>
      <c r="CZ31" s="3">
        <f t="shared" si="406"/>
        <v>518</v>
      </c>
      <c r="DA31" s="3">
        <f t="shared" si="406"/>
        <v>0</v>
      </c>
      <c r="DB31" s="3">
        <f t="shared" si="406"/>
        <v>0</v>
      </c>
      <c r="DC31" s="3">
        <f t="shared" si="406"/>
        <v>0</v>
      </c>
      <c r="DD31" s="3">
        <f t="shared" ref="DD31:DH31" si="407">DD11</f>
        <v>311</v>
      </c>
      <c r="DE31" s="3">
        <f t="shared" si="407"/>
        <v>518</v>
      </c>
      <c r="DF31" s="3">
        <f t="shared" si="407"/>
        <v>0</v>
      </c>
      <c r="DG31" s="3">
        <f t="shared" si="407"/>
        <v>0</v>
      </c>
      <c r="DH31" s="3">
        <f t="shared" si="407"/>
        <v>0</v>
      </c>
      <c r="DI31" s="3">
        <f t="shared" ref="DI31:DM31" si="408">DI11</f>
        <v>311</v>
      </c>
      <c r="DJ31" s="3">
        <f t="shared" si="408"/>
        <v>518</v>
      </c>
      <c r="DK31" s="3">
        <f t="shared" si="408"/>
        <v>0</v>
      </c>
      <c r="DL31" s="3">
        <f t="shared" si="408"/>
        <v>0</v>
      </c>
      <c r="DM31" s="3">
        <f t="shared" si="408"/>
        <v>0</v>
      </c>
      <c r="DN31" s="3">
        <f t="shared" ref="DN31:DR31" si="409">DN11</f>
        <v>311</v>
      </c>
      <c r="DO31" s="3">
        <f t="shared" si="409"/>
        <v>518</v>
      </c>
      <c r="DP31" s="3">
        <f t="shared" si="409"/>
        <v>0</v>
      </c>
      <c r="DQ31" s="3">
        <f t="shared" si="409"/>
        <v>0</v>
      </c>
      <c r="DR31" s="3">
        <f t="shared" si="409"/>
        <v>0</v>
      </c>
      <c r="DS31" s="3">
        <f t="shared" ref="DS31:DW31" si="410">DS11</f>
        <v>311</v>
      </c>
      <c r="DT31" s="3">
        <f t="shared" si="410"/>
        <v>518</v>
      </c>
      <c r="DU31" s="3">
        <f t="shared" si="410"/>
        <v>0</v>
      </c>
      <c r="DV31" s="3">
        <f t="shared" si="410"/>
        <v>0</v>
      </c>
      <c r="DW31" s="3">
        <f t="shared" si="410"/>
        <v>0</v>
      </c>
      <c r="DX31" s="3">
        <f t="shared" ref="DX31:EB31" si="411">DX11</f>
        <v>311</v>
      </c>
      <c r="DY31" s="3">
        <f t="shared" si="411"/>
        <v>518</v>
      </c>
      <c r="DZ31" s="3">
        <f t="shared" si="411"/>
        <v>0</v>
      </c>
      <c r="EA31" s="3">
        <f t="shared" si="411"/>
        <v>0</v>
      </c>
      <c r="EB31" s="3">
        <f t="shared" si="411"/>
        <v>0</v>
      </c>
      <c r="EC31" s="3">
        <f t="shared" ref="EC31:EG31" si="412">EC11</f>
        <v>311</v>
      </c>
      <c r="ED31" s="3">
        <f t="shared" si="412"/>
        <v>518</v>
      </c>
      <c r="EE31" s="3">
        <f t="shared" si="412"/>
        <v>0</v>
      </c>
      <c r="EF31" s="3">
        <f t="shared" si="412"/>
        <v>0</v>
      </c>
      <c r="EG31" s="3">
        <f t="shared" si="412"/>
        <v>0</v>
      </c>
      <c r="EH31" s="3">
        <f t="shared" ref="EH31:EL31" si="413">EH11</f>
        <v>311</v>
      </c>
      <c r="EI31" s="3">
        <f t="shared" si="413"/>
        <v>518</v>
      </c>
      <c r="EJ31" s="3">
        <f t="shared" si="413"/>
        <v>0</v>
      </c>
      <c r="EK31" s="3">
        <f t="shared" si="413"/>
        <v>0</v>
      </c>
      <c r="EL31" s="3">
        <f t="shared" si="413"/>
        <v>0</v>
      </c>
      <c r="EM31" s="3">
        <f t="shared" ref="EM31:EQ31" si="414">EM11</f>
        <v>311</v>
      </c>
      <c r="EN31" s="3">
        <f t="shared" si="414"/>
        <v>518</v>
      </c>
      <c r="EO31" s="3">
        <f t="shared" si="414"/>
        <v>0</v>
      </c>
      <c r="EP31" s="3">
        <f t="shared" si="414"/>
        <v>0</v>
      </c>
      <c r="EQ31" s="3">
        <f t="shared" si="414"/>
        <v>0</v>
      </c>
      <c r="ER31" s="3">
        <f t="shared" ref="ER31:EV31" si="415">ER11</f>
        <v>311</v>
      </c>
      <c r="ES31" s="3">
        <f t="shared" si="415"/>
        <v>518</v>
      </c>
      <c r="ET31" s="3">
        <f t="shared" si="415"/>
        <v>0</v>
      </c>
      <c r="EU31" s="3">
        <f t="shared" si="415"/>
        <v>0</v>
      </c>
      <c r="EV31" s="3">
        <f t="shared" si="415"/>
        <v>0</v>
      </c>
      <c r="EW31" s="3">
        <f t="shared" ref="EW31:FA31" si="416">EW11</f>
        <v>311</v>
      </c>
      <c r="EX31" s="3">
        <f t="shared" si="416"/>
        <v>518</v>
      </c>
      <c r="EY31" s="3">
        <f t="shared" si="416"/>
        <v>0</v>
      </c>
      <c r="EZ31" s="3">
        <f t="shared" si="416"/>
        <v>0</v>
      </c>
      <c r="FA31" s="3">
        <f t="shared" si="416"/>
        <v>0</v>
      </c>
      <c r="FB31" s="3">
        <f t="shared" ref="FB31:FF31" si="417">FB11</f>
        <v>311</v>
      </c>
      <c r="FC31" s="3">
        <f t="shared" si="417"/>
        <v>518</v>
      </c>
      <c r="FD31" s="3">
        <f t="shared" si="417"/>
        <v>0</v>
      </c>
      <c r="FE31" s="3">
        <f t="shared" si="417"/>
        <v>0</v>
      </c>
      <c r="FF31" s="3">
        <f t="shared" si="417"/>
        <v>0</v>
      </c>
      <c r="FG31" s="3">
        <f t="shared" ref="FG31:FK31" si="418">FG11</f>
        <v>311</v>
      </c>
      <c r="FH31" s="3">
        <f t="shared" si="418"/>
        <v>518</v>
      </c>
      <c r="FI31" s="3">
        <f t="shared" si="418"/>
        <v>0</v>
      </c>
      <c r="FJ31" s="3">
        <f t="shared" si="418"/>
        <v>0</v>
      </c>
      <c r="FK31" s="3">
        <f t="shared" si="418"/>
        <v>0</v>
      </c>
      <c r="FL31" s="3">
        <f t="shared" ref="FL31:FP31" si="419">FL11</f>
        <v>311</v>
      </c>
      <c r="FM31" s="3">
        <f t="shared" si="419"/>
        <v>518</v>
      </c>
      <c r="FN31" s="3">
        <f t="shared" si="419"/>
        <v>0</v>
      </c>
      <c r="FO31" s="3">
        <f t="shared" si="419"/>
        <v>0</v>
      </c>
      <c r="FP31" s="3">
        <f t="shared" si="419"/>
        <v>0</v>
      </c>
      <c r="FQ31" s="3">
        <f t="shared" ref="FQ31:FU31" si="420">FQ11</f>
        <v>311</v>
      </c>
      <c r="FR31" s="3">
        <f t="shared" si="420"/>
        <v>518</v>
      </c>
      <c r="FS31" s="3">
        <f t="shared" si="420"/>
        <v>0</v>
      </c>
      <c r="FT31" s="3">
        <f t="shared" si="420"/>
        <v>0</v>
      </c>
      <c r="FU31" s="3">
        <f t="shared" si="420"/>
        <v>0</v>
      </c>
    </row>
    <row r="32" spans="1:177" s="16" customFormat="1" x14ac:dyDescent="0.35">
      <c r="A32" s="48"/>
      <c r="B32" s="23" t="s">
        <v>44</v>
      </c>
      <c r="C32" s="24">
        <f>C19+C20+C23</f>
        <v>70</v>
      </c>
      <c r="D32" s="24">
        <f t="shared" ref="D32:BO32" si="421">D19+D20+D23</f>
        <v>124</v>
      </c>
      <c r="E32" s="24">
        <f t="shared" si="421"/>
        <v>92</v>
      </c>
      <c r="F32" s="24">
        <f t="shared" si="421"/>
        <v>124</v>
      </c>
      <c r="G32" s="24">
        <f t="shared" si="421"/>
        <v>128</v>
      </c>
      <c r="H32" s="24">
        <f t="shared" si="421"/>
        <v>66</v>
      </c>
      <c r="I32" s="24">
        <f t="shared" si="421"/>
        <v>92</v>
      </c>
      <c r="J32" s="24">
        <f t="shared" si="421"/>
        <v>32</v>
      </c>
      <c r="K32" s="24">
        <f t="shared" si="421"/>
        <v>0</v>
      </c>
      <c r="L32" s="24">
        <f t="shared" si="421"/>
        <v>0</v>
      </c>
      <c r="M32" s="24">
        <f t="shared" si="421"/>
        <v>66</v>
      </c>
      <c r="N32" s="24">
        <f t="shared" si="421"/>
        <v>124</v>
      </c>
      <c r="O32" s="24">
        <f t="shared" si="421"/>
        <v>44</v>
      </c>
      <c r="P32" s="24">
        <f t="shared" si="421"/>
        <v>80</v>
      </c>
      <c r="Q32" s="24">
        <f t="shared" si="421"/>
        <v>58</v>
      </c>
      <c r="R32" s="24">
        <f t="shared" si="421"/>
        <v>88</v>
      </c>
      <c r="S32" s="24">
        <f t="shared" si="421"/>
        <v>88</v>
      </c>
      <c r="T32" s="24">
        <f t="shared" si="421"/>
        <v>16</v>
      </c>
      <c r="U32" s="24">
        <f t="shared" si="421"/>
        <v>44</v>
      </c>
      <c r="V32" s="24">
        <f t="shared" si="421"/>
        <v>4</v>
      </c>
      <c r="W32" s="24">
        <f t="shared" si="421"/>
        <v>128</v>
      </c>
      <c r="X32" s="24">
        <f t="shared" si="421"/>
        <v>60</v>
      </c>
      <c r="Y32" s="24">
        <f t="shared" si="421"/>
        <v>0</v>
      </c>
      <c r="Z32" s="24">
        <f t="shared" si="421"/>
        <v>0</v>
      </c>
      <c r="AA32" s="24">
        <f t="shared" si="421"/>
        <v>12</v>
      </c>
      <c r="AB32" s="24">
        <f t="shared" si="421"/>
        <v>116</v>
      </c>
      <c r="AC32" s="24">
        <f t="shared" si="421"/>
        <v>60</v>
      </c>
      <c r="AD32" s="24">
        <f t="shared" si="421"/>
        <v>0</v>
      </c>
      <c r="AE32" s="24">
        <f t="shared" si="421"/>
        <v>0</v>
      </c>
      <c r="AF32" s="24">
        <f t="shared" si="421"/>
        <v>5</v>
      </c>
      <c r="AG32" s="24">
        <f t="shared" si="421"/>
        <v>111</v>
      </c>
      <c r="AH32" s="24">
        <f t="shared" si="421"/>
        <v>60</v>
      </c>
      <c r="AI32" s="24">
        <f t="shared" si="421"/>
        <v>0</v>
      </c>
      <c r="AJ32" s="24">
        <f t="shared" si="421"/>
        <v>0</v>
      </c>
      <c r="AK32" s="24">
        <f t="shared" si="421"/>
        <v>59</v>
      </c>
      <c r="AL32" s="24">
        <f t="shared" si="421"/>
        <v>52</v>
      </c>
      <c r="AM32" s="24">
        <f t="shared" si="421"/>
        <v>60</v>
      </c>
      <c r="AN32" s="24">
        <f t="shared" si="421"/>
        <v>212</v>
      </c>
      <c r="AO32" s="24">
        <f t="shared" si="421"/>
        <v>160</v>
      </c>
      <c r="AP32" s="24">
        <f t="shared" si="421"/>
        <v>100</v>
      </c>
      <c r="AQ32" s="24">
        <f t="shared" si="421"/>
        <v>112</v>
      </c>
      <c r="AR32" s="24">
        <f t="shared" si="421"/>
        <v>112</v>
      </c>
      <c r="AS32" s="24">
        <f t="shared" si="421"/>
        <v>124</v>
      </c>
      <c r="AT32" s="24">
        <f t="shared" si="421"/>
        <v>132</v>
      </c>
      <c r="AU32" s="24">
        <f t="shared" si="421"/>
        <v>184</v>
      </c>
      <c r="AV32" s="24">
        <f t="shared" si="421"/>
        <v>60</v>
      </c>
      <c r="AW32" s="24">
        <f t="shared" si="421"/>
        <v>104</v>
      </c>
      <c r="AX32" s="24">
        <f t="shared" si="421"/>
        <v>70</v>
      </c>
      <c r="AY32" s="24">
        <f t="shared" si="421"/>
        <v>94</v>
      </c>
      <c r="AZ32" s="24">
        <f t="shared" si="421"/>
        <v>57</v>
      </c>
      <c r="BA32" s="24">
        <f t="shared" si="421"/>
        <v>97</v>
      </c>
      <c r="BB32" s="24">
        <f t="shared" si="421"/>
        <v>80</v>
      </c>
      <c r="BC32" s="24">
        <f t="shared" si="421"/>
        <v>76</v>
      </c>
      <c r="BD32" s="24">
        <f t="shared" si="421"/>
        <v>88</v>
      </c>
      <c r="BE32" s="24">
        <f t="shared" si="421"/>
        <v>59</v>
      </c>
      <c r="BF32" s="24">
        <f t="shared" si="421"/>
        <v>126</v>
      </c>
      <c r="BG32" s="24">
        <f t="shared" si="421"/>
        <v>68</v>
      </c>
      <c r="BH32" s="24">
        <f t="shared" si="421"/>
        <v>87</v>
      </c>
      <c r="BI32" s="24">
        <f t="shared" si="421"/>
        <v>59</v>
      </c>
      <c r="BJ32" s="24">
        <f t="shared" si="421"/>
        <v>77</v>
      </c>
      <c r="BK32" s="24">
        <f t="shared" si="421"/>
        <v>108</v>
      </c>
      <c r="BL32" s="24">
        <f t="shared" si="421"/>
        <v>96</v>
      </c>
      <c r="BM32" s="24">
        <f t="shared" si="421"/>
        <v>70</v>
      </c>
      <c r="BN32" s="24">
        <f t="shared" si="421"/>
        <v>98</v>
      </c>
      <c r="BO32" s="24">
        <f t="shared" si="421"/>
        <v>151</v>
      </c>
      <c r="BP32" s="24">
        <f t="shared" ref="BP32:CD32" si="422">BP19+BP20+BP23</f>
        <v>55</v>
      </c>
      <c r="BQ32" s="24">
        <f t="shared" si="422"/>
        <v>68</v>
      </c>
      <c r="BR32" s="24">
        <f t="shared" si="422"/>
        <v>60</v>
      </c>
      <c r="BS32" s="24">
        <f t="shared" si="422"/>
        <v>60</v>
      </c>
      <c r="BT32" s="24">
        <f t="shared" si="422"/>
        <v>72</v>
      </c>
      <c r="BU32" s="24">
        <f t="shared" si="422"/>
        <v>43</v>
      </c>
      <c r="BV32" s="24">
        <f t="shared" si="422"/>
        <v>68</v>
      </c>
      <c r="BW32" s="24">
        <f t="shared" si="422"/>
        <v>112</v>
      </c>
      <c r="BX32" s="24">
        <f t="shared" si="422"/>
        <v>66</v>
      </c>
      <c r="BY32" s="24">
        <f t="shared" si="422"/>
        <v>70</v>
      </c>
      <c r="BZ32" s="24">
        <f t="shared" si="422"/>
        <v>39</v>
      </c>
      <c r="CA32" s="24">
        <f t="shared" si="422"/>
        <v>114</v>
      </c>
      <c r="CB32" s="24">
        <f t="shared" si="422"/>
        <v>14</v>
      </c>
      <c r="CC32" s="24">
        <f t="shared" si="422"/>
        <v>32</v>
      </c>
      <c r="CD32" s="24">
        <f t="shared" si="422"/>
        <v>8</v>
      </c>
      <c r="CE32" s="24">
        <f t="shared" ref="CE32:CI32" si="423">CE19+CE20+CE23</f>
        <v>63</v>
      </c>
      <c r="CF32" s="24">
        <f t="shared" si="423"/>
        <v>96</v>
      </c>
      <c r="CG32" s="24">
        <f t="shared" si="423"/>
        <v>10</v>
      </c>
      <c r="CH32" s="24">
        <f t="shared" si="423"/>
        <v>24</v>
      </c>
      <c r="CI32" s="24">
        <f t="shared" si="423"/>
        <v>5</v>
      </c>
      <c r="CJ32" s="24">
        <f t="shared" ref="CJ32:CN32" si="424">CJ19+CJ20+CJ23</f>
        <v>82</v>
      </c>
      <c r="CK32" s="24">
        <f t="shared" si="424"/>
        <v>82</v>
      </c>
      <c r="CL32" s="24">
        <f t="shared" si="424"/>
        <v>30</v>
      </c>
      <c r="CM32" s="24">
        <f t="shared" si="424"/>
        <v>0</v>
      </c>
      <c r="CN32" s="24">
        <f t="shared" si="424"/>
        <v>2</v>
      </c>
      <c r="CO32" s="24">
        <f t="shared" ref="CO32:CS32" si="425">CO19+CO20+CO23</f>
        <v>80</v>
      </c>
      <c r="CP32" s="24">
        <f t="shared" si="425"/>
        <v>112</v>
      </c>
      <c r="CQ32" s="24">
        <f t="shared" si="425"/>
        <v>16</v>
      </c>
      <c r="CR32" s="24">
        <f t="shared" si="425"/>
        <v>0</v>
      </c>
      <c r="CS32" s="24">
        <f t="shared" si="425"/>
        <v>37</v>
      </c>
      <c r="CT32" s="24">
        <f t="shared" ref="CT32:CX32" si="426">CT19+CT20+CT23</f>
        <v>43</v>
      </c>
      <c r="CU32" s="24">
        <f t="shared" si="426"/>
        <v>128</v>
      </c>
      <c r="CV32" s="24">
        <f t="shared" si="426"/>
        <v>36</v>
      </c>
      <c r="CW32" s="24">
        <f t="shared" si="426"/>
        <v>76</v>
      </c>
      <c r="CX32" s="24">
        <f t="shared" si="426"/>
        <v>67</v>
      </c>
      <c r="CY32" s="24">
        <f t="shared" ref="CY32:DC32" si="427">CY19+CY20+CY23</f>
        <v>52</v>
      </c>
      <c r="CZ32" s="24">
        <f t="shared" si="427"/>
        <v>88</v>
      </c>
      <c r="DA32" s="24">
        <f t="shared" si="427"/>
        <v>0</v>
      </c>
      <c r="DB32" s="24">
        <f t="shared" si="427"/>
        <v>0</v>
      </c>
      <c r="DC32" s="24">
        <f t="shared" si="427"/>
        <v>0</v>
      </c>
      <c r="DD32" s="24">
        <f t="shared" ref="DD32:DH32" si="428">DD19+DD20+DD23</f>
        <v>52</v>
      </c>
      <c r="DE32" s="24">
        <f t="shared" si="428"/>
        <v>88</v>
      </c>
      <c r="DF32" s="24">
        <f t="shared" si="428"/>
        <v>116</v>
      </c>
      <c r="DG32" s="24">
        <f t="shared" si="428"/>
        <v>116</v>
      </c>
      <c r="DH32" s="24">
        <f t="shared" si="428"/>
        <v>114</v>
      </c>
      <c r="DI32" s="24">
        <f t="shared" ref="DI32:DM32" si="429">DI19+DI20+DI23</f>
        <v>54</v>
      </c>
      <c r="DJ32" s="24">
        <f t="shared" si="429"/>
        <v>88</v>
      </c>
      <c r="DK32" s="24">
        <f t="shared" si="429"/>
        <v>84</v>
      </c>
      <c r="DL32" s="24">
        <f t="shared" si="429"/>
        <v>120</v>
      </c>
      <c r="DM32" s="24">
        <f t="shared" si="429"/>
        <v>92</v>
      </c>
      <c r="DN32" s="24">
        <f t="shared" ref="DN32:DR32" si="430">DN19+DN20+DN23</f>
        <v>82</v>
      </c>
      <c r="DO32" s="24">
        <f t="shared" si="430"/>
        <v>52</v>
      </c>
      <c r="DP32" s="24">
        <f t="shared" si="430"/>
        <v>64</v>
      </c>
      <c r="DQ32" s="24">
        <f t="shared" si="430"/>
        <v>48</v>
      </c>
      <c r="DR32" s="24">
        <f t="shared" si="430"/>
        <v>60</v>
      </c>
      <c r="DS32" s="24">
        <f t="shared" ref="DS32:DW32" si="431">DS19+DS20+DS23</f>
        <v>70</v>
      </c>
      <c r="DT32" s="24">
        <f t="shared" si="431"/>
        <v>68</v>
      </c>
      <c r="DU32" s="24">
        <f t="shared" si="431"/>
        <v>64</v>
      </c>
      <c r="DV32" s="24">
        <f t="shared" si="431"/>
        <v>80</v>
      </c>
      <c r="DW32" s="24">
        <f t="shared" si="431"/>
        <v>89</v>
      </c>
      <c r="DX32" s="24">
        <f t="shared" ref="DX32:EB32" si="432">DX19+DX20+DX23</f>
        <v>61</v>
      </c>
      <c r="DY32" s="24">
        <f t="shared" si="432"/>
        <v>52</v>
      </c>
      <c r="DZ32" s="24">
        <f t="shared" si="432"/>
        <v>44</v>
      </c>
      <c r="EA32" s="24">
        <f t="shared" si="432"/>
        <v>44</v>
      </c>
      <c r="EB32" s="24">
        <f t="shared" si="432"/>
        <v>43</v>
      </c>
      <c r="EC32" s="24">
        <f t="shared" ref="EC32:EG32" si="433">EC19+EC20+EC23</f>
        <v>67</v>
      </c>
      <c r="ED32" s="24">
        <f t="shared" si="433"/>
        <v>52</v>
      </c>
      <c r="EE32" s="24">
        <f t="shared" si="433"/>
        <v>76</v>
      </c>
      <c r="EF32" s="24">
        <f t="shared" si="433"/>
        <v>48</v>
      </c>
      <c r="EG32" s="24">
        <f t="shared" si="433"/>
        <v>73</v>
      </c>
      <c r="EH32" s="24">
        <f t="shared" ref="EH32:EL32" si="434">EH19+EH20+EH23</f>
        <v>42</v>
      </c>
      <c r="EI32" s="24">
        <f t="shared" si="434"/>
        <v>80</v>
      </c>
      <c r="EJ32" s="24">
        <f t="shared" si="434"/>
        <v>76</v>
      </c>
      <c r="EK32" s="24">
        <f t="shared" si="434"/>
        <v>104</v>
      </c>
      <c r="EL32" s="24">
        <f t="shared" si="434"/>
        <v>88</v>
      </c>
      <c r="EM32" s="24">
        <f t="shared" ref="EM32:EQ32" si="435">EM19+EM20+EM23</f>
        <v>58</v>
      </c>
      <c r="EN32" s="24">
        <f t="shared" si="435"/>
        <v>52</v>
      </c>
      <c r="EO32" s="24">
        <f t="shared" si="435"/>
        <v>32</v>
      </c>
      <c r="EP32" s="24">
        <f t="shared" si="435"/>
        <v>0</v>
      </c>
      <c r="EQ32" s="24">
        <f t="shared" si="435"/>
        <v>102</v>
      </c>
      <c r="ER32" s="24">
        <f t="shared" ref="ER32:EV32" si="436">ER19+ER20+ER23</f>
        <v>-44</v>
      </c>
      <c r="ES32" s="24">
        <f t="shared" si="436"/>
        <v>84</v>
      </c>
      <c r="ET32" s="24">
        <f t="shared" si="436"/>
        <v>32</v>
      </c>
      <c r="EU32" s="24">
        <f t="shared" si="436"/>
        <v>0</v>
      </c>
      <c r="EV32" s="24">
        <f t="shared" si="436"/>
        <v>102</v>
      </c>
      <c r="EW32" s="24">
        <f t="shared" ref="EW32:FA32" si="437">EW19+EW20+EW23</f>
        <v>-146</v>
      </c>
      <c r="EX32" s="24">
        <f t="shared" si="437"/>
        <v>116</v>
      </c>
      <c r="EY32" s="24">
        <f t="shared" si="437"/>
        <v>32</v>
      </c>
      <c r="EZ32" s="24">
        <f t="shared" si="437"/>
        <v>0</v>
      </c>
      <c r="FA32" s="24">
        <f t="shared" si="437"/>
        <v>102</v>
      </c>
      <c r="FB32" s="24">
        <f t="shared" ref="FB32:FF32" si="438">FB19+FB20+FB23</f>
        <v>-248</v>
      </c>
      <c r="FC32" s="24">
        <f t="shared" si="438"/>
        <v>148</v>
      </c>
      <c r="FD32" s="24">
        <f t="shared" si="438"/>
        <v>32</v>
      </c>
      <c r="FE32" s="24">
        <f t="shared" si="438"/>
        <v>0</v>
      </c>
      <c r="FF32" s="24">
        <f t="shared" si="438"/>
        <v>102</v>
      </c>
      <c r="FG32" s="24">
        <f t="shared" ref="FG32:FK32" si="439">FG19+FG20+FG23</f>
        <v>-350</v>
      </c>
      <c r="FH32" s="24">
        <f t="shared" si="439"/>
        <v>180</v>
      </c>
      <c r="FI32" s="24">
        <f t="shared" si="439"/>
        <v>32</v>
      </c>
      <c r="FJ32" s="24">
        <f t="shared" si="439"/>
        <v>0</v>
      </c>
      <c r="FK32" s="24">
        <f t="shared" si="439"/>
        <v>102</v>
      </c>
      <c r="FL32" s="24">
        <f t="shared" ref="FL32:FP32" si="440">FL19+FL20+FL23</f>
        <v>-452</v>
      </c>
      <c r="FM32" s="24">
        <f t="shared" si="440"/>
        <v>212</v>
      </c>
      <c r="FN32" s="24">
        <f t="shared" si="440"/>
        <v>32</v>
      </c>
      <c r="FO32" s="24">
        <f t="shared" si="440"/>
        <v>0</v>
      </c>
      <c r="FP32" s="24">
        <f t="shared" si="440"/>
        <v>102</v>
      </c>
      <c r="FQ32" s="24">
        <f t="shared" ref="FQ32:FU32" si="441">FQ19+FQ20+FQ23</f>
        <v>-554</v>
      </c>
      <c r="FR32" s="24">
        <f t="shared" si="441"/>
        <v>244</v>
      </c>
      <c r="FS32" s="24">
        <f t="shared" si="441"/>
        <v>32</v>
      </c>
      <c r="FT32" s="24">
        <f t="shared" si="441"/>
        <v>0</v>
      </c>
      <c r="FU32" s="24">
        <f t="shared" si="441"/>
        <v>102</v>
      </c>
    </row>
    <row r="33" spans="1:177" s="16" customFormat="1" x14ac:dyDescent="0.35">
      <c r="A33" s="48"/>
      <c r="B33" s="23" t="s">
        <v>45</v>
      </c>
      <c r="C33" s="24">
        <f>C21+C22+C24+C25</f>
        <v>105</v>
      </c>
      <c r="D33" s="24">
        <f t="shared" ref="D33:BO33" si="442">D21+D22+D24+D25</f>
        <v>44</v>
      </c>
      <c r="E33" s="24">
        <f t="shared" si="442"/>
        <v>60</v>
      </c>
      <c r="F33" s="24">
        <f t="shared" si="442"/>
        <v>88</v>
      </c>
      <c r="G33" s="24">
        <f t="shared" si="442"/>
        <v>74</v>
      </c>
      <c r="H33" s="24">
        <f t="shared" si="442"/>
        <v>119</v>
      </c>
      <c r="I33" s="24">
        <f t="shared" si="442"/>
        <v>16</v>
      </c>
      <c r="J33" s="24">
        <f t="shared" si="442"/>
        <v>24</v>
      </c>
      <c r="K33" s="24">
        <f t="shared" si="442"/>
        <v>0</v>
      </c>
      <c r="L33" s="24">
        <f t="shared" si="442"/>
        <v>0</v>
      </c>
      <c r="M33" s="24">
        <f t="shared" si="442"/>
        <v>119</v>
      </c>
      <c r="N33" s="24">
        <f t="shared" si="442"/>
        <v>40</v>
      </c>
      <c r="O33" s="24">
        <f t="shared" si="442"/>
        <v>104</v>
      </c>
      <c r="P33" s="24">
        <f t="shared" si="442"/>
        <v>116</v>
      </c>
      <c r="Q33" s="24">
        <f t="shared" si="442"/>
        <v>96</v>
      </c>
      <c r="R33" s="24">
        <f t="shared" si="442"/>
        <v>139</v>
      </c>
      <c r="S33" s="24">
        <f t="shared" si="442"/>
        <v>28</v>
      </c>
      <c r="T33" s="24">
        <f t="shared" si="442"/>
        <v>116</v>
      </c>
      <c r="U33" s="24">
        <f t="shared" si="442"/>
        <v>128</v>
      </c>
      <c r="V33" s="24">
        <f t="shared" si="442"/>
        <v>85</v>
      </c>
      <c r="W33" s="24">
        <f t="shared" si="442"/>
        <v>182</v>
      </c>
      <c r="X33" s="24">
        <f t="shared" si="442"/>
        <v>16</v>
      </c>
      <c r="Y33" s="24">
        <f t="shared" si="442"/>
        <v>116</v>
      </c>
      <c r="Z33" s="24">
        <f t="shared" si="442"/>
        <v>120</v>
      </c>
      <c r="AA33" s="24">
        <f t="shared" si="442"/>
        <v>93</v>
      </c>
      <c r="AB33" s="24">
        <f t="shared" si="442"/>
        <v>209</v>
      </c>
      <c r="AC33" s="24">
        <f t="shared" si="442"/>
        <v>12</v>
      </c>
      <c r="AD33" s="24">
        <f t="shared" si="442"/>
        <v>120</v>
      </c>
      <c r="AE33" s="24">
        <f t="shared" si="442"/>
        <v>100</v>
      </c>
      <c r="AF33" s="24">
        <f t="shared" si="442"/>
        <v>90</v>
      </c>
      <c r="AG33" s="24">
        <f t="shared" si="442"/>
        <v>219</v>
      </c>
      <c r="AH33" s="24">
        <f t="shared" si="442"/>
        <v>32</v>
      </c>
      <c r="AI33" s="24">
        <f t="shared" si="442"/>
        <v>55</v>
      </c>
      <c r="AJ33" s="24">
        <f t="shared" si="442"/>
        <v>32</v>
      </c>
      <c r="AK33" s="24">
        <f t="shared" si="442"/>
        <v>66</v>
      </c>
      <c r="AL33" s="24">
        <f t="shared" si="442"/>
        <v>185</v>
      </c>
      <c r="AM33" s="24">
        <f t="shared" si="442"/>
        <v>55</v>
      </c>
      <c r="AN33" s="24">
        <f t="shared" si="442"/>
        <v>53</v>
      </c>
      <c r="AO33" s="24">
        <f t="shared" si="442"/>
        <v>60</v>
      </c>
      <c r="AP33" s="24">
        <f t="shared" si="442"/>
        <v>67</v>
      </c>
      <c r="AQ33" s="24">
        <f t="shared" si="442"/>
        <v>178</v>
      </c>
      <c r="AR33" s="24">
        <f t="shared" si="442"/>
        <v>48</v>
      </c>
      <c r="AS33" s="24">
        <f t="shared" si="442"/>
        <v>43</v>
      </c>
      <c r="AT33" s="24">
        <f t="shared" si="442"/>
        <v>64</v>
      </c>
      <c r="AU33" s="24">
        <f t="shared" si="442"/>
        <v>109</v>
      </c>
      <c r="AV33" s="24">
        <f t="shared" si="442"/>
        <v>133</v>
      </c>
      <c r="AW33" s="24">
        <f t="shared" si="442"/>
        <v>27</v>
      </c>
      <c r="AX33" s="24">
        <f t="shared" si="442"/>
        <v>88</v>
      </c>
      <c r="AY33" s="24">
        <f t="shared" si="442"/>
        <v>72</v>
      </c>
      <c r="AZ33" s="24">
        <f t="shared" si="442"/>
        <v>110</v>
      </c>
      <c r="BA33" s="24">
        <f t="shared" si="442"/>
        <v>95</v>
      </c>
      <c r="BB33" s="24">
        <f t="shared" si="442"/>
        <v>43</v>
      </c>
      <c r="BC33" s="24">
        <f t="shared" si="442"/>
        <v>120</v>
      </c>
      <c r="BD33" s="24">
        <f t="shared" si="442"/>
        <v>119</v>
      </c>
      <c r="BE33" s="24">
        <f t="shared" si="442"/>
        <v>109</v>
      </c>
      <c r="BF33" s="24">
        <f t="shared" si="442"/>
        <v>105</v>
      </c>
      <c r="BG33" s="24">
        <f t="shared" si="442"/>
        <v>44</v>
      </c>
      <c r="BH33" s="24">
        <f t="shared" si="442"/>
        <v>120</v>
      </c>
      <c r="BI33" s="24">
        <f t="shared" si="442"/>
        <v>136</v>
      </c>
      <c r="BJ33" s="24">
        <f t="shared" si="442"/>
        <v>155</v>
      </c>
      <c r="BK33" s="24">
        <f t="shared" si="442"/>
        <v>86</v>
      </c>
      <c r="BL33" s="24">
        <f t="shared" si="442"/>
        <v>28</v>
      </c>
      <c r="BM33" s="24">
        <f t="shared" si="442"/>
        <v>80</v>
      </c>
      <c r="BN33" s="24">
        <f t="shared" si="442"/>
        <v>108</v>
      </c>
      <c r="BO33" s="24">
        <f t="shared" si="442"/>
        <v>58</v>
      </c>
      <c r="BP33" s="24">
        <f t="shared" ref="BP33:CD33" si="443">BP21+BP22+BP24+BP25</f>
        <v>136</v>
      </c>
      <c r="BQ33" s="24">
        <f t="shared" si="443"/>
        <v>0</v>
      </c>
      <c r="BR33" s="24">
        <f t="shared" si="443"/>
        <v>108</v>
      </c>
      <c r="BS33" s="24">
        <f t="shared" si="443"/>
        <v>64</v>
      </c>
      <c r="BT33" s="24">
        <f t="shared" si="443"/>
        <v>122</v>
      </c>
      <c r="BU33" s="24">
        <f t="shared" si="443"/>
        <v>78</v>
      </c>
      <c r="BV33" s="24">
        <f t="shared" si="443"/>
        <v>44</v>
      </c>
      <c r="BW33" s="24">
        <f t="shared" si="443"/>
        <v>43</v>
      </c>
      <c r="BX33" s="24">
        <f t="shared" si="443"/>
        <v>63</v>
      </c>
      <c r="BY33" s="24">
        <f t="shared" si="443"/>
        <v>77</v>
      </c>
      <c r="BZ33" s="24">
        <f t="shared" si="443"/>
        <v>39</v>
      </c>
      <c r="CA33" s="24">
        <f t="shared" si="443"/>
        <v>24</v>
      </c>
      <c r="CB33" s="24">
        <f t="shared" si="443"/>
        <v>188</v>
      </c>
      <c r="CC33" s="24">
        <f t="shared" si="443"/>
        <v>138</v>
      </c>
      <c r="CD33" s="24">
        <f t="shared" si="443"/>
        <v>109</v>
      </c>
      <c r="CE33" s="24">
        <f t="shared" ref="CE33:CI33" si="444">CE21+CE22+CE24+CE25</f>
        <v>68</v>
      </c>
      <c r="CF33" s="24">
        <f t="shared" si="444"/>
        <v>74</v>
      </c>
      <c r="CG33" s="24">
        <f t="shared" si="444"/>
        <v>124</v>
      </c>
      <c r="CH33" s="24">
        <f t="shared" si="444"/>
        <v>174</v>
      </c>
      <c r="CI33" s="24">
        <f t="shared" si="444"/>
        <v>174</v>
      </c>
      <c r="CJ33" s="24">
        <f t="shared" ref="CJ33:CN33" si="445">CJ21+CJ22+CJ24+CJ25</f>
        <v>68</v>
      </c>
      <c r="CK33" s="24">
        <f t="shared" si="445"/>
        <v>24</v>
      </c>
      <c r="CL33" s="24">
        <f t="shared" si="445"/>
        <v>156</v>
      </c>
      <c r="CM33" s="24">
        <f t="shared" si="445"/>
        <v>136</v>
      </c>
      <c r="CN33" s="24">
        <f t="shared" si="445"/>
        <v>124</v>
      </c>
      <c r="CO33" s="24">
        <f t="shared" ref="CO33:CS33" si="446">CO21+CO22+CO24+CO25</f>
        <v>80</v>
      </c>
      <c r="CP33" s="24">
        <f t="shared" si="446"/>
        <v>44</v>
      </c>
      <c r="CQ33" s="24">
        <f t="shared" si="446"/>
        <v>132</v>
      </c>
      <c r="CR33" s="24">
        <f t="shared" si="446"/>
        <v>152</v>
      </c>
      <c r="CS33" s="24">
        <f t="shared" si="446"/>
        <v>66</v>
      </c>
      <c r="CT33" s="24">
        <f t="shared" ref="CT33:CX33" si="447">CT21+CT22+CT24+CT25</f>
        <v>166</v>
      </c>
      <c r="CU33" s="24">
        <f t="shared" si="447"/>
        <v>24</v>
      </c>
      <c r="CV33" s="24">
        <f t="shared" si="447"/>
        <v>92</v>
      </c>
      <c r="CW33" s="24">
        <f t="shared" si="447"/>
        <v>100</v>
      </c>
      <c r="CX33" s="24">
        <f t="shared" si="447"/>
        <v>127</v>
      </c>
      <c r="CY33" s="24">
        <f t="shared" ref="CY33:DC33" si="448">CY21+CY22+CY24+CY25</f>
        <v>139</v>
      </c>
      <c r="CZ33" s="24">
        <f t="shared" si="448"/>
        <v>16</v>
      </c>
      <c r="DA33" s="24">
        <f t="shared" si="448"/>
        <v>40</v>
      </c>
      <c r="DB33" s="24">
        <f t="shared" si="448"/>
        <v>0</v>
      </c>
      <c r="DC33" s="24">
        <f t="shared" si="448"/>
        <v>0</v>
      </c>
      <c r="DD33" s="24">
        <f t="shared" ref="DD33:DH33" si="449">DD21+DD22+DD24+DD25</f>
        <v>139</v>
      </c>
      <c r="DE33" s="24">
        <f t="shared" si="449"/>
        <v>56</v>
      </c>
      <c r="DF33" s="24">
        <f t="shared" si="449"/>
        <v>76</v>
      </c>
      <c r="DG33" s="24">
        <f t="shared" si="449"/>
        <v>116</v>
      </c>
      <c r="DH33" s="24">
        <f t="shared" si="449"/>
        <v>74</v>
      </c>
      <c r="DI33" s="24">
        <f t="shared" ref="DI33:DM33" si="450">DI21+DI22+DI24+DI25</f>
        <v>181</v>
      </c>
      <c r="DJ33" s="24">
        <f t="shared" si="450"/>
        <v>16</v>
      </c>
      <c r="DK33" s="24">
        <f t="shared" si="450"/>
        <v>28</v>
      </c>
      <c r="DL33" s="24">
        <f t="shared" si="450"/>
        <v>28</v>
      </c>
      <c r="DM33" s="24">
        <f t="shared" si="450"/>
        <v>96</v>
      </c>
      <c r="DN33" s="24">
        <f t="shared" ref="DN33:DR33" si="451">DN21+DN22+DN24+DN25</f>
        <v>113</v>
      </c>
      <c r="DO33" s="24">
        <f t="shared" si="451"/>
        <v>16</v>
      </c>
      <c r="DP33" s="24">
        <f t="shared" si="451"/>
        <v>96</v>
      </c>
      <c r="DQ33" s="24">
        <f t="shared" si="451"/>
        <v>76</v>
      </c>
      <c r="DR33" s="24">
        <f t="shared" si="451"/>
        <v>57</v>
      </c>
      <c r="DS33" s="24">
        <f t="shared" ref="DS33:DW33" si="452">DS21+DS22+DS24+DS25</f>
        <v>132</v>
      </c>
      <c r="DT33" s="24">
        <f t="shared" si="452"/>
        <v>36</v>
      </c>
      <c r="DU33" s="24">
        <f t="shared" si="452"/>
        <v>56</v>
      </c>
      <c r="DV33" s="24">
        <f t="shared" si="452"/>
        <v>60</v>
      </c>
      <c r="DW33" s="24">
        <f t="shared" si="452"/>
        <v>118</v>
      </c>
      <c r="DX33" s="24">
        <f t="shared" ref="DX33:EB33" si="453">DX21+DX22+DX24+DX25</f>
        <v>74</v>
      </c>
      <c r="DY33" s="24">
        <f t="shared" si="453"/>
        <v>32</v>
      </c>
      <c r="DZ33" s="24">
        <f t="shared" si="453"/>
        <v>87</v>
      </c>
      <c r="EA33" s="24">
        <f t="shared" si="453"/>
        <v>105</v>
      </c>
      <c r="EB33" s="24">
        <f t="shared" si="453"/>
        <v>73</v>
      </c>
      <c r="EC33" s="24">
        <f t="shared" ref="EC33:EG33" si="454">EC21+EC22+EC24+EC25</f>
        <v>106</v>
      </c>
      <c r="ED33" s="24">
        <f t="shared" si="454"/>
        <v>14</v>
      </c>
      <c r="EE33" s="24">
        <f t="shared" si="454"/>
        <v>18</v>
      </c>
      <c r="EF33" s="24">
        <f t="shared" si="454"/>
        <v>28</v>
      </c>
      <c r="EG33" s="24">
        <f t="shared" si="454"/>
        <v>17</v>
      </c>
      <c r="EH33" s="24">
        <f t="shared" ref="EH33:EL33" si="455">EH21+EH22+EH24+EH25</f>
        <v>117</v>
      </c>
      <c r="EI33" s="24">
        <f t="shared" si="455"/>
        <v>4</v>
      </c>
      <c r="EJ33" s="24">
        <f t="shared" si="455"/>
        <v>80</v>
      </c>
      <c r="EK33" s="24">
        <f t="shared" si="455"/>
        <v>80</v>
      </c>
      <c r="EL33" s="24">
        <f t="shared" si="455"/>
        <v>193</v>
      </c>
      <c r="EM33" s="24">
        <f t="shared" ref="EM33:EQ33" si="456">EM21+EM22+EM24+EM25</f>
        <v>4</v>
      </c>
      <c r="EN33" s="24">
        <f t="shared" si="456"/>
        <v>4</v>
      </c>
      <c r="EO33" s="24">
        <f t="shared" si="456"/>
        <v>60</v>
      </c>
      <c r="EP33" s="24">
        <f t="shared" si="456"/>
        <v>0</v>
      </c>
      <c r="EQ33" s="24">
        <f t="shared" si="456"/>
        <v>196</v>
      </c>
      <c r="ER33" s="24">
        <f t="shared" ref="ER33:EV33" si="457">ER21+ER22+ER24+ER25</f>
        <v>-192</v>
      </c>
      <c r="ES33" s="24">
        <f t="shared" si="457"/>
        <v>64</v>
      </c>
      <c r="ET33" s="24">
        <f t="shared" si="457"/>
        <v>60</v>
      </c>
      <c r="EU33" s="24">
        <f t="shared" si="457"/>
        <v>0</v>
      </c>
      <c r="EV33" s="24">
        <f t="shared" si="457"/>
        <v>196</v>
      </c>
      <c r="EW33" s="24">
        <f t="shared" ref="EW33:FA33" si="458">EW21+EW22+EW24+EW25</f>
        <v>-388</v>
      </c>
      <c r="EX33" s="24">
        <f t="shared" si="458"/>
        <v>124</v>
      </c>
      <c r="EY33" s="24">
        <f t="shared" si="458"/>
        <v>60</v>
      </c>
      <c r="EZ33" s="24">
        <f t="shared" si="458"/>
        <v>0</v>
      </c>
      <c r="FA33" s="24">
        <f t="shared" si="458"/>
        <v>196</v>
      </c>
      <c r="FB33" s="24">
        <f t="shared" ref="FB33:FF33" si="459">FB21+FB22+FB24+FB25</f>
        <v>-584</v>
      </c>
      <c r="FC33" s="24">
        <f t="shared" si="459"/>
        <v>184</v>
      </c>
      <c r="FD33" s="24">
        <f t="shared" si="459"/>
        <v>60</v>
      </c>
      <c r="FE33" s="24">
        <f t="shared" si="459"/>
        <v>0</v>
      </c>
      <c r="FF33" s="24">
        <f t="shared" si="459"/>
        <v>196</v>
      </c>
      <c r="FG33" s="24">
        <f t="shared" ref="FG33:FK33" si="460">FG21+FG22+FG24+FG25</f>
        <v>-780</v>
      </c>
      <c r="FH33" s="24">
        <f t="shared" si="460"/>
        <v>244</v>
      </c>
      <c r="FI33" s="24">
        <f t="shared" si="460"/>
        <v>60</v>
      </c>
      <c r="FJ33" s="24">
        <f t="shared" si="460"/>
        <v>0</v>
      </c>
      <c r="FK33" s="24">
        <f t="shared" si="460"/>
        <v>196</v>
      </c>
      <c r="FL33" s="24">
        <f t="shared" ref="FL33:FP33" si="461">FL21+FL22+FL24+FL25</f>
        <v>-976</v>
      </c>
      <c r="FM33" s="24">
        <f t="shared" si="461"/>
        <v>304</v>
      </c>
      <c r="FN33" s="24">
        <f t="shared" si="461"/>
        <v>60</v>
      </c>
      <c r="FO33" s="24">
        <f t="shared" si="461"/>
        <v>0</v>
      </c>
      <c r="FP33" s="24">
        <f t="shared" si="461"/>
        <v>196</v>
      </c>
      <c r="FQ33" s="24">
        <f t="shared" ref="FQ33:FU33" si="462">FQ21+FQ22+FQ24+FQ25</f>
        <v>-1172</v>
      </c>
      <c r="FR33" s="24">
        <f t="shared" si="462"/>
        <v>364</v>
      </c>
      <c r="FS33" s="24">
        <f t="shared" si="462"/>
        <v>60</v>
      </c>
      <c r="FT33" s="24">
        <f t="shared" si="462"/>
        <v>0</v>
      </c>
      <c r="FU33" s="24">
        <f t="shared" si="462"/>
        <v>196</v>
      </c>
    </row>
    <row r="34" spans="1:177" x14ac:dyDescent="0.35">
      <c r="A34" s="48"/>
      <c r="B34" s="3" t="s">
        <v>65</v>
      </c>
      <c r="C34" s="3">
        <f>C16</f>
        <v>76</v>
      </c>
      <c r="D34" s="3">
        <f t="shared" ref="D34:BO34" si="463">D16</f>
        <v>0</v>
      </c>
      <c r="E34" s="3">
        <f t="shared" si="463"/>
        <v>0</v>
      </c>
      <c r="F34" s="3">
        <f t="shared" si="463"/>
        <v>0</v>
      </c>
      <c r="G34" s="3">
        <f t="shared" si="463"/>
        <v>0</v>
      </c>
      <c r="H34" s="3">
        <f t="shared" si="463"/>
        <v>0</v>
      </c>
      <c r="I34" s="3">
        <f t="shared" si="463"/>
        <v>0</v>
      </c>
      <c r="J34" s="3">
        <f t="shared" si="463"/>
        <v>0</v>
      </c>
      <c r="K34" s="3">
        <f t="shared" si="463"/>
        <v>0</v>
      </c>
      <c r="L34" s="3">
        <f t="shared" si="463"/>
        <v>0</v>
      </c>
      <c r="M34" s="3">
        <f t="shared" si="463"/>
        <v>0</v>
      </c>
      <c r="N34" s="3">
        <f t="shared" si="463"/>
        <v>0</v>
      </c>
      <c r="O34" s="3">
        <f t="shared" si="463"/>
        <v>0</v>
      </c>
      <c r="P34" s="3">
        <f t="shared" si="463"/>
        <v>0</v>
      </c>
      <c r="Q34" s="3">
        <f t="shared" si="463"/>
        <v>0</v>
      </c>
      <c r="R34" s="3">
        <f t="shared" si="463"/>
        <v>0</v>
      </c>
      <c r="S34" s="3">
        <f t="shared" si="463"/>
        <v>0</v>
      </c>
      <c r="T34" s="3">
        <f t="shared" si="463"/>
        <v>0</v>
      </c>
      <c r="U34" s="3">
        <f t="shared" si="463"/>
        <v>0</v>
      </c>
      <c r="V34" s="3">
        <f t="shared" si="463"/>
        <v>0</v>
      </c>
      <c r="W34" s="3">
        <f t="shared" si="463"/>
        <v>0</v>
      </c>
      <c r="X34" s="3">
        <f t="shared" si="463"/>
        <v>0</v>
      </c>
      <c r="Y34" s="3">
        <f t="shared" si="463"/>
        <v>112</v>
      </c>
      <c r="Z34" s="3">
        <f t="shared" si="463"/>
        <v>80</v>
      </c>
      <c r="AA34" s="3">
        <f t="shared" si="463"/>
        <v>0</v>
      </c>
      <c r="AB34" s="3">
        <f t="shared" si="463"/>
        <v>80</v>
      </c>
      <c r="AC34" s="3">
        <f t="shared" si="463"/>
        <v>32</v>
      </c>
      <c r="AD34" s="3">
        <f t="shared" si="463"/>
        <v>100</v>
      </c>
      <c r="AE34" s="3">
        <f t="shared" si="463"/>
        <v>0</v>
      </c>
      <c r="AF34" s="3">
        <f t="shared" si="463"/>
        <v>0</v>
      </c>
      <c r="AG34" s="3">
        <f t="shared" si="463"/>
        <v>80</v>
      </c>
      <c r="AH34" s="3">
        <f t="shared" si="463"/>
        <v>132</v>
      </c>
      <c r="AI34" s="3">
        <f t="shared" si="463"/>
        <v>0</v>
      </c>
      <c r="AJ34" s="3">
        <f t="shared" si="463"/>
        <v>0</v>
      </c>
      <c r="AK34" s="3">
        <f t="shared" si="463"/>
        <v>0</v>
      </c>
      <c r="AL34" s="3">
        <f t="shared" si="463"/>
        <v>80</v>
      </c>
      <c r="AM34" s="3">
        <f t="shared" si="463"/>
        <v>132</v>
      </c>
      <c r="AN34" s="3">
        <f t="shared" si="463"/>
        <v>0</v>
      </c>
      <c r="AO34" s="3">
        <f t="shared" si="463"/>
        <v>0</v>
      </c>
      <c r="AP34" s="3">
        <f t="shared" si="463"/>
        <v>60</v>
      </c>
      <c r="AQ34" s="3">
        <f t="shared" si="463"/>
        <v>20</v>
      </c>
      <c r="AR34" s="3">
        <f t="shared" si="463"/>
        <v>132</v>
      </c>
      <c r="AS34" s="3">
        <f t="shared" si="463"/>
        <v>60</v>
      </c>
      <c r="AT34" s="3">
        <f t="shared" si="463"/>
        <v>78</v>
      </c>
      <c r="AU34" s="3">
        <f t="shared" si="463"/>
        <v>0</v>
      </c>
      <c r="AV34" s="3">
        <f t="shared" si="463"/>
        <v>98</v>
      </c>
      <c r="AW34" s="3">
        <f t="shared" si="463"/>
        <v>84</v>
      </c>
      <c r="AX34" s="3">
        <f t="shared" si="463"/>
        <v>0</v>
      </c>
      <c r="AY34" s="3">
        <f t="shared" si="463"/>
        <v>82</v>
      </c>
      <c r="AZ34" s="3">
        <f t="shared" si="463"/>
        <v>0</v>
      </c>
      <c r="BA34" s="3">
        <f t="shared" si="463"/>
        <v>180</v>
      </c>
      <c r="BB34" s="3">
        <f t="shared" si="463"/>
        <v>2</v>
      </c>
      <c r="BC34" s="3">
        <f t="shared" si="463"/>
        <v>48</v>
      </c>
      <c r="BD34" s="3">
        <f t="shared" si="463"/>
        <v>49</v>
      </c>
      <c r="BE34" s="3">
        <f t="shared" si="463"/>
        <v>0</v>
      </c>
      <c r="BF34" s="3">
        <f t="shared" si="463"/>
        <v>229</v>
      </c>
      <c r="BG34" s="3">
        <f t="shared" si="463"/>
        <v>1</v>
      </c>
      <c r="BH34" s="3">
        <f t="shared" si="463"/>
        <v>22</v>
      </c>
      <c r="BI34" s="3">
        <f t="shared" si="463"/>
        <v>22</v>
      </c>
      <c r="BJ34" s="3">
        <f t="shared" si="463"/>
        <v>169</v>
      </c>
      <c r="BK34" s="3">
        <f t="shared" si="463"/>
        <v>82</v>
      </c>
      <c r="BL34" s="3">
        <f t="shared" si="463"/>
        <v>1</v>
      </c>
      <c r="BM34" s="3">
        <f t="shared" si="463"/>
        <v>250</v>
      </c>
      <c r="BN34" s="3">
        <f t="shared" si="463"/>
        <v>143</v>
      </c>
      <c r="BO34" s="3">
        <f t="shared" si="463"/>
        <v>93</v>
      </c>
      <c r="BP34" s="3">
        <f t="shared" ref="BP34:CD34" si="464">BP16</f>
        <v>132</v>
      </c>
      <c r="BQ34" s="3">
        <f t="shared" si="464"/>
        <v>108</v>
      </c>
      <c r="BR34" s="3">
        <f t="shared" si="464"/>
        <v>316</v>
      </c>
      <c r="BS34" s="3">
        <f t="shared" si="464"/>
        <v>257</v>
      </c>
      <c r="BT34" s="3">
        <f t="shared" si="464"/>
        <v>220</v>
      </c>
      <c r="BU34" s="3">
        <f t="shared" si="464"/>
        <v>169</v>
      </c>
      <c r="BV34" s="3">
        <f t="shared" si="464"/>
        <v>167</v>
      </c>
      <c r="BW34" s="3">
        <f t="shared" si="464"/>
        <v>212</v>
      </c>
      <c r="BX34" s="3">
        <f t="shared" si="464"/>
        <v>192</v>
      </c>
      <c r="BY34" s="3">
        <f t="shared" si="464"/>
        <v>160</v>
      </c>
      <c r="BZ34" s="3">
        <f t="shared" si="464"/>
        <v>201</v>
      </c>
      <c r="CA34" s="3">
        <f t="shared" si="464"/>
        <v>187</v>
      </c>
      <c r="CB34" s="3">
        <f t="shared" si="464"/>
        <v>250</v>
      </c>
      <c r="CC34" s="3">
        <f t="shared" si="464"/>
        <v>312</v>
      </c>
      <c r="CD34" s="3">
        <f t="shared" si="464"/>
        <v>210</v>
      </c>
      <c r="CE34" s="3">
        <f t="shared" ref="CE34:CI34" si="465">CE16</f>
        <v>248</v>
      </c>
      <c r="CF34" s="3">
        <f t="shared" si="465"/>
        <v>125</v>
      </c>
      <c r="CG34" s="3">
        <f t="shared" si="465"/>
        <v>167</v>
      </c>
      <c r="CH34" s="3">
        <f t="shared" si="465"/>
        <v>205</v>
      </c>
      <c r="CI34" s="3">
        <f t="shared" si="465"/>
        <v>236</v>
      </c>
      <c r="CJ34" s="3">
        <f t="shared" ref="CJ34:CN34" si="466">CJ16</f>
        <v>259</v>
      </c>
      <c r="CK34" s="3">
        <f t="shared" si="466"/>
        <v>87</v>
      </c>
      <c r="CL34" s="3">
        <f t="shared" si="466"/>
        <v>249</v>
      </c>
      <c r="CM34" s="3">
        <f t="shared" si="466"/>
        <v>278</v>
      </c>
      <c r="CN34" s="3">
        <f t="shared" si="466"/>
        <v>302</v>
      </c>
      <c r="CO34" s="3">
        <f t="shared" ref="CO34:CS34" si="467">CO16</f>
        <v>138</v>
      </c>
      <c r="CP34" s="3">
        <f t="shared" si="467"/>
        <v>58</v>
      </c>
      <c r="CQ34" s="3">
        <f t="shared" si="467"/>
        <v>329</v>
      </c>
      <c r="CR34" s="3">
        <f t="shared" si="467"/>
        <v>201</v>
      </c>
      <c r="CS34" s="3">
        <f t="shared" si="467"/>
        <v>228</v>
      </c>
      <c r="CT34" s="3">
        <f t="shared" ref="CT34:CX34" si="468">CT16</f>
        <v>111</v>
      </c>
      <c r="CU34" s="3">
        <f t="shared" si="468"/>
        <v>186</v>
      </c>
      <c r="CV34" s="3">
        <f t="shared" si="468"/>
        <v>264</v>
      </c>
      <c r="CW34" s="3">
        <f t="shared" si="468"/>
        <v>315</v>
      </c>
      <c r="CX34" s="3">
        <f t="shared" si="468"/>
        <v>325</v>
      </c>
      <c r="CY34" s="3">
        <f t="shared" ref="CY34:DC34" si="469">CY16</f>
        <v>101</v>
      </c>
      <c r="CZ34" s="3">
        <f t="shared" si="469"/>
        <v>135</v>
      </c>
      <c r="DA34" s="3">
        <f t="shared" si="469"/>
        <v>56</v>
      </c>
      <c r="DB34" s="3">
        <f t="shared" si="469"/>
        <v>0</v>
      </c>
      <c r="DC34" s="3">
        <f t="shared" si="469"/>
        <v>0</v>
      </c>
      <c r="DD34" s="3">
        <f t="shared" ref="DD34:DH34" si="470">DD16</f>
        <v>101</v>
      </c>
      <c r="DE34" s="3">
        <f t="shared" si="470"/>
        <v>191</v>
      </c>
      <c r="DF34" s="3">
        <f t="shared" si="470"/>
        <v>155</v>
      </c>
      <c r="DG34" s="3">
        <f t="shared" si="470"/>
        <v>306</v>
      </c>
      <c r="DH34" s="3">
        <f t="shared" si="470"/>
        <v>263</v>
      </c>
      <c r="DI34" s="3">
        <f t="shared" ref="DI34:DM34" si="471">DI16</f>
        <v>144</v>
      </c>
      <c r="DJ34" s="3">
        <f t="shared" si="471"/>
        <v>40</v>
      </c>
      <c r="DK34" s="3">
        <f t="shared" si="471"/>
        <v>241</v>
      </c>
      <c r="DL34" s="3">
        <f t="shared" si="471"/>
        <v>225</v>
      </c>
      <c r="DM34" s="3">
        <f t="shared" si="471"/>
        <v>217</v>
      </c>
      <c r="DN34" s="3">
        <f t="shared" ref="DN34:DR34" si="472">DN16</f>
        <v>152</v>
      </c>
      <c r="DO34" s="3">
        <f t="shared" si="472"/>
        <v>56</v>
      </c>
      <c r="DP34" s="3">
        <f t="shared" si="472"/>
        <v>310</v>
      </c>
      <c r="DQ34" s="3">
        <f t="shared" si="472"/>
        <v>266</v>
      </c>
      <c r="DR34" s="3">
        <f t="shared" si="472"/>
        <v>214</v>
      </c>
      <c r="DS34" s="3">
        <f t="shared" ref="DS34:DW34" si="473">DS16</f>
        <v>89</v>
      </c>
      <c r="DT34" s="3">
        <f t="shared" si="473"/>
        <v>100</v>
      </c>
      <c r="DU34" s="3">
        <f t="shared" si="473"/>
        <v>353</v>
      </c>
      <c r="DV34" s="3">
        <f t="shared" si="473"/>
        <v>453</v>
      </c>
      <c r="DW34" s="3">
        <f t="shared" si="473"/>
        <v>437</v>
      </c>
      <c r="DX34" s="3">
        <f t="shared" ref="DX34:EB34" si="474">DX16</f>
        <v>105</v>
      </c>
      <c r="DY34" s="3">
        <f t="shared" si="474"/>
        <v>0</v>
      </c>
      <c r="DZ34" s="3">
        <f t="shared" si="474"/>
        <v>484</v>
      </c>
      <c r="EA34" s="3">
        <f t="shared" si="474"/>
        <v>414</v>
      </c>
      <c r="EB34" s="3">
        <f t="shared" si="474"/>
        <v>450</v>
      </c>
      <c r="EC34" s="3">
        <f t="shared" ref="EC34:EG34" si="475">EC16</f>
        <v>69</v>
      </c>
      <c r="ED34" s="3">
        <f t="shared" si="475"/>
        <v>70</v>
      </c>
      <c r="EE34" s="3">
        <f t="shared" si="475"/>
        <v>351</v>
      </c>
      <c r="EF34" s="3">
        <f t="shared" si="475"/>
        <v>395</v>
      </c>
      <c r="EG34" s="3">
        <f t="shared" si="475"/>
        <v>432</v>
      </c>
      <c r="EH34" s="3">
        <f t="shared" ref="EH34:EL34" si="476">EH16</f>
        <v>32</v>
      </c>
      <c r="EI34" s="3">
        <f t="shared" si="476"/>
        <v>26</v>
      </c>
      <c r="EJ34" s="3">
        <f t="shared" si="476"/>
        <v>298</v>
      </c>
      <c r="EK34" s="3">
        <f t="shared" si="476"/>
        <v>261</v>
      </c>
      <c r="EL34" s="3">
        <f t="shared" si="476"/>
        <v>209</v>
      </c>
      <c r="EM34" s="3">
        <f t="shared" ref="EM34:EQ34" si="477">EM16</f>
        <v>84</v>
      </c>
      <c r="EN34" s="3">
        <f t="shared" si="477"/>
        <v>63</v>
      </c>
      <c r="EO34" s="3">
        <f t="shared" si="477"/>
        <v>50</v>
      </c>
      <c r="EP34" s="3">
        <f t="shared" si="477"/>
        <v>0</v>
      </c>
      <c r="EQ34" s="3">
        <f t="shared" si="477"/>
        <v>410</v>
      </c>
      <c r="ER34" s="3">
        <f t="shared" ref="ER34:EV34" si="478">ER16</f>
        <v>-326</v>
      </c>
      <c r="ES34" s="3">
        <f t="shared" si="478"/>
        <v>113</v>
      </c>
      <c r="ET34" s="3">
        <f t="shared" si="478"/>
        <v>50</v>
      </c>
      <c r="EU34" s="3">
        <f t="shared" si="478"/>
        <v>0</v>
      </c>
      <c r="EV34" s="3">
        <f t="shared" si="478"/>
        <v>410</v>
      </c>
      <c r="EW34" s="3">
        <f t="shared" ref="EW34:FA34" si="479">EW16</f>
        <v>-736</v>
      </c>
      <c r="EX34" s="3">
        <f t="shared" si="479"/>
        <v>163</v>
      </c>
      <c r="EY34" s="3">
        <f t="shared" si="479"/>
        <v>50</v>
      </c>
      <c r="EZ34" s="3">
        <f t="shared" si="479"/>
        <v>0</v>
      </c>
      <c r="FA34" s="3">
        <f t="shared" si="479"/>
        <v>410</v>
      </c>
      <c r="FB34" s="3">
        <f t="shared" ref="FB34:FF34" si="480">FB16</f>
        <v>-1146</v>
      </c>
      <c r="FC34" s="3">
        <f t="shared" si="480"/>
        <v>213</v>
      </c>
      <c r="FD34" s="3">
        <f t="shared" si="480"/>
        <v>50</v>
      </c>
      <c r="FE34" s="3">
        <f t="shared" si="480"/>
        <v>0</v>
      </c>
      <c r="FF34" s="3">
        <f t="shared" si="480"/>
        <v>410</v>
      </c>
      <c r="FG34" s="3">
        <f t="shared" ref="FG34:FK34" si="481">FG16</f>
        <v>-1556</v>
      </c>
      <c r="FH34" s="3">
        <f t="shared" si="481"/>
        <v>263</v>
      </c>
      <c r="FI34" s="3">
        <f t="shared" si="481"/>
        <v>50</v>
      </c>
      <c r="FJ34" s="3">
        <f t="shared" si="481"/>
        <v>0</v>
      </c>
      <c r="FK34" s="3">
        <f t="shared" si="481"/>
        <v>410</v>
      </c>
      <c r="FL34" s="3">
        <f t="shared" ref="FL34:FP34" si="482">FL16</f>
        <v>-1966</v>
      </c>
      <c r="FM34" s="3">
        <f t="shared" si="482"/>
        <v>313</v>
      </c>
      <c r="FN34" s="3">
        <f t="shared" si="482"/>
        <v>50</v>
      </c>
      <c r="FO34" s="3">
        <f t="shared" si="482"/>
        <v>0</v>
      </c>
      <c r="FP34" s="3">
        <f t="shared" si="482"/>
        <v>410</v>
      </c>
      <c r="FQ34" s="3">
        <f t="shared" ref="FQ34:FU34" si="483">FQ16</f>
        <v>-2376</v>
      </c>
      <c r="FR34" s="3">
        <f t="shared" si="483"/>
        <v>363</v>
      </c>
      <c r="FS34" s="3">
        <f t="shared" si="483"/>
        <v>50</v>
      </c>
      <c r="FT34" s="3">
        <f t="shared" si="483"/>
        <v>0</v>
      </c>
      <c r="FU34" s="3">
        <f t="shared" si="483"/>
        <v>410</v>
      </c>
    </row>
    <row r="35" spans="1:177" x14ac:dyDescent="0.35">
      <c r="A35" s="33" t="s">
        <v>39</v>
      </c>
      <c r="B35" s="33"/>
      <c r="C35" s="28">
        <f>SUM(C30:C34)</f>
        <v>670</v>
      </c>
      <c r="D35" s="28">
        <f t="shared" ref="D35:BO35" si="484">SUM(D30:D34)</f>
        <v>624</v>
      </c>
      <c r="E35" s="28">
        <f t="shared" si="484"/>
        <v>385</v>
      </c>
      <c r="F35" s="28">
        <f t="shared" si="484"/>
        <v>324</v>
      </c>
      <c r="G35" s="28">
        <f t="shared" si="484"/>
        <v>311</v>
      </c>
      <c r="H35" s="28">
        <f t="shared" si="484"/>
        <v>607</v>
      </c>
      <c r="I35" s="28">
        <f t="shared" si="484"/>
        <v>685</v>
      </c>
      <c r="J35" s="28">
        <f t="shared" si="484"/>
        <v>140</v>
      </c>
      <c r="K35" s="28">
        <f t="shared" si="484"/>
        <v>227</v>
      </c>
      <c r="L35" s="28">
        <f t="shared" si="484"/>
        <v>103</v>
      </c>
      <c r="M35" s="28">
        <f t="shared" si="484"/>
        <v>638</v>
      </c>
      <c r="N35" s="28">
        <f t="shared" si="484"/>
        <v>598</v>
      </c>
      <c r="O35" s="28">
        <f t="shared" si="484"/>
        <v>316</v>
      </c>
      <c r="P35" s="28">
        <f t="shared" si="484"/>
        <v>252</v>
      </c>
      <c r="Q35" s="28">
        <f t="shared" si="484"/>
        <v>208</v>
      </c>
      <c r="R35" s="28">
        <f t="shared" si="484"/>
        <v>682</v>
      </c>
      <c r="S35" s="28">
        <f t="shared" si="484"/>
        <v>662</v>
      </c>
      <c r="T35" s="28">
        <f t="shared" si="484"/>
        <v>328</v>
      </c>
      <c r="U35" s="28">
        <f t="shared" si="484"/>
        <v>242</v>
      </c>
      <c r="V35" s="28">
        <f t="shared" si="484"/>
        <v>199</v>
      </c>
      <c r="W35" s="28">
        <f t="shared" si="484"/>
        <v>643</v>
      </c>
      <c r="X35" s="28">
        <f t="shared" si="484"/>
        <v>748</v>
      </c>
      <c r="Y35" s="28">
        <f t="shared" si="484"/>
        <v>284</v>
      </c>
      <c r="Z35" s="28">
        <f t="shared" si="484"/>
        <v>312</v>
      </c>
      <c r="AA35" s="28">
        <f t="shared" si="484"/>
        <v>225</v>
      </c>
      <c r="AB35" s="28">
        <f t="shared" si="484"/>
        <v>730</v>
      </c>
      <c r="AC35" s="28">
        <f t="shared" si="484"/>
        <v>720</v>
      </c>
      <c r="AD35" s="28">
        <f t="shared" si="484"/>
        <v>345</v>
      </c>
      <c r="AE35" s="28">
        <f t="shared" si="484"/>
        <v>295</v>
      </c>
      <c r="AF35" s="28">
        <f t="shared" si="484"/>
        <v>242</v>
      </c>
      <c r="AG35" s="28">
        <f t="shared" si="484"/>
        <v>795</v>
      </c>
      <c r="AH35" s="28">
        <f t="shared" si="484"/>
        <v>756</v>
      </c>
      <c r="AI35" s="28">
        <f t="shared" si="484"/>
        <v>284</v>
      </c>
      <c r="AJ35" s="28">
        <f t="shared" si="484"/>
        <v>228</v>
      </c>
      <c r="AK35" s="28">
        <f t="shared" si="484"/>
        <v>221</v>
      </c>
      <c r="AL35" s="28">
        <f t="shared" si="484"/>
        <v>802</v>
      </c>
      <c r="AM35" s="28">
        <f t="shared" si="484"/>
        <v>812</v>
      </c>
      <c r="AN35" s="28">
        <f t="shared" si="484"/>
        <v>349</v>
      </c>
      <c r="AO35" s="28">
        <f t="shared" si="484"/>
        <v>293</v>
      </c>
      <c r="AP35" s="28">
        <f t="shared" si="484"/>
        <v>350</v>
      </c>
      <c r="AQ35" s="28">
        <f t="shared" si="484"/>
        <v>745</v>
      </c>
      <c r="AR35" s="28">
        <f t="shared" si="484"/>
        <v>868</v>
      </c>
      <c r="AS35" s="28">
        <f t="shared" si="484"/>
        <v>280</v>
      </c>
      <c r="AT35" s="28">
        <f t="shared" si="484"/>
        <v>302</v>
      </c>
      <c r="AU35" s="28">
        <f t="shared" si="484"/>
        <v>336</v>
      </c>
      <c r="AV35" s="28">
        <f t="shared" si="484"/>
        <v>711</v>
      </c>
      <c r="AW35" s="28">
        <f t="shared" si="484"/>
        <v>816</v>
      </c>
      <c r="AX35" s="28">
        <f t="shared" si="484"/>
        <v>167</v>
      </c>
      <c r="AY35" s="28">
        <f t="shared" si="484"/>
        <v>284</v>
      </c>
      <c r="AZ35" s="28">
        <f t="shared" si="484"/>
        <v>273</v>
      </c>
      <c r="BA35" s="28">
        <f t="shared" si="484"/>
        <v>722</v>
      </c>
      <c r="BB35" s="28">
        <f t="shared" si="484"/>
        <v>699</v>
      </c>
      <c r="BC35" s="28">
        <f t="shared" si="484"/>
        <v>244</v>
      </c>
      <c r="BD35" s="28">
        <f t="shared" si="484"/>
        <v>284</v>
      </c>
      <c r="BE35" s="28">
        <f t="shared" si="484"/>
        <v>217</v>
      </c>
      <c r="BF35" s="28">
        <f t="shared" si="484"/>
        <v>789</v>
      </c>
      <c r="BG35" s="28">
        <f t="shared" si="484"/>
        <v>659</v>
      </c>
      <c r="BH35" s="28">
        <f t="shared" si="484"/>
        <v>238</v>
      </c>
      <c r="BI35" s="28">
        <f t="shared" si="484"/>
        <v>245</v>
      </c>
      <c r="BJ35" s="28">
        <f t="shared" si="484"/>
        <v>411</v>
      </c>
      <c r="BK35" s="28">
        <f t="shared" si="484"/>
        <v>623</v>
      </c>
      <c r="BL35" s="28">
        <f t="shared" si="484"/>
        <v>652</v>
      </c>
      <c r="BM35" s="28">
        <f t="shared" si="484"/>
        <v>418</v>
      </c>
      <c r="BN35" s="28">
        <f t="shared" si="484"/>
        <v>376</v>
      </c>
      <c r="BO35" s="28">
        <f t="shared" si="484"/>
        <v>338</v>
      </c>
      <c r="BP35" s="28">
        <f t="shared" ref="BP35:CD35" si="485">SUM(BP30:BP34)</f>
        <v>661</v>
      </c>
      <c r="BQ35" s="28">
        <f t="shared" si="485"/>
        <v>694</v>
      </c>
      <c r="BR35" s="28">
        <f t="shared" si="485"/>
        <v>511</v>
      </c>
      <c r="BS35" s="28">
        <f t="shared" si="485"/>
        <v>408</v>
      </c>
      <c r="BT35" s="28">
        <f t="shared" si="485"/>
        <v>414</v>
      </c>
      <c r="BU35" s="28">
        <f t="shared" si="485"/>
        <v>655</v>
      </c>
      <c r="BV35" s="28">
        <f t="shared" si="485"/>
        <v>797</v>
      </c>
      <c r="BW35" s="28">
        <f t="shared" si="485"/>
        <v>394</v>
      </c>
      <c r="BX35" s="28">
        <f t="shared" si="485"/>
        <v>348</v>
      </c>
      <c r="BY35" s="28">
        <f t="shared" si="485"/>
        <v>339</v>
      </c>
      <c r="BZ35" s="28">
        <f t="shared" si="485"/>
        <v>639</v>
      </c>
      <c r="CA35" s="28">
        <f t="shared" si="485"/>
        <v>843</v>
      </c>
      <c r="CB35" s="28">
        <f t="shared" si="485"/>
        <v>488</v>
      </c>
      <c r="CC35" s="28">
        <f t="shared" si="485"/>
        <v>509</v>
      </c>
      <c r="CD35" s="28">
        <f t="shared" si="485"/>
        <v>376</v>
      </c>
      <c r="CE35" s="28">
        <f t="shared" ref="CE35" si="486">SUM(CE30:CE34)</f>
        <v>717</v>
      </c>
      <c r="CF35" s="28">
        <f t="shared" ref="CF35" si="487">SUM(CF30:CF34)</f>
        <v>822</v>
      </c>
      <c r="CG35" s="28">
        <f t="shared" ref="CG35" si="488">SUM(CG30:CG34)</f>
        <v>328</v>
      </c>
      <c r="CH35" s="28">
        <f t="shared" ref="CH35" si="489">SUM(CH30:CH34)</f>
        <v>403</v>
      </c>
      <c r="CI35" s="28">
        <f t="shared" ref="CI35" si="490">SUM(CI30:CI34)</f>
        <v>424</v>
      </c>
      <c r="CJ35" s="28">
        <f t="shared" ref="CJ35" si="491">SUM(CJ30:CJ34)</f>
        <v>738</v>
      </c>
      <c r="CK35" s="28">
        <f t="shared" ref="CK35" si="492">SUM(CK30:CK34)</f>
        <v>747</v>
      </c>
      <c r="CL35" s="28">
        <f t="shared" ref="CL35" si="493">SUM(CL30:CL34)</f>
        <v>435</v>
      </c>
      <c r="CM35" s="28">
        <f t="shared" ref="CM35" si="494">SUM(CM30:CM34)</f>
        <v>450</v>
      </c>
      <c r="CN35" s="28">
        <f t="shared" ref="CN35:CR35" si="495">SUM(CN30:CN34)</f>
        <v>460</v>
      </c>
      <c r="CO35" s="28">
        <f t="shared" si="495"/>
        <v>631</v>
      </c>
      <c r="CP35" s="28">
        <f t="shared" si="495"/>
        <v>732</v>
      </c>
      <c r="CQ35" s="28">
        <f t="shared" si="495"/>
        <v>522</v>
      </c>
      <c r="CR35" s="28">
        <f t="shared" si="495"/>
        <v>398</v>
      </c>
      <c r="CS35" s="28">
        <f t="shared" ref="CS35:CW35" si="496">SUM(CS30:CS34)</f>
        <v>351</v>
      </c>
      <c r="CT35" s="28">
        <f t="shared" si="496"/>
        <v>678</v>
      </c>
      <c r="CU35" s="28">
        <f t="shared" si="496"/>
        <v>856</v>
      </c>
      <c r="CV35" s="28">
        <f t="shared" si="496"/>
        <v>392</v>
      </c>
      <c r="CW35" s="28">
        <f t="shared" si="496"/>
        <v>491</v>
      </c>
      <c r="CX35" s="28">
        <f t="shared" ref="CX35:DB35" si="497">SUM(CX30:CX34)</f>
        <v>519</v>
      </c>
      <c r="CY35" s="28">
        <f t="shared" si="497"/>
        <v>650</v>
      </c>
      <c r="CZ35" s="28">
        <f t="shared" si="497"/>
        <v>757</v>
      </c>
      <c r="DA35" s="28">
        <f t="shared" si="497"/>
        <v>116</v>
      </c>
      <c r="DB35" s="28">
        <f t="shared" si="497"/>
        <v>0</v>
      </c>
      <c r="DC35" s="28">
        <f t="shared" ref="DC35:DG35" si="498">SUM(DC30:DC34)</f>
        <v>0</v>
      </c>
      <c r="DD35" s="28">
        <f t="shared" si="498"/>
        <v>650</v>
      </c>
      <c r="DE35" s="28">
        <f t="shared" si="498"/>
        <v>873</v>
      </c>
      <c r="DF35" s="28">
        <f t="shared" si="498"/>
        <v>354</v>
      </c>
      <c r="DG35" s="28">
        <f t="shared" si="498"/>
        <v>565</v>
      </c>
      <c r="DH35" s="28">
        <f t="shared" ref="DH35:DL35" si="499">SUM(DH30:DH34)</f>
        <v>472</v>
      </c>
      <c r="DI35" s="28">
        <f t="shared" si="499"/>
        <v>743</v>
      </c>
      <c r="DJ35" s="28">
        <f t="shared" si="499"/>
        <v>662</v>
      </c>
      <c r="DK35" s="28">
        <f t="shared" si="499"/>
        <v>353</v>
      </c>
      <c r="DL35" s="28">
        <f t="shared" si="499"/>
        <v>373</v>
      </c>
      <c r="DM35" s="28">
        <f t="shared" ref="DM35:DQ35" si="500">SUM(DM30:DM34)</f>
        <v>436</v>
      </c>
      <c r="DN35" s="28">
        <f t="shared" si="500"/>
        <v>680</v>
      </c>
      <c r="DO35" s="28">
        <f t="shared" si="500"/>
        <v>642</v>
      </c>
      <c r="DP35" s="28">
        <f t="shared" si="500"/>
        <v>494</v>
      </c>
      <c r="DQ35" s="28">
        <f t="shared" si="500"/>
        <v>414</v>
      </c>
      <c r="DR35" s="28">
        <f t="shared" ref="DR35:DV35" si="501">SUM(DR30:DR34)</f>
        <v>347</v>
      </c>
      <c r="DS35" s="28">
        <f t="shared" si="501"/>
        <v>632</v>
      </c>
      <c r="DT35" s="28">
        <f t="shared" si="501"/>
        <v>722</v>
      </c>
      <c r="DU35" s="28">
        <f t="shared" si="501"/>
        <v>482</v>
      </c>
      <c r="DV35" s="28">
        <f t="shared" si="501"/>
        <v>602</v>
      </c>
      <c r="DW35" s="28">
        <f t="shared" ref="DW35:EA35" si="502">SUM(DW30:DW34)</f>
        <v>668</v>
      </c>
      <c r="DX35" s="28">
        <f t="shared" si="502"/>
        <v>566</v>
      </c>
      <c r="DY35" s="28">
        <f t="shared" si="502"/>
        <v>602</v>
      </c>
      <c r="DZ35" s="28">
        <f t="shared" si="502"/>
        <v>642</v>
      </c>
      <c r="EA35" s="28">
        <f t="shared" si="502"/>
        <v>590</v>
      </c>
      <c r="EB35" s="28">
        <f t="shared" ref="EB35:EF35" si="503">SUM(EB30:EB34)</f>
        <v>570</v>
      </c>
      <c r="EC35" s="28">
        <f t="shared" si="503"/>
        <v>591</v>
      </c>
      <c r="ED35" s="28">
        <f t="shared" si="503"/>
        <v>654</v>
      </c>
      <c r="EE35" s="28">
        <f t="shared" si="503"/>
        <v>481</v>
      </c>
      <c r="EF35" s="28">
        <f t="shared" si="503"/>
        <v>507</v>
      </c>
      <c r="EG35" s="28">
        <f t="shared" ref="EG35:EK35" si="504">SUM(EG30:EG34)</f>
        <v>554</v>
      </c>
      <c r="EH35" s="28">
        <f t="shared" si="504"/>
        <v>544</v>
      </c>
      <c r="EI35" s="28">
        <f t="shared" si="504"/>
        <v>628</v>
      </c>
      <c r="EJ35" s="28">
        <f t="shared" si="504"/>
        <v>454</v>
      </c>
      <c r="EK35" s="28">
        <f t="shared" si="504"/>
        <v>445</v>
      </c>
      <c r="EL35" s="28">
        <f t="shared" ref="EL35:EP35" si="505">SUM(EL30:EL34)</f>
        <v>522</v>
      </c>
      <c r="EM35" s="28">
        <f t="shared" si="505"/>
        <v>467</v>
      </c>
      <c r="EN35" s="28">
        <f t="shared" si="505"/>
        <v>637</v>
      </c>
      <c r="EO35" s="28">
        <f t="shared" si="505"/>
        <v>173</v>
      </c>
      <c r="EP35" s="28">
        <f t="shared" si="505"/>
        <v>31</v>
      </c>
      <c r="EQ35" s="28">
        <f t="shared" ref="EQ35:EU35" si="506">SUM(EQ30:EQ34)</f>
        <v>762</v>
      </c>
      <c r="ER35" s="28">
        <f t="shared" si="506"/>
        <v>-264</v>
      </c>
      <c r="ES35" s="28">
        <f t="shared" si="506"/>
        <v>779</v>
      </c>
      <c r="ET35" s="28">
        <f t="shared" si="506"/>
        <v>173</v>
      </c>
      <c r="EU35" s="28">
        <f t="shared" si="506"/>
        <v>31</v>
      </c>
      <c r="EV35" s="28">
        <f t="shared" ref="EV35:EZ35" si="507">SUM(EV30:EV34)</f>
        <v>762</v>
      </c>
      <c r="EW35" s="28">
        <f t="shared" si="507"/>
        <v>-995</v>
      </c>
      <c r="EX35" s="28">
        <f t="shared" si="507"/>
        <v>921</v>
      </c>
      <c r="EY35" s="28">
        <f t="shared" si="507"/>
        <v>173</v>
      </c>
      <c r="EZ35" s="28">
        <f t="shared" si="507"/>
        <v>31</v>
      </c>
      <c r="FA35" s="28">
        <f t="shared" ref="FA35:FE35" si="508">SUM(FA30:FA34)</f>
        <v>762</v>
      </c>
      <c r="FB35" s="28">
        <f t="shared" si="508"/>
        <v>-1726</v>
      </c>
      <c r="FC35" s="28">
        <f t="shared" si="508"/>
        <v>1063</v>
      </c>
      <c r="FD35" s="28">
        <f t="shared" si="508"/>
        <v>173</v>
      </c>
      <c r="FE35" s="28">
        <f t="shared" si="508"/>
        <v>31</v>
      </c>
      <c r="FF35" s="28">
        <f t="shared" ref="FF35:FJ35" si="509">SUM(FF30:FF34)</f>
        <v>762</v>
      </c>
      <c r="FG35" s="28">
        <f t="shared" si="509"/>
        <v>-2457</v>
      </c>
      <c r="FH35" s="28">
        <f t="shared" si="509"/>
        <v>1205</v>
      </c>
      <c r="FI35" s="28">
        <f t="shared" si="509"/>
        <v>173</v>
      </c>
      <c r="FJ35" s="28">
        <f t="shared" si="509"/>
        <v>31</v>
      </c>
      <c r="FK35" s="28">
        <f t="shared" ref="FK35:FO35" si="510">SUM(FK30:FK34)</f>
        <v>762</v>
      </c>
      <c r="FL35" s="28">
        <f t="shared" si="510"/>
        <v>-3188</v>
      </c>
      <c r="FM35" s="28">
        <f t="shared" si="510"/>
        <v>1347</v>
      </c>
      <c r="FN35" s="28">
        <f t="shared" si="510"/>
        <v>173</v>
      </c>
      <c r="FO35" s="28">
        <f t="shared" si="510"/>
        <v>31</v>
      </c>
      <c r="FP35" s="28">
        <f t="shared" ref="FP35:FT35" si="511">SUM(FP30:FP34)</f>
        <v>762</v>
      </c>
      <c r="FQ35" s="28">
        <f t="shared" si="511"/>
        <v>-3919</v>
      </c>
      <c r="FR35" s="28">
        <f t="shared" si="511"/>
        <v>1489</v>
      </c>
      <c r="FS35" s="28">
        <f t="shared" si="511"/>
        <v>173</v>
      </c>
      <c r="FT35" s="28">
        <f t="shared" si="511"/>
        <v>31</v>
      </c>
      <c r="FU35" s="28">
        <f t="shared" ref="FU35" si="512">SUM(FU30:FU34)</f>
        <v>762</v>
      </c>
    </row>
  </sheetData>
  <mergeCells count="41">
    <mergeCell ref="FQ2:FU2"/>
    <mergeCell ref="ER2:EV2"/>
    <mergeCell ref="EW2:FA2"/>
    <mergeCell ref="FB2:FF2"/>
    <mergeCell ref="FG2:FK2"/>
    <mergeCell ref="FL2:FP2"/>
    <mergeCell ref="DS2:DW2"/>
    <mergeCell ref="CO2:CS2"/>
    <mergeCell ref="CT2:CX2"/>
    <mergeCell ref="DD2:DH2"/>
    <mergeCell ref="DI2:DM2"/>
    <mergeCell ref="DN2:DR2"/>
    <mergeCell ref="CY2:DC2"/>
    <mergeCell ref="CJ2:CN2"/>
    <mergeCell ref="BZ2:CD2"/>
    <mergeCell ref="BA2:BE2"/>
    <mergeCell ref="BF2:BJ2"/>
    <mergeCell ref="BU2:BY2"/>
    <mergeCell ref="A26:B26"/>
    <mergeCell ref="A27:B27"/>
    <mergeCell ref="AG2:AK2"/>
    <mergeCell ref="AL2:AP2"/>
    <mergeCell ref="CE2:CI2"/>
    <mergeCell ref="AQ2:AU2"/>
    <mergeCell ref="AV2:AZ2"/>
    <mergeCell ref="EM2:EQ2"/>
    <mergeCell ref="EH2:EL2"/>
    <mergeCell ref="DX2:EB2"/>
    <mergeCell ref="EC2:EG2"/>
    <mergeCell ref="A35:B35"/>
    <mergeCell ref="BK2:BO2"/>
    <mergeCell ref="BP2:BT2"/>
    <mergeCell ref="A11:B11"/>
    <mergeCell ref="A16:B16"/>
    <mergeCell ref="A30:A34"/>
    <mergeCell ref="AB2:AF2"/>
    <mergeCell ref="W2:AA2"/>
    <mergeCell ref="R2:V2"/>
    <mergeCell ref="H2:L2"/>
    <mergeCell ref="M2:Q2"/>
    <mergeCell ref="C2:G2"/>
  </mergeCells>
  <pageMargins left="0.7" right="0.7" top="0.75" bottom="0.75" header="0.3" footer="0.3"/>
  <headerFooter>
    <oddFooter>&amp;L_x000D_&amp;1#&amp;"Calibri Light"&amp;8&amp;K000000 Classified as Public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296DF-8FE9-4A95-942B-46AF40BBC269}">
  <dimension ref="A2:CI49"/>
  <sheetViews>
    <sheetView tabSelected="1" zoomScale="70" zoomScaleNormal="70" workbookViewId="0">
      <pane xSplit="2" ySplit="3" topLeftCell="BF4" activePane="bottomRight" state="frozen"/>
      <selection pane="topRight" activeCell="C1" sqref="C1"/>
      <selection pane="bottomLeft" activeCell="A4" sqref="A4"/>
      <selection pane="bottomRight" activeCell="BK6" sqref="BK6"/>
    </sheetView>
  </sheetViews>
  <sheetFormatPr defaultRowHeight="14.5" x14ac:dyDescent="0.35"/>
  <cols>
    <col min="1" max="1" width="16.453125" bestFit="1" customWidth="1"/>
    <col min="2" max="2" width="17.36328125" bestFit="1" customWidth="1"/>
    <col min="3" max="3" width="7" hidden="1" customWidth="1"/>
    <col min="4" max="4" width="5.90625" hidden="1" customWidth="1"/>
    <col min="5" max="5" width="7.90625" hidden="1" customWidth="1"/>
    <col min="6" max="6" width="8.54296875" hidden="1" customWidth="1"/>
    <col min="7" max="7" width="9" hidden="1" customWidth="1"/>
    <col min="8" max="8" width="7" hidden="1" customWidth="1"/>
    <col min="9" max="9" width="5.90625" hidden="1" customWidth="1"/>
    <col min="10" max="10" width="7.90625" hidden="1" customWidth="1"/>
    <col min="11" max="11" width="8.54296875" hidden="1" customWidth="1"/>
    <col min="12" max="12" width="9" hidden="1" customWidth="1"/>
    <col min="13" max="13" width="7" hidden="1" customWidth="1"/>
    <col min="14" max="14" width="5.90625" hidden="1" customWidth="1"/>
    <col min="15" max="15" width="7.90625" hidden="1" customWidth="1"/>
    <col min="16" max="16" width="8.54296875" hidden="1" customWidth="1"/>
    <col min="17" max="17" width="8.26953125" hidden="1" customWidth="1"/>
    <col min="18" max="18" width="7" hidden="1" customWidth="1"/>
    <col min="19" max="19" width="5.90625" hidden="1" customWidth="1"/>
    <col min="20" max="20" width="7.90625" hidden="1" customWidth="1"/>
    <col min="21" max="21" width="8.54296875" hidden="1" customWidth="1"/>
    <col min="22" max="22" width="8.26953125" hidden="1" customWidth="1"/>
    <col min="23" max="23" width="7" hidden="1" customWidth="1"/>
    <col min="24" max="24" width="5.90625" hidden="1" customWidth="1"/>
    <col min="25" max="25" width="7.90625" hidden="1" customWidth="1"/>
    <col min="26" max="26" width="8.54296875" hidden="1" customWidth="1"/>
    <col min="27" max="27" width="8.26953125" hidden="1" customWidth="1"/>
    <col min="28" max="28" width="7" hidden="1" customWidth="1"/>
    <col min="29" max="29" width="5.90625" hidden="1" customWidth="1"/>
    <col min="30" max="30" width="7.90625" hidden="1" customWidth="1"/>
    <col min="31" max="31" width="8.54296875" hidden="1" customWidth="1"/>
    <col min="32" max="32" width="8.26953125" hidden="1" customWidth="1"/>
    <col min="33" max="33" width="7" hidden="1" customWidth="1"/>
    <col min="34" max="34" width="5.90625" hidden="1" customWidth="1"/>
    <col min="35" max="35" width="7.90625" hidden="1" customWidth="1"/>
    <col min="36" max="36" width="8.54296875" hidden="1" customWidth="1"/>
    <col min="37" max="37" width="8.26953125" hidden="1" customWidth="1"/>
    <col min="38" max="38" width="7" hidden="1" customWidth="1"/>
    <col min="39" max="39" width="5.90625" hidden="1" customWidth="1"/>
    <col min="40" max="40" width="7.90625" hidden="1" customWidth="1"/>
    <col min="41" max="41" width="8.54296875" hidden="1" customWidth="1"/>
    <col min="42" max="42" width="8.26953125" hidden="1" customWidth="1"/>
    <col min="43" max="43" width="7" hidden="1" customWidth="1"/>
    <col min="44" max="44" width="5.90625" hidden="1" customWidth="1"/>
    <col min="45" max="45" width="7.90625" hidden="1" customWidth="1"/>
    <col min="46" max="46" width="8.54296875" hidden="1" customWidth="1"/>
    <col min="47" max="47" width="8.26953125" hidden="1" customWidth="1"/>
    <col min="48" max="48" width="7" hidden="1" customWidth="1"/>
    <col min="49" max="49" width="5.90625" hidden="1" customWidth="1"/>
    <col min="50" max="50" width="12" hidden="1" customWidth="1"/>
    <col min="51" max="51" width="8.54296875" hidden="1" customWidth="1"/>
    <col min="52" max="52" width="8.26953125" hidden="1" customWidth="1"/>
    <col min="53" max="53" width="7" hidden="1" customWidth="1"/>
    <col min="54" max="54" width="5.90625" hidden="1" customWidth="1"/>
    <col min="55" max="55" width="7.90625" hidden="1" customWidth="1"/>
    <col min="56" max="56" width="8.54296875" hidden="1" customWidth="1"/>
    <col min="57" max="57" width="8.26953125" hidden="1" customWidth="1"/>
    <col min="58" max="58" width="7" bestFit="1" customWidth="1"/>
    <col min="59" max="59" width="5.90625" bestFit="1" customWidth="1"/>
    <col min="60" max="60" width="7.90625" bestFit="1" customWidth="1"/>
    <col min="61" max="61" width="8.54296875" bestFit="1" customWidth="1"/>
    <col min="62" max="62" width="8.26953125" bestFit="1" customWidth="1"/>
  </cols>
  <sheetData>
    <row r="2" spans="1:87" x14ac:dyDescent="0.35">
      <c r="A2" s="7" t="s">
        <v>38</v>
      </c>
      <c r="B2" s="7"/>
      <c r="C2" s="31">
        <v>46174</v>
      </c>
      <c r="D2" s="32"/>
      <c r="E2" s="32"/>
      <c r="F2" s="32"/>
      <c r="G2" s="32"/>
      <c r="H2" s="29">
        <v>46175</v>
      </c>
      <c r="I2" s="30"/>
      <c r="J2" s="30"/>
      <c r="K2" s="30"/>
      <c r="L2" s="30"/>
      <c r="M2" s="31">
        <v>46176</v>
      </c>
      <c r="N2" s="32"/>
      <c r="O2" s="32"/>
      <c r="P2" s="32"/>
      <c r="Q2" s="32"/>
      <c r="R2" s="29">
        <v>46177</v>
      </c>
      <c r="S2" s="30"/>
      <c r="T2" s="30"/>
      <c r="U2" s="30"/>
      <c r="V2" s="30"/>
      <c r="W2" s="31">
        <v>46178</v>
      </c>
      <c r="X2" s="32"/>
      <c r="Y2" s="32"/>
      <c r="Z2" s="32"/>
      <c r="AA2" s="32"/>
      <c r="AB2" s="29">
        <v>46179</v>
      </c>
      <c r="AC2" s="30"/>
      <c r="AD2" s="30"/>
      <c r="AE2" s="30"/>
      <c r="AF2" s="30"/>
      <c r="AG2" s="31">
        <v>46181</v>
      </c>
      <c r="AH2" s="32"/>
      <c r="AI2" s="32"/>
      <c r="AJ2" s="32"/>
      <c r="AK2" s="32"/>
      <c r="AL2" s="29">
        <v>46182</v>
      </c>
      <c r="AM2" s="30"/>
      <c r="AN2" s="30"/>
      <c r="AO2" s="30"/>
      <c r="AP2" s="30"/>
      <c r="AQ2" s="31">
        <v>46183</v>
      </c>
      <c r="AR2" s="32"/>
      <c r="AS2" s="32"/>
      <c r="AT2" s="32"/>
      <c r="AU2" s="32"/>
      <c r="AV2" s="29">
        <v>46184</v>
      </c>
      <c r="AW2" s="30"/>
      <c r="AX2" s="30"/>
      <c r="AY2" s="30"/>
      <c r="AZ2" s="30"/>
      <c r="BA2" s="31">
        <v>46185</v>
      </c>
      <c r="BB2" s="32"/>
      <c r="BC2" s="32"/>
      <c r="BD2" s="32"/>
      <c r="BE2" s="32"/>
      <c r="BF2" s="29">
        <v>46186</v>
      </c>
      <c r="BG2" s="30"/>
      <c r="BH2" s="30"/>
      <c r="BI2" s="30"/>
      <c r="BJ2" s="30"/>
      <c r="BK2" s="31">
        <v>46188</v>
      </c>
      <c r="BL2" s="32"/>
      <c r="BM2" s="32"/>
      <c r="BN2" s="32"/>
      <c r="BO2" s="32"/>
      <c r="BP2" s="29">
        <v>46189</v>
      </c>
      <c r="BQ2" s="30"/>
      <c r="BR2" s="30"/>
      <c r="BS2" s="30"/>
      <c r="BT2" s="30"/>
      <c r="BU2" s="31">
        <v>46190</v>
      </c>
      <c r="BV2" s="32"/>
      <c r="BW2" s="32"/>
      <c r="BX2" s="32"/>
      <c r="BY2" s="32"/>
      <c r="BZ2" s="29">
        <v>46191</v>
      </c>
      <c r="CA2" s="30"/>
      <c r="CB2" s="30"/>
      <c r="CC2" s="30"/>
      <c r="CD2" s="30"/>
      <c r="CE2" s="31">
        <v>46192</v>
      </c>
      <c r="CF2" s="32"/>
      <c r="CG2" s="32"/>
      <c r="CH2" s="32"/>
      <c r="CI2" s="32"/>
    </row>
    <row r="3" spans="1:87" s="1" customFormat="1" ht="43.5" x14ac:dyDescent="0.35">
      <c r="A3" s="4" t="s">
        <v>21</v>
      </c>
      <c r="B3" s="4" t="s">
        <v>22</v>
      </c>
      <c r="C3" s="5" t="s">
        <v>46</v>
      </c>
      <c r="D3" s="5" t="s">
        <v>47</v>
      </c>
      <c r="E3" s="5" t="s">
        <v>48</v>
      </c>
      <c r="F3" s="5" t="s">
        <v>49</v>
      </c>
      <c r="G3" s="5" t="s">
        <v>50</v>
      </c>
      <c r="H3" s="14" t="s">
        <v>46</v>
      </c>
      <c r="I3" s="14" t="s">
        <v>47</v>
      </c>
      <c r="J3" s="14" t="s">
        <v>48</v>
      </c>
      <c r="K3" s="14" t="s">
        <v>49</v>
      </c>
      <c r="L3" s="14" t="s">
        <v>50</v>
      </c>
      <c r="M3" s="5" t="s">
        <v>46</v>
      </c>
      <c r="N3" s="5" t="s">
        <v>47</v>
      </c>
      <c r="O3" s="5" t="s">
        <v>48</v>
      </c>
      <c r="P3" s="5" t="s">
        <v>49</v>
      </c>
      <c r="Q3" s="5" t="s">
        <v>50</v>
      </c>
      <c r="R3" s="14" t="s">
        <v>46</v>
      </c>
      <c r="S3" s="14" t="s">
        <v>47</v>
      </c>
      <c r="T3" s="14" t="s">
        <v>48</v>
      </c>
      <c r="U3" s="14" t="s">
        <v>49</v>
      </c>
      <c r="V3" s="14" t="s">
        <v>50</v>
      </c>
      <c r="W3" s="5" t="s">
        <v>46</v>
      </c>
      <c r="X3" s="5" t="s">
        <v>47</v>
      </c>
      <c r="Y3" s="5" t="s">
        <v>48</v>
      </c>
      <c r="Z3" s="5" t="s">
        <v>49</v>
      </c>
      <c r="AA3" s="5" t="s">
        <v>50</v>
      </c>
      <c r="AB3" s="14" t="s">
        <v>46</v>
      </c>
      <c r="AC3" s="14" t="s">
        <v>47</v>
      </c>
      <c r="AD3" s="14" t="s">
        <v>48</v>
      </c>
      <c r="AE3" s="14" t="s">
        <v>49</v>
      </c>
      <c r="AF3" s="14" t="s">
        <v>50</v>
      </c>
      <c r="AG3" s="5" t="s">
        <v>46</v>
      </c>
      <c r="AH3" s="5" t="s">
        <v>47</v>
      </c>
      <c r="AI3" s="5" t="s">
        <v>48</v>
      </c>
      <c r="AJ3" s="5" t="s">
        <v>49</v>
      </c>
      <c r="AK3" s="5" t="s">
        <v>50</v>
      </c>
      <c r="AL3" s="14" t="s">
        <v>46</v>
      </c>
      <c r="AM3" s="14" t="s">
        <v>47</v>
      </c>
      <c r="AN3" s="14" t="s">
        <v>48</v>
      </c>
      <c r="AO3" s="14" t="s">
        <v>49</v>
      </c>
      <c r="AP3" s="14" t="s">
        <v>50</v>
      </c>
      <c r="AQ3" s="5" t="s">
        <v>46</v>
      </c>
      <c r="AR3" s="5" t="s">
        <v>47</v>
      </c>
      <c r="AS3" s="5" t="s">
        <v>48</v>
      </c>
      <c r="AT3" s="5" t="s">
        <v>49</v>
      </c>
      <c r="AU3" s="5" t="s">
        <v>50</v>
      </c>
      <c r="AV3" s="14" t="s">
        <v>46</v>
      </c>
      <c r="AW3" s="14" t="s">
        <v>47</v>
      </c>
      <c r="AX3" s="14" t="s">
        <v>48</v>
      </c>
      <c r="AY3" s="14" t="s">
        <v>49</v>
      </c>
      <c r="AZ3" s="14" t="s">
        <v>50</v>
      </c>
      <c r="BA3" s="5" t="s">
        <v>46</v>
      </c>
      <c r="BB3" s="5" t="s">
        <v>47</v>
      </c>
      <c r="BC3" s="5" t="s">
        <v>48</v>
      </c>
      <c r="BD3" s="5" t="s">
        <v>49</v>
      </c>
      <c r="BE3" s="5" t="s">
        <v>50</v>
      </c>
      <c r="BF3" s="14" t="s">
        <v>46</v>
      </c>
      <c r="BG3" s="14" t="s">
        <v>47</v>
      </c>
      <c r="BH3" s="14" t="s">
        <v>48</v>
      </c>
      <c r="BI3" s="14" t="s">
        <v>49</v>
      </c>
      <c r="BJ3" s="14" t="s">
        <v>50</v>
      </c>
      <c r="BK3" s="5" t="s">
        <v>46</v>
      </c>
      <c r="BL3" s="5" t="s">
        <v>47</v>
      </c>
      <c r="BM3" s="5" t="s">
        <v>48</v>
      </c>
      <c r="BN3" s="5" t="s">
        <v>49</v>
      </c>
      <c r="BO3" s="5" t="s">
        <v>50</v>
      </c>
      <c r="BP3" s="14" t="s">
        <v>46</v>
      </c>
      <c r="BQ3" s="14" t="s">
        <v>47</v>
      </c>
      <c r="BR3" s="14" t="s">
        <v>48</v>
      </c>
      <c r="BS3" s="14" t="s">
        <v>49</v>
      </c>
      <c r="BT3" s="14" t="s">
        <v>50</v>
      </c>
      <c r="BU3" s="5" t="s">
        <v>46</v>
      </c>
      <c r="BV3" s="5" t="s">
        <v>47</v>
      </c>
      <c r="BW3" s="5" t="s">
        <v>48</v>
      </c>
      <c r="BX3" s="5" t="s">
        <v>49</v>
      </c>
      <c r="BY3" s="5" t="s">
        <v>50</v>
      </c>
      <c r="BZ3" s="14" t="s">
        <v>46</v>
      </c>
      <c r="CA3" s="14" t="s">
        <v>47</v>
      </c>
      <c r="CB3" s="14" t="s">
        <v>48</v>
      </c>
      <c r="CC3" s="14" t="s">
        <v>49</v>
      </c>
      <c r="CD3" s="14" t="s">
        <v>50</v>
      </c>
      <c r="CE3" s="5" t="s">
        <v>46</v>
      </c>
      <c r="CF3" s="5" t="s">
        <v>47</v>
      </c>
      <c r="CG3" s="5" t="s">
        <v>48</v>
      </c>
      <c r="CH3" s="5" t="s">
        <v>49</v>
      </c>
      <c r="CI3" s="5" t="s">
        <v>50</v>
      </c>
    </row>
    <row r="4" spans="1:87" x14ac:dyDescent="0.35">
      <c r="A4" s="2" t="s">
        <v>63</v>
      </c>
      <c r="B4" s="2" t="s">
        <v>69</v>
      </c>
      <c r="C4" s="3">
        <v>35</v>
      </c>
      <c r="D4" s="3">
        <v>10</v>
      </c>
      <c r="E4" s="3"/>
      <c r="F4" s="3"/>
      <c r="G4" s="3"/>
      <c r="H4" s="3">
        <f t="shared" ref="H4:H7" si="0">C4+F4-G4</f>
        <v>35</v>
      </c>
      <c r="I4" s="3">
        <f t="shared" ref="I4:I7" si="1">D4+E4-F4</f>
        <v>10</v>
      </c>
      <c r="J4" s="3">
        <v>10</v>
      </c>
      <c r="K4" s="3">
        <v>10</v>
      </c>
      <c r="L4" s="3">
        <v>6</v>
      </c>
      <c r="M4" s="3">
        <f t="shared" ref="M4:M7" si="2">H4+K4-L4</f>
        <v>39</v>
      </c>
      <c r="N4" s="3">
        <f t="shared" ref="N4:N7" si="3">I4+J4-K4</f>
        <v>10</v>
      </c>
      <c r="O4" s="3">
        <v>18</v>
      </c>
      <c r="P4" s="3">
        <v>0</v>
      </c>
      <c r="Q4" s="3">
        <v>9</v>
      </c>
      <c r="R4" s="3">
        <f t="shared" ref="R4:R7" si="4">M4+P4-Q4</f>
        <v>30</v>
      </c>
      <c r="S4" s="3">
        <f t="shared" ref="S4:S7" si="5">N4+O4-P4</f>
        <v>28</v>
      </c>
      <c r="T4" s="3">
        <v>37</v>
      </c>
      <c r="U4" s="3">
        <v>39</v>
      </c>
      <c r="V4" s="3">
        <v>52</v>
      </c>
      <c r="W4" s="3">
        <f t="shared" ref="W4:W7" si="6">R4+U4-V4</f>
        <v>17</v>
      </c>
      <c r="X4" s="3">
        <f t="shared" ref="X4:X7" si="7">S4+T4-U4</f>
        <v>26</v>
      </c>
      <c r="Y4" s="3">
        <v>101</v>
      </c>
      <c r="Z4" s="3">
        <v>107</v>
      </c>
      <c r="AA4" s="3">
        <v>90</v>
      </c>
      <c r="AB4" s="3">
        <f t="shared" ref="AB4:AB7" si="8">W4+Z4-AA4</f>
        <v>34</v>
      </c>
      <c r="AC4" s="3">
        <f t="shared" ref="AC4:AC7" si="9">X4+Y4-Z4</f>
        <v>20</v>
      </c>
      <c r="AD4" s="3">
        <v>50</v>
      </c>
      <c r="AE4" s="3">
        <v>56</v>
      </c>
      <c r="AF4" s="3">
        <v>45</v>
      </c>
      <c r="AG4" s="3">
        <f t="shared" ref="AG4:AG7" si="10">AB4+AE4-AF4</f>
        <v>45</v>
      </c>
      <c r="AH4" s="3">
        <f t="shared" ref="AH4:AH7" si="11">AC4+AD4-AE4</f>
        <v>14</v>
      </c>
      <c r="AI4" s="3">
        <v>56</v>
      </c>
      <c r="AJ4" s="3">
        <v>42</v>
      </c>
      <c r="AK4" s="3">
        <v>17</v>
      </c>
      <c r="AL4" s="3">
        <f t="shared" ref="AL4:AL7" si="12">AG4+AJ4-AK4</f>
        <v>70</v>
      </c>
      <c r="AM4" s="3">
        <v>0</v>
      </c>
      <c r="AN4" s="3">
        <v>84</v>
      </c>
      <c r="AO4" s="3">
        <v>42</v>
      </c>
      <c r="AP4" s="3">
        <v>8</v>
      </c>
      <c r="AQ4" s="3">
        <v>44</v>
      </c>
      <c r="AR4" s="3">
        <f t="shared" ref="AR4:AR7" si="13">AM4+AN4-AO4</f>
        <v>42</v>
      </c>
      <c r="AS4" s="3">
        <v>49</v>
      </c>
      <c r="AT4" s="3">
        <v>28</v>
      </c>
      <c r="AU4" s="3">
        <v>8</v>
      </c>
      <c r="AV4" s="3">
        <f t="shared" ref="AV4:AV7" si="14">AQ4+AT4-AU4</f>
        <v>64</v>
      </c>
      <c r="AW4" s="3">
        <f t="shared" ref="AW4:AW7" si="15">AR4+AS4-AT4</f>
        <v>63</v>
      </c>
      <c r="AX4" s="3">
        <v>29</v>
      </c>
      <c r="AY4" s="3">
        <v>14</v>
      </c>
      <c r="AZ4" s="3">
        <v>35</v>
      </c>
      <c r="BA4" s="3">
        <f t="shared" ref="BA4:BA7" si="16">AV4+AY4-AZ4</f>
        <v>43</v>
      </c>
      <c r="BB4" s="3">
        <f t="shared" ref="BB4:BB7" si="17">AW4+AX4-AY4</f>
        <v>78</v>
      </c>
      <c r="BC4" s="3">
        <v>20</v>
      </c>
      <c r="BD4" s="3">
        <v>84</v>
      </c>
      <c r="BE4" s="3">
        <v>91</v>
      </c>
      <c r="BF4" s="3">
        <f t="shared" ref="BF4:BF7" si="18">BA4+BD4-BE4</f>
        <v>36</v>
      </c>
      <c r="BG4" s="3">
        <f t="shared" ref="BG4:BG7" si="19">BB4+BC4-BD4</f>
        <v>14</v>
      </c>
      <c r="BH4" s="3">
        <v>76</v>
      </c>
      <c r="BI4" s="3">
        <v>70</v>
      </c>
      <c r="BJ4" s="3">
        <v>76</v>
      </c>
      <c r="BK4" s="3">
        <f t="shared" ref="BK4:BK7" si="20">BF4+BI4-BJ4</f>
        <v>30</v>
      </c>
      <c r="BL4" s="3">
        <f t="shared" ref="BL4:BL7" si="21">BG4+BH4-BI4</f>
        <v>20</v>
      </c>
      <c r="BM4" s="3">
        <v>22</v>
      </c>
      <c r="BN4" s="3">
        <v>28</v>
      </c>
      <c r="BO4" s="3">
        <v>35</v>
      </c>
      <c r="BP4" s="3">
        <f t="shared" ref="BP4:BP7" si="22">BK4+BN4-BO4</f>
        <v>23</v>
      </c>
      <c r="BQ4" s="3">
        <f t="shared" ref="BQ4:BQ7" si="23">BL4+BM4-BN4</f>
        <v>14</v>
      </c>
      <c r="BR4" s="3"/>
      <c r="BS4" s="3"/>
      <c r="BT4" s="3">
        <v>123</v>
      </c>
      <c r="BU4" s="3">
        <f t="shared" ref="BU4:BU7" si="24">BP4+BS4-BT4</f>
        <v>-100</v>
      </c>
      <c r="BV4" s="3">
        <f t="shared" ref="BV4:BV7" si="25">BQ4+BR4-BS4</f>
        <v>14</v>
      </c>
      <c r="BW4" s="3"/>
      <c r="BX4" s="3"/>
      <c r="BY4" s="3">
        <v>122</v>
      </c>
      <c r="BZ4" s="3">
        <f t="shared" ref="BZ4:BZ7" si="26">BU4+BX4-BY4</f>
        <v>-222</v>
      </c>
      <c r="CA4" s="3">
        <f t="shared" ref="CA4:CA7" si="27">BV4+BW4-BX4</f>
        <v>14</v>
      </c>
      <c r="CB4" s="3"/>
      <c r="CC4" s="3"/>
      <c r="CD4" s="3">
        <v>154</v>
      </c>
      <c r="CE4" s="3">
        <f t="shared" ref="CE4:CE7" si="28">BZ4+CC4-CD4</f>
        <v>-376</v>
      </c>
      <c r="CF4" s="3">
        <f t="shared" ref="CF4:CF7" si="29">CA4+CB4-CC4</f>
        <v>14</v>
      </c>
      <c r="CG4" s="3"/>
      <c r="CH4" s="3"/>
      <c r="CI4" s="3">
        <v>122</v>
      </c>
    </row>
    <row r="5" spans="1:87" x14ac:dyDescent="0.35">
      <c r="A5" s="2" t="s">
        <v>64</v>
      </c>
      <c r="B5" s="2" t="s">
        <v>70</v>
      </c>
      <c r="C5" s="3">
        <v>24</v>
      </c>
      <c r="D5" s="3">
        <v>39</v>
      </c>
      <c r="E5" s="3">
        <v>50</v>
      </c>
      <c r="F5" s="3"/>
      <c r="G5" s="3"/>
      <c r="H5" s="3">
        <f t="shared" si="0"/>
        <v>24</v>
      </c>
      <c r="I5" s="3">
        <f t="shared" si="1"/>
        <v>89</v>
      </c>
      <c r="J5" s="3">
        <f>89+14</f>
        <v>103</v>
      </c>
      <c r="K5" s="3">
        <v>103</v>
      </c>
      <c r="L5" s="3">
        <v>126</v>
      </c>
      <c r="M5" s="3">
        <f t="shared" si="2"/>
        <v>1</v>
      </c>
      <c r="N5" s="3">
        <f t="shared" si="3"/>
        <v>89</v>
      </c>
      <c r="O5" s="3">
        <f>98+17</f>
        <v>115</v>
      </c>
      <c r="P5" s="3">
        <v>106</v>
      </c>
      <c r="Q5" s="3">
        <v>56</v>
      </c>
      <c r="R5" s="3">
        <f t="shared" si="4"/>
        <v>51</v>
      </c>
      <c r="S5" s="3">
        <f t="shared" si="5"/>
        <v>98</v>
      </c>
      <c r="T5" s="3">
        <v>38</v>
      </c>
      <c r="U5" s="3">
        <v>66</v>
      </c>
      <c r="V5" s="3">
        <v>97</v>
      </c>
      <c r="W5" s="3">
        <f t="shared" si="6"/>
        <v>20</v>
      </c>
      <c r="X5" s="3">
        <f t="shared" si="7"/>
        <v>70</v>
      </c>
      <c r="Y5" s="3">
        <f>142+53</f>
        <v>195</v>
      </c>
      <c r="Z5" s="3">
        <v>123</v>
      </c>
      <c r="AA5" s="3">
        <v>108</v>
      </c>
      <c r="AB5" s="3">
        <f t="shared" si="8"/>
        <v>35</v>
      </c>
      <c r="AC5" s="3">
        <v>28</v>
      </c>
      <c r="AD5" s="3">
        <v>98</v>
      </c>
      <c r="AE5" s="3">
        <v>98</v>
      </c>
      <c r="AF5" s="3">
        <v>112</v>
      </c>
      <c r="AG5" s="3">
        <f t="shared" si="10"/>
        <v>21</v>
      </c>
      <c r="AH5" s="3">
        <f t="shared" si="11"/>
        <v>28</v>
      </c>
      <c r="AI5" s="3">
        <v>146</v>
      </c>
      <c r="AJ5" s="3">
        <v>118</v>
      </c>
      <c r="AK5" s="3">
        <v>88</v>
      </c>
      <c r="AL5" s="3">
        <f t="shared" si="12"/>
        <v>51</v>
      </c>
      <c r="AM5" s="3">
        <f t="shared" ref="AM5:AM7" si="30">AH5+AI5-AJ5</f>
        <v>56</v>
      </c>
      <c r="AN5" s="3">
        <v>135</v>
      </c>
      <c r="AO5" s="3">
        <v>96</v>
      </c>
      <c r="AP5" s="3">
        <v>133</v>
      </c>
      <c r="AQ5" s="3">
        <v>151</v>
      </c>
      <c r="AR5" s="3">
        <f t="shared" si="13"/>
        <v>95</v>
      </c>
      <c r="AS5" s="3">
        <v>112</v>
      </c>
      <c r="AT5" s="3">
        <v>88</v>
      </c>
      <c r="AU5" s="3">
        <v>139</v>
      </c>
      <c r="AV5" s="3">
        <f t="shared" si="14"/>
        <v>100</v>
      </c>
      <c r="AW5" s="3">
        <f t="shared" si="15"/>
        <v>119</v>
      </c>
      <c r="AX5" s="3">
        <v>130</v>
      </c>
      <c r="AY5" s="3">
        <v>73</v>
      </c>
      <c r="AZ5" s="3">
        <v>145</v>
      </c>
      <c r="BA5" s="3">
        <f t="shared" si="16"/>
        <v>28</v>
      </c>
      <c r="BB5" s="3">
        <f t="shared" si="17"/>
        <v>176</v>
      </c>
      <c r="BC5" s="3">
        <v>100</v>
      </c>
      <c r="BD5" s="3">
        <v>140</v>
      </c>
      <c r="BE5" s="3">
        <v>135</v>
      </c>
      <c r="BF5" s="3">
        <f t="shared" si="18"/>
        <v>33</v>
      </c>
      <c r="BG5" s="3">
        <f t="shared" si="19"/>
        <v>136</v>
      </c>
      <c r="BH5" s="3">
        <v>81</v>
      </c>
      <c r="BI5" s="3">
        <v>163</v>
      </c>
      <c r="BJ5" s="3">
        <v>184</v>
      </c>
      <c r="BK5" s="3">
        <f t="shared" si="20"/>
        <v>12</v>
      </c>
      <c r="BL5" s="3">
        <f t="shared" si="21"/>
        <v>54</v>
      </c>
      <c r="BM5" s="3">
        <v>168</v>
      </c>
      <c r="BN5" s="3">
        <v>208</v>
      </c>
      <c r="BO5" s="3">
        <v>197</v>
      </c>
      <c r="BP5" s="3">
        <f t="shared" si="22"/>
        <v>23</v>
      </c>
      <c r="BQ5" s="3">
        <f t="shared" si="23"/>
        <v>14</v>
      </c>
      <c r="BR5" s="3"/>
      <c r="BS5" s="3"/>
      <c r="BT5" s="3">
        <v>257</v>
      </c>
      <c r="BU5" s="3">
        <f t="shared" si="24"/>
        <v>-234</v>
      </c>
      <c r="BV5" s="3">
        <f t="shared" si="25"/>
        <v>14</v>
      </c>
      <c r="BW5" s="3"/>
      <c r="BX5" s="3"/>
      <c r="BY5" s="3">
        <v>268</v>
      </c>
      <c r="BZ5" s="3">
        <f t="shared" si="26"/>
        <v>-502</v>
      </c>
      <c r="CA5" s="3">
        <f t="shared" si="27"/>
        <v>14</v>
      </c>
      <c r="CB5" s="3"/>
      <c r="CC5" s="3"/>
      <c r="CD5" s="3">
        <v>276</v>
      </c>
      <c r="CE5" s="3">
        <f t="shared" si="28"/>
        <v>-778</v>
      </c>
      <c r="CF5" s="3">
        <f t="shared" si="29"/>
        <v>14</v>
      </c>
      <c r="CG5" s="3"/>
      <c r="CH5" s="3"/>
      <c r="CI5" s="3">
        <v>268</v>
      </c>
    </row>
    <row r="6" spans="1:87" x14ac:dyDescent="0.35">
      <c r="A6" s="2" t="s">
        <v>61</v>
      </c>
      <c r="B6" s="2" t="s">
        <v>71</v>
      </c>
      <c r="C6" s="3">
        <v>25</v>
      </c>
      <c r="D6" s="3">
        <v>14</v>
      </c>
      <c r="E6" s="3"/>
      <c r="F6" s="3"/>
      <c r="G6" s="3"/>
      <c r="H6" s="3">
        <f t="shared" si="0"/>
        <v>25</v>
      </c>
      <c r="I6" s="3">
        <f t="shared" si="1"/>
        <v>14</v>
      </c>
      <c r="J6" s="3">
        <v>14</v>
      </c>
      <c r="K6" s="3">
        <v>14</v>
      </c>
      <c r="L6" s="3">
        <v>34</v>
      </c>
      <c r="M6" s="3">
        <f t="shared" si="2"/>
        <v>5</v>
      </c>
      <c r="N6" s="3">
        <f t="shared" si="3"/>
        <v>14</v>
      </c>
      <c r="O6" s="3">
        <v>70</v>
      </c>
      <c r="P6" s="3">
        <v>56</v>
      </c>
      <c r="Q6" s="3">
        <v>6</v>
      </c>
      <c r="R6" s="3">
        <f t="shared" si="4"/>
        <v>55</v>
      </c>
      <c r="S6" s="3">
        <f t="shared" si="5"/>
        <v>28</v>
      </c>
      <c r="T6" s="3">
        <v>42</v>
      </c>
      <c r="U6" s="3">
        <v>38</v>
      </c>
      <c r="V6" s="3">
        <v>7</v>
      </c>
      <c r="W6" s="3">
        <f t="shared" si="6"/>
        <v>86</v>
      </c>
      <c r="X6" s="3">
        <f t="shared" si="7"/>
        <v>32</v>
      </c>
      <c r="Y6" s="3">
        <v>16</v>
      </c>
      <c r="Z6" s="3">
        <v>0</v>
      </c>
      <c r="AA6" s="3">
        <v>14</v>
      </c>
      <c r="AB6" s="3">
        <f t="shared" si="8"/>
        <v>72</v>
      </c>
      <c r="AC6" s="3">
        <v>14</v>
      </c>
      <c r="AD6" s="3">
        <v>24</v>
      </c>
      <c r="AE6" s="3">
        <v>24</v>
      </c>
      <c r="AF6" s="3">
        <v>71</v>
      </c>
      <c r="AG6" s="3">
        <f t="shared" si="10"/>
        <v>25</v>
      </c>
      <c r="AH6" s="3">
        <f t="shared" si="11"/>
        <v>14</v>
      </c>
      <c r="AI6" s="3">
        <v>112</v>
      </c>
      <c r="AJ6" s="3">
        <v>70</v>
      </c>
      <c r="AK6" s="3">
        <v>95</v>
      </c>
      <c r="AL6" s="3">
        <f t="shared" si="12"/>
        <v>0</v>
      </c>
      <c r="AM6" s="3">
        <v>54</v>
      </c>
      <c r="AN6" s="3">
        <f>87+62</f>
        <v>149</v>
      </c>
      <c r="AO6" s="3">
        <v>118</v>
      </c>
      <c r="AP6" s="3">
        <v>71</v>
      </c>
      <c r="AQ6" s="3">
        <f t="shared" ref="AQ6:AQ7" si="31">AL6+AO6-AP6</f>
        <v>47</v>
      </c>
      <c r="AR6" s="3">
        <f t="shared" si="13"/>
        <v>85</v>
      </c>
      <c r="AS6" s="3">
        <v>42</v>
      </c>
      <c r="AT6" s="3">
        <v>88</v>
      </c>
      <c r="AU6" s="3">
        <v>56</v>
      </c>
      <c r="AV6" s="3">
        <f t="shared" si="14"/>
        <v>79</v>
      </c>
      <c r="AW6" s="3">
        <f t="shared" si="15"/>
        <v>39</v>
      </c>
      <c r="AX6" s="3">
        <v>88</v>
      </c>
      <c r="AY6" s="3">
        <v>101</v>
      </c>
      <c r="AZ6" s="3">
        <v>55</v>
      </c>
      <c r="BA6" s="3">
        <v>20</v>
      </c>
      <c r="BB6" s="3">
        <f t="shared" si="17"/>
        <v>26</v>
      </c>
      <c r="BC6" s="3">
        <v>90</v>
      </c>
      <c r="BD6" s="3">
        <v>93</v>
      </c>
      <c r="BE6" s="3">
        <v>87</v>
      </c>
      <c r="BF6" s="3">
        <f t="shared" si="18"/>
        <v>26</v>
      </c>
      <c r="BG6" s="3">
        <f t="shared" si="19"/>
        <v>23</v>
      </c>
      <c r="BH6" s="3">
        <v>131</v>
      </c>
      <c r="BI6" s="3">
        <v>140</v>
      </c>
      <c r="BJ6" s="3">
        <v>117</v>
      </c>
      <c r="BK6" s="3">
        <f t="shared" si="20"/>
        <v>49</v>
      </c>
      <c r="BL6" s="3">
        <f t="shared" si="21"/>
        <v>14</v>
      </c>
      <c r="BM6" s="3">
        <v>82</v>
      </c>
      <c r="BN6" s="3">
        <v>82</v>
      </c>
      <c r="BO6" s="3">
        <v>72</v>
      </c>
      <c r="BP6" s="3">
        <f t="shared" si="22"/>
        <v>59</v>
      </c>
      <c r="BQ6" s="3">
        <f t="shared" si="23"/>
        <v>14</v>
      </c>
      <c r="BR6" s="3"/>
      <c r="BS6" s="3"/>
      <c r="BT6" s="3">
        <v>22</v>
      </c>
      <c r="BU6" s="3">
        <f t="shared" si="24"/>
        <v>37</v>
      </c>
      <c r="BV6" s="3">
        <f t="shared" si="25"/>
        <v>14</v>
      </c>
      <c r="BW6" s="3"/>
      <c r="BX6" s="3"/>
      <c r="BY6" s="3">
        <v>0</v>
      </c>
      <c r="BZ6" s="3">
        <f t="shared" si="26"/>
        <v>37</v>
      </c>
      <c r="CA6" s="3">
        <f t="shared" si="27"/>
        <v>14</v>
      </c>
      <c r="CB6" s="3"/>
      <c r="CC6" s="3"/>
      <c r="CD6" s="3">
        <v>0</v>
      </c>
      <c r="CE6" s="3">
        <f t="shared" si="28"/>
        <v>37</v>
      </c>
      <c r="CF6" s="3">
        <f t="shared" si="29"/>
        <v>14</v>
      </c>
      <c r="CG6" s="3"/>
      <c r="CH6" s="3"/>
      <c r="CI6" s="3">
        <v>0</v>
      </c>
    </row>
    <row r="7" spans="1:87" x14ac:dyDescent="0.35">
      <c r="A7" s="2" t="s">
        <v>74</v>
      </c>
      <c r="B7" s="2" t="s">
        <v>16</v>
      </c>
      <c r="C7" s="3">
        <v>0</v>
      </c>
      <c r="D7" s="3">
        <v>0</v>
      </c>
      <c r="E7" s="3"/>
      <c r="F7" s="3"/>
      <c r="G7" s="3"/>
      <c r="H7" s="3">
        <f t="shared" si="0"/>
        <v>0</v>
      </c>
      <c r="I7" s="3">
        <f t="shared" si="1"/>
        <v>0</v>
      </c>
      <c r="J7" s="3"/>
      <c r="K7" s="3">
        <v>0</v>
      </c>
      <c r="L7" s="3">
        <v>0</v>
      </c>
      <c r="M7" s="3">
        <f t="shared" si="2"/>
        <v>0</v>
      </c>
      <c r="N7" s="3">
        <f t="shared" si="3"/>
        <v>0</v>
      </c>
      <c r="O7" s="3"/>
      <c r="P7" s="3">
        <v>0</v>
      </c>
      <c r="Q7" s="3">
        <v>0</v>
      </c>
      <c r="R7" s="3">
        <f t="shared" si="4"/>
        <v>0</v>
      </c>
      <c r="S7" s="3">
        <f t="shared" si="5"/>
        <v>0</v>
      </c>
      <c r="T7" s="3"/>
      <c r="U7" s="3">
        <v>0</v>
      </c>
      <c r="V7" s="3">
        <v>0</v>
      </c>
      <c r="W7" s="3">
        <f t="shared" si="6"/>
        <v>0</v>
      </c>
      <c r="X7" s="3">
        <f t="shared" si="7"/>
        <v>0</v>
      </c>
      <c r="Y7" s="3"/>
      <c r="Z7" s="3">
        <v>0</v>
      </c>
      <c r="AA7" s="3">
        <v>0</v>
      </c>
      <c r="AB7" s="3">
        <f t="shared" si="8"/>
        <v>0</v>
      </c>
      <c r="AC7" s="3">
        <f t="shared" si="9"/>
        <v>0</v>
      </c>
      <c r="AD7" s="3"/>
      <c r="AE7" s="3">
        <v>0</v>
      </c>
      <c r="AF7" s="3"/>
      <c r="AG7" s="3">
        <f t="shared" si="10"/>
        <v>0</v>
      </c>
      <c r="AH7" s="3">
        <f t="shared" si="11"/>
        <v>0</v>
      </c>
      <c r="AI7" s="3"/>
      <c r="AJ7" s="3">
        <v>0</v>
      </c>
      <c r="AK7" s="3">
        <v>0</v>
      </c>
      <c r="AL7" s="3">
        <f t="shared" si="12"/>
        <v>0</v>
      </c>
      <c r="AM7" s="3">
        <f t="shared" si="30"/>
        <v>0</v>
      </c>
      <c r="AN7" s="3">
        <v>5</v>
      </c>
      <c r="AO7" s="3">
        <v>5</v>
      </c>
      <c r="AP7" s="3">
        <v>1</v>
      </c>
      <c r="AQ7" s="3">
        <f t="shared" si="31"/>
        <v>4</v>
      </c>
      <c r="AR7" s="3">
        <f t="shared" si="13"/>
        <v>0</v>
      </c>
      <c r="AS7" s="3">
        <v>0</v>
      </c>
      <c r="AT7" s="3">
        <v>0</v>
      </c>
      <c r="AU7" s="3">
        <v>0</v>
      </c>
      <c r="AV7" s="3">
        <f t="shared" si="14"/>
        <v>4</v>
      </c>
      <c r="AW7" s="3">
        <f t="shared" si="15"/>
        <v>0</v>
      </c>
      <c r="AX7" s="3"/>
      <c r="AY7" s="3">
        <v>0</v>
      </c>
      <c r="AZ7" s="3">
        <v>0</v>
      </c>
      <c r="BA7" s="3">
        <f t="shared" si="16"/>
        <v>4</v>
      </c>
      <c r="BB7" s="3">
        <f t="shared" si="17"/>
        <v>0</v>
      </c>
      <c r="BC7" s="3"/>
      <c r="BD7" s="3">
        <v>0</v>
      </c>
      <c r="BE7" s="3">
        <v>2</v>
      </c>
      <c r="BF7" s="3">
        <f t="shared" si="18"/>
        <v>2</v>
      </c>
      <c r="BG7" s="3">
        <f t="shared" si="19"/>
        <v>0</v>
      </c>
      <c r="BH7" s="3"/>
      <c r="BI7" s="3">
        <v>0</v>
      </c>
      <c r="BJ7" s="3">
        <v>0</v>
      </c>
      <c r="BK7" s="3">
        <f t="shared" si="20"/>
        <v>2</v>
      </c>
      <c r="BL7" s="3">
        <f t="shared" si="21"/>
        <v>0</v>
      </c>
      <c r="BM7" s="3"/>
      <c r="BN7" s="3">
        <v>0</v>
      </c>
      <c r="BO7" s="3">
        <v>1</v>
      </c>
      <c r="BP7" s="3">
        <f t="shared" si="22"/>
        <v>1</v>
      </c>
      <c r="BQ7" s="3">
        <f t="shared" si="23"/>
        <v>0</v>
      </c>
      <c r="BR7" s="3"/>
      <c r="BS7" s="3"/>
      <c r="BT7" s="3">
        <v>6</v>
      </c>
      <c r="BU7" s="3">
        <f t="shared" si="24"/>
        <v>-5</v>
      </c>
      <c r="BV7" s="3">
        <f t="shared" si="25"/>
        <v>0</v>
      </c>
      <c r="BW7" s="3"/>
      <c r="BX7" s="3"/>
      <c r="BY7" s="3">
        <v>0</v>
      </c>
      <c r="BZ7" s="3">
        <f t="shared" si="26"/>
        <v>-5</v>
      </c>
      <c r="CA7" s="3">
        <f t="shared" si="27"/>
        <v>0</v>
      </c>
      <c r="CB7" s="3"/>
      <c r="CC7" s="3"/>
      <c r="CD7" s="3">
        <v>0</v>
      </c>
      <c r="CE7" s="3">
        <f t="shared" si="28"/>
        <v>-5</v>
      </c>
      <c r="CF7" s="3">
        <f t="shared" si="29"/>
        <v>0</v>
      </c>
      <c r="CG7" s="3"/>
      <c r="CH7" s="3"/>
      <c r="CI7" s="3">
        <v>0</v>
      </c>
    </row>
    <row r="8" spans="1:87" x14ac:dyDescent="0.35">
      <c r="A8" s="33" t="s">
        <v>73</v>
      </c>
      <c r="B8" s="33"/>
      <c r="C8" s="5">
        <v>84</v>
      </c>
      <c r="D8" s="5">
        <v>63</v>
      </c>
      <c r="E8" s="5">
        <f t="shared" ref="E8:AK8" si="32">SUM(E4:E7)</f>
        <v>50</v>
      </c>
      <c r="F8" s="5">
        <f t="shared" si="32"/>
        <v>0</v>
      </c>
      <c r="G8" s="5">
        <f t="shared" si="32"/>
        <v>0</v>
      </c>
      <c r="H8" s="14">
        <f t="shared" si="32"/>
        <v>84</v>
      </c>
      <c r="I8" s="14">
        <f t="shared" si="32"/>
        <v>113</v>
      </c>
      <c r="J8" s="14">
        <f t="shared" si="32"/>
        <v>127</v>
      </c>
      <c r="K8" s="14">
        <f t="shared" si="32"/>
        <v>127</v>
      </c>
      <c r="L8" s="14">
        <f t="shared" si="32"/>
        <v>166</v>
      </c>
      <c r="M8" s="5">
        <f t="shared" si="32"/>
        <v>45</v>
      </c>
      <c r="N8" s="5">
        <f t="shared" si="32"/>
        <v>113</v>
      </c>
      <c r="O8" s="5">
        <f t="shared" si="32"/>
        <v>203</v>
      </c>
      <c r="P8" s="5">
        <f t="shared" si="32"/>
        <v>162</v>
      </c>
      <c r="Q8" s="5">
        <f t="shared" si="32"/>
        <v>71</v>
      </c>
      <c r="R8" s="14">
        <f t="shared" si="32"/>
        <v>136</v>
      </c>
      <c r="S8" s="14">
        <f t="shared" si="32"/>
        <v>154</v>
      </c>
      <c r="T8" s="14">
        <f t="shared" si="32"/>
        <v>117</v>
      </c>
      <c r="U8" s="14">
        <f t="shared" si="32"/>
        <v>143</v>
      </c>
      <c r="V8" s="14">
        <f t="shared" si="32"/>
        <v>156</v>
      </c>
      <c r="W8" s="5">
        <f t="shared" si="32"/>
        <v>123</v>
      </c>
      <c r="X8" s="5">
        <f t="shared" si="32"/>
        <v>128</v>
      </c>
      <c r="Y8" s="5">
        <f t="shared" si="32"/>
        <v>312</v>
      </c>
      <c r="Z8" s="5">
        <f t="shared" si="32"/>
        <v>230</v>
      </c>
      <c r="AA8" s="5">
        <f t="shared" si="32"/>
        <v>212</v>
      </c>
      <c r="AB8" s="14">
        <f t="shared" si="32"/>
        <v>141</v>
      </c>
      <c r="AC8" s="14">
        <f t="shared" si="32"/>
        <v>62</v>
      </c>
      <c r="AD8" s="14">
        <f t="shared" si="32"/>
        <v>172</v>
      </c>
      <c r="AE8" s="14">
        <f t="shared" si="32"/>
        <v>178</v>
      </c>
      <c r="AF8" s="14">
        <f t="shared" si="32"/>
        <v>228</v>
      </c>
      <c r="AG8" s="5">
        <f t="shared" si="32"/>
        <v>91</v>
      </c>
      <c r="AH8" s="5">
        <f t="shared" si="32"/>
        <v>56</v>
      </c>
      <c r="AI8" s="5">
        <f t="shared" si="32"/>
        <v>314</v>
      </c>
      <c r="AJ8" s="5">
        <f t="shared" si="32"/>
        <v>230</v>
      </c>
      <c r="AK8" s="5">
        <f t="shared" si="32"/>
        <v>200</v>
      </c>
      <c r="AL8" s="14">
        <f t="shared" ref="AL8:AP8" si="33">SUM(AL4:AL7)</f>
        <v>121</v>
      </c>
      <c r="AM8" s="14">
        <f t="shared" si="33"/>
        <v>110</v>
      </c>
      <c r="AN8" s="14">
        <f t="shared" si="33"/>
        <v>373</v>
      </c>
      <c r="AO8" s="14">
        <f t="shared" si="33"/>
        <v>261</v>
      </c>
      <c r="AP8" s="14">
        <f t="shared" si="33"/>
        <v>213</v>
      </c>
      <c r="AQ8" s="5">
        <f t="shared" ref="AQ8:AU8" si="34">SUM(AQ4:AQ7)</f>
        <v>246</v>
      </c>
      <c r="AR8" s="5">
        <f t="shared" si="34"/>
        <v>222</v>
      </c>
      <c r="AS8" s="5">
        <f t="shared" si="34"/>
        <v>203</v>
      </c>
      <c r="AT8" s="5">
        <f t="shared" si="34"/>
        <v>204</v>
      </c>
      <c r="AU8" s="5">
        <f t="shared" si="34"/>
        <v>203</v>
      </c>
      <c r="AV8" s="14">
        <f t="shared" ref="AV8:AZ8" si="35">SUM(AV4:AV7)</f>
        <v>247</v>
      </c>
      <c r="AW8" s="14">
        <f t="shared" si="35"/>
        <v>221</v>
      </c>
      <c r="AX8" s="14">
        <f t="shared" si="35"/>
        <v>247</v>
      </c>
      <c r="AY8" s="14">
        <f>SUM(AY4:AY7)</f>
        <v>188</v>
      </c>
      <c r="AZ8" s="14">
        <f t="shared" si="35"/>
        <v>235</v>
      </c>
      <c r="BA8" s="5">
        <f t="shared" ref="BA8:BE8" si="36">SUM(BA4:BA7)</f>
        <v>95</v>
      </c>
      <c r="BB8" s="5">
        <f t="shared" si="36"/>
        <v>280</v>
      </c>
      <c r="BC8" s="5">
        <f t="shared" si="36"/>
        <v>210</v>
      </c>
      <c r="BD8" s="5">
        <f t="shared" si="36"/>
        <v>317</v>
      </c>
      <c r="BE8" s="5">
        <f t="shared" si="36"/>
        <v>315</v>
      </c>
      <c r="BF8" s="14">
        <f t="shared" ref="BF8:BJ8" si="37">SUM(BF4:BF7)</f>
        <v>97</v>
      </c>
      <c r="BG8" s="14">
        <f t="shared" si="37"/>
        <v>173</v>
      </c>
      <c r="BH8" s="14">
        <f t="shared" si="37"/>
        <v>288</v>
      </c>
      <c r="BI8" s="14">
        <f t="shared" si="37"/>
        <v>373</v>
      </c>
      <c r="BJ8" s="14">
        <f t="shared" si="37"/>
        <v>377</v>
      </c>
      <c r="BK8" s="5">
        <f t="shared" ref="BK8:BO8" si="38">SUM(BK4:BK7)</f>
        <v>93</v>
      </c>
      <c r="BL8" s="5">
        <f t="shared" si="38"/>
        <v>88</v>
      </c>
      <c r="BM8" s="5">
        <f t="shared" si="38"/>
        <v>272</v>
      </c>
      <c r="BN8" s="5">
        <f t="shared" si="38"/>
        <v>318</v>
      </c>
      <c r="BO8" s="5">
        <f t="shared" si="38"/>
        <v>305</v>
      </c>
      <c r="BP8" s="14">
        <f t="shared" ref="BP8:BT8" si="39">SUM(BP4:BP7)</f>
        <v>106</v>
      </c>
      <c r="BQ8" s="14">
        <f t="shared" si="39"/>
        <v>42</v>
      </c>
      <c r="BR8" s="14">
        <f t="shared" si="39"/>
        <v>0</v>
      </c>
      <c r="BS8" s="14">
        <f t="shared" si="39"/>
        <v>0</v>
      </c>
      <c r="BT8" s="14">
        <f t="shared" si="39"/>
        <v>408</v>
      </c>
      <c r="BU8" s="5">
        <f t="shared" ref="BU8:BY8" si="40">SUM(BU4:BU7)</f>
        <v>-302</v>
      </c>
      <c r="BV8" s="5">
        <f t="shared" si="40"/>
        <v>42</v>
      </c>
      <c r="BW8" s="5">
        <f t="shared" si="40"/>
        <v>0</v>
      </c>
      <c r="BX8" s="5">
        <f t="shared" si="40"/>
        <v>0</v>
      </c>
      <c r="BY8" s="5">
        <f t="shared" si="40"/>
        <v>390</v>
      </c>
      <c r="BZ8" s="14">
        <f t="shared" ref="BZ8:CD8" si="41">SUM(BZ4:BZ7)</f>
        <v>-692</v>
      </c>
      <c r="CA8" s="14">
        <f t="shared" si="41"/>
        <v>42</v>
      </c>
      <c r="CB8" s="14">
        <f t="shared" si="41"/>
        <v>0</v>
      </c>
      <c r="CC8" s="14">
        <f t="shared" si="41"/>
        <v>0</v>
      </c>
      <c r="CD8" s="14">
        <f t="shared" si="41"/>
        <v>430</v>
      </c>
      <c r="CE8" s="5">
        <f t="shared" ref="CE8:CI8" si="42">SUM(CE4:CE7)</f>
        <v>-1122</v>
      </c>
      <c r="CF8" s="5">
        <f t="shared" si="42"/>
        <v>42</v>
      </c>
      <c r="CG8" s="5">
        <f t="shared" si="42"/>
        <v>0</v>
      </c>
      <c r="CH8" s="5">
        <f t="shared" si="42"/>
        <v>0</v>
      </c>
      <c r="CI8" s="5">
        <f t="shared" si="42"/>
        <v>390</v>
      </c>
    </row>
    <row r="9" spans="1:87" x14ac:dyDescent="0.35">
      <c r="A9" s="19" t="s">
        <v>59</v>
      </c>
      <c r="B9" s="19" t="s">
        <v>60</v>
      </c>
      <c r="C9" s="20">
        <v>10</v>
      </c>
      <c r="D9" s="20">
        <v>0</v>
      </c>
      <c r="E9" s="20">
        <v>31</v>
      </c>
      <c r="F9" s="20">
        <v>31</v>
      </c>
      <c r="G9" s="20"/>
      <c r="H9" s="20">
        <f t="shared" ref="H9" si="43">C9+F9-G9</f>
        <v>41</v>
      </c>
      <c r="I9" s="20">
        <f>D9+E9-F9</f>
        <v>0</v>
      </c>
      <c r="J9" s="20">
        <v>31</v>
      </c>
      <c r="K9" s="20">
        <v>31</v>
      </c>
      <c r="L9" s="20">
        <v>32</v>
      </c>
      <c r="M9" s="20">
        <f t="shared" ref="M9" si="44">H9+K9-L9</f>
        <v>40</v>
      </c>
      <c r="N9" s="20">
        <f>I9+J9-K9</f>
        <v>0</v>
      </c>
      <c r="O9" s="20">
        <v>27</v>
      </c>
      <c r="P9" s="20">
        <v>9</v>
      </c>
      <c r="Q9" s="20">
        <v>32</v>
      </c>
      <c r="R9" s="20">
        <f t="shared" ref="R9" si="45">M9+P9-Q9</f>
        <v>17</v>
      </c>
      <c r="S9" s="20">
        <f>N9+O9-P9</f>
        <v>18</v>
      </c>
      <c r="T9" s="20">
        <f>36+23</f>
        <v>59</v>
      </c>
      <c r="U9" s="20">
        <v>54</v>
      </c>
      <c r="V9" s="20">
        <v>10</v>
      </c>
      <c r="W9" s="20">
        <f t="shared" ref="W9" si="46">R9+U9-V9</f>
        <v>61</v>
      </c>
      <c r="X9" s="20">
        <f>S9+T9-U9</f>
        <v>23</v>
      </c>
      <c r="Y9" s="20">
        <v>48</v>
      </c>
      <c r="Z9" s="20">
        <v>54</v>
      </c>
      <c r="AA9" s="20">
        <v>34</v>
      </c>
      <c r="AB9" s="20">
        <f t="shared" ref="AB9" si="47">W9+Z9-AA9</f>
        <v>81</v>
      </c>
      <c r="AC9" s="20">
        <f>X9+Y9-Z9</f>
        <v>17</v>
      </c>
      <c r="AD9" s="20">
        <v>0</v>
      </c>
      <c r="AE9" s="20">
        <v>0</v>
      </c>
      <c r="AF9" s="20">
        <v>30</v>
      </c>
      <c r="AG9" s="20">
        <f t="shared" ref="AG9" si="48">AB9+AE9-AF9</f>
        <v>51</v>
      </c>
      <c r="AH9" s="20">
        <f>AC9+AD9-AE9</f>
        <v>17</v>
      </c>
      <c r="AI9" s="20"/>
      <c r="AJ9" s="20">
        <v>17</v>
      </c>
      <c r="AK9" s="20">
        <v>9</v>
      </c>
      <c r="AL9" s="20">
        <f t="shared" ref="AL9" si="49">AG9+AJ9-AK9</f>
        <v>59</v>
      </c>
      <c r="AM9" s="20">
        <f>AH9+AI9-AJ9</f>
        <v>0</v>
      </c>
      <c r="AN9" s="20">
        <v>0</v>
      </c>
      <c r="AO9" s="20">
        <v>0</v>
      </c>
      <c r="AP9" s="20">
        <v>27</v>
      </c>
      <c r="AQ9" s="20">
        <f t="shared" ref="AQ9" si="50">AL9+AO9-AP9</f>
        <v>32</v>
      </c>
      <c r="AR9" s="20">
        <f>AM9+AN9-AO9</f>
        <v>0</v>
      </c>
      <c r="AS9" s="20">
        <v>36</v>
      </c>
      <c r="AT9" s="20">
        <v>36</v>
      </c>
      <c r="AU9" s="20">
        <v>32</v>
      </c>
      <c r="AV9" s="20">
        <f t="shared" ref="AV9" si="51">AQ9+AT9-AU9</f>
        <v>36</v>
      </c>
      <c r="AW9" s="20">
        <f>AR9+AS9-AT9</f>
        <v>0</v>
      </c>
      <c r="AX9" s="20">
        <v>9</v>
      </c>
      <c r="AY9" s="20">
        <v>9</v>
      </c>
      <c r="AZ9" s="20">
        <v>32</v>
      </c>
      <c r="BA9" s="20">
        <f t="shared" ref="BA9" si="52">AV9+AY9-AZ9</f>
        <v>13</v>
      </c>
      <c r="BB9" s="20">
        <f>AW9+AX9-AY9</f>
        <v>0</v>
      </c>
      <c r="BC9" s="20">
        <v>48</v>
      </c>
      <c r="BD9" s="20">
        <v>30</v>
      </c>
      <c r="BE9" s="20">
        <v>32</v>
      </c>
      <c r="BF9" s="20">
        <f t="shared" ref="BF9" si="53">BA9+BD9-BE9</f>
        <v>11</v>
      </c>
      <c r="BG9" s="20">
        <f>BB9+BC9-BD9</f>
        <v>18</v>
      </c>
      <c r="BH9" s="20">
        <v>29</v>
      </c>
      <c r="BI9" s="20">
        <v>47</v>
      </c>
      <c r="BJ9" s="20">
        <v>32</v>
      </c>
      <c r="BK9" s="20">
        <f t="shared" ref="BK9" si="54">BF9+BI9-BJ9</f>
        <v>26</v>
      </c>
      <c r="BL9" s="20">
        <f>BG9+BH9-BI9</f>
        <v>0</v>
      </c>
      <c r="BM9" s="20">
        <v>54</v>
      </c>
      <c r="BN9" s="20">
        <v>50</v>
      </c>
      <c r="BO9" s="20">
        <v>32</v>
      </c>
      <c r="BP9" s="20">
        <f t="shared" ref="BP9" si="55">BK9+BN9-BO9</f>
        <v>44</v>
      </c>
      <c r="BQ9" s="20">
        <f>BL9+BM9-BN9</f>
        <v>4</v>
      </c>
      <c r="BR9" s="20">
        <v>0</v>
      </c>
      <c r="BS9" s="20">
        <v>0</v>
      </c>
      <c r="BT9" s="20">
        <v>0</v>
      </c>
      <c r="BU9" s="20">
        <f t="shared" ref="BU9" si="56">BP9+BS9-BT9</f>
        <v>44</v>
      </c>
      <c r="BV9" s="20">
        <f>BQ9+BR9-BS9</f>
        <v>4</v>
      </c>
      <c r="BW9" s="20">
        <v>0</v>
      </c>
      <c r="BX9" s="20">
        <v>0</v>
      </c>
      <c r="BY9" s="20">
        <v>0</v>
      </c>
      <c r="BZ9" s="20">
        <f t="shared" ref="BZ9" si="57">BU9+BX9-BY9</f>
        <v>44</v>
      </c>
      <c r="CA9" s="20">
        <f>BV9+BW9-BX9</f>
        <v>4</v>
      </c>
      <c r="CB9" s="20">
        <v>0</v>
      </c>
      <c r="CC9" s="20">
        <v>0</v>
      </c>
      <c r="CD9" s="20">
        <v>0</v>
      </c>
      <c r="CE9" s="20">
        <f t="shared" ref="CE9" si="58">BZ9+CC9-CD9</f>
        <v>44</v>
      </c>
      <c r="CF9" s="20">
        <f>CA9+CB9-CC9</f>
        <v>4</v>
      </c>
      <c r="CG9" s="20">
        <v>0</v>
      </c>
      <c r="CH9" s="20">
        <v>0</v>
      </c>
      <c r="CI9" s="20">
        <v>0</v>
      </c>
    </row>
    <row r="10" spans="1:87" s="1" customFormat="1" ht="43.5" x14ac:dyDescent="0.35">
      <c r="A10" s="4" t="s">
        <v>21</v>
      </c>
      <c r="B10" s="4" t="s">
        <v>22</v>
      </c>
      <c r="C10" s="5" t="s">
        <v>46</v>
      </c>
      <c r="D10" s="5" t="s">
        <v>47</v>
      </c>
      <c r="E10" s="5" t="s">
        <v>48</v>
      </c>
      <c r="F10" s="5" t="s">
        <v>49</v>
      </c>
      <c r="G10" s="5" t="s">
        <v>50</v>
      </c>
      <c r="H10" s="14" t="s">
        <v>46</v>
      </c>
      <c r="I10" s="14" t="s">
        <v>47</v>
      </c>
      <c r="J10" s="14" t="s">
        <v>48</v>
      </c>
      <c r="K10" s="14" t="s">
        <v>49</v>
      </c>
      <c r="L10" s="14" t="s">
        <v>50</v>
      </c>
      <c r="M10" s="5" t="s">
        <v>46</v>
      </c>
      <c r="N10" s="5" t="s">
        <v>47</v>
      </c>
      <c r="O10" s="5" t="s">
        <v>48</v>
      </c>
      <c r="P10" s="5" t="s">
        <v>49</v>
      </c>
      <c r="Q10" s="5" t="s">
        <v>50</v>
      </c>
      <c r="R10" s="14" t="s">
        <v>46</v>
      </c>
      <c r="S10" s="14" t="s">
        <v>47</v>
      </c>
      <c r="T10" s="14" t="s">
        <v>48</v>
      </c>
      <c r="U10" s="14" t="s">
        <v>49</v>
      </c>
      <c r="V10" s="14" t="s">
        <v>50</v>
      </c>
      <c r="W10" s="5" t="s">
        <v>46</v>
      </c>
      <c r="X10" s="5" t="s">
        <v>47</v>
      </c>
      <c r="Y10" s="5" t="s">
        <v>48</v>
      </c>
      <c r="Z10" s="5" t="s">
        <v>49</v>
      </c>
      <c r="AA10" s="5" t="s">
        <v>50</v>
      </c>
      <c r="AB10" s="14" t="s">
        <v>46</v>
      </c>
      <c r="AC10" s="14" t="s">
        <v>47</v>
      </c>
      <c r="AD10" s="14" t="s">
        <v>48</v>
      </c>
      <c r="AE10" s="14" t="s">
        <v>49</v>
      </c>
      <c r="AF10" s="14" t="s">
        <v>50</v>
      </c>
      <c r="AG10" s="5" t="s">
        <v>46</v>
      </c>
      <c r="AH10" s="5" t="s">
        <v>47</v>
      </c>
      <c r="AI10" s="5" t="s">
        <v>48</v>
      </c>
      <c r="AJ10" s="5" t="s">
        <v>49</v>
      </c>
      <c r="AK10" s="5" t="s">
        <v>50</v>
      </c>
      <c r="AL10" s="14" t="s">
        <v>46</v>
      </c>
      <c r="AM10" s="14" t="s">
        <v>47</v>
      </c>
      <c r="AN10" s="14" t="s">
        <v>48</v>
      </c>
      <c r="AO10" s="14" t="s">
        <v>49</v>
      </c>
      <c r="AP10" s="14" t="s">
        <v>50</v>
      </c>
      <c r="AQ10" s="5" t="s">
        <v>46</v>
      </c>
      <c r="AR10" s="5" t="s">
        <v>47</v>
      </c>
      <c r="AS10" s="5" t="s">
        <v>48</v>
      </c>
      <c r="AT10" s="5" t="s">
        <v>49</v>
      </c>
      <c r="AU10" s="5" t="s">
        <v>50</v>
      </c>
      <c r="AV10" s="14" t="s">
        <v>46</v>
      </c>
      <c r="AW10" s="14" t="s">
        <v>47</v>
      </c>
      <c r="AX10" s="14" t="s">
        <v>48</v>
      </c>
      <c r="AY10" s="14" t="s">
        <v>49</v>
      </c>
      <c r="AZ10" s="14" t="s">
        <v>50</v>
      </c>
      <c r="BA10" s="5" t="s">
        <v>46</v>
      </c>
      <c r="BB10" s="5" t="s">
        <v>47</v>
      </c>
      <c r="BC10" s="5" t="s">
        <v>48</v>
      </c>
      <c r="BD10" s="5" t="s">
        <v>49</v>
      </c>
      <c r="BE10" s="5" t="s">
        <v>50</v>
      </c>
      <c r="BF10" s="14" t="s">
        <v>46</v>
      </c>
      <c r="BG10" s="14" t="s">
        <v>47</v>
      </c>
      <c r="BH10" s="14" t="s">
        <v>48</v>
      </c>
      <c r="BI10" s="14" t="s">
        <v>49</v>
      </c>
      <c r="BJ10" s="14" t="s">
        <v>50</v>
      </c>
      <c r="BK10" s="5" t="s">
        <v>46</v>
      </c>
      <c r="BL10" s="5" t="s">
        <v>47</v>
      </c>
      <c r="BM10" s="5" t="s">
        <v>48</v>
      </c>
      <c r="BN10" s="5" t="s">
        <v>49</v>
      </c>
      <c r="BO10" s="5" t="s">
        <v>50</v>
      </c>
      <c r="BP10" s="14" t="s">
        <v>46</v>
      </c>
      <c r="BQ10" s="14" t="s">
        <v>47</v>
      </c>
      <c r="BR10" s="14" t="s">
        <v>48</v>
      </c>
      <c r="BS10" s="14" t="s">
        <v>49</v>
      </c>
      <c r="BT10" s="14" t="s">
        <v>50</v>
      </c>
      <c r="BU10" s="5" t="s">
        <v>46</v>
      </c>
      <c r="BV10" s="5" t="s">
        <v>47</v>
      </c>
      <c r="BW10" s="5" t="s">
        <v>48</v>
      </c>
      <c r="BX10" s="5" t="s">
        <v>49</v>
      </c>
      <c r="BY10" s="5" t="s">
        <v>50</v>
      </c>
      <c r="BZ10" s="14" t="s">
        <v>46</v>
      </c>
      <c r="CA10" s="14" t="s">
        <v>47</v>
      </c>
      <c r="CB10" s="14" t="s">
        <v>48</v>
      </c>
      <c r="CC10" s="14" t="s">
        <v>49</v>
      </c>
      <c r="CD10" s="14" t="s">
        <v>50</v>
      </c>
      <c r="CE10" s="5" t="s">
        <v>46</v>
      </c>
      <c r="CF10" s="5" t="s">
        <v>47</v>
      </c>
      <c r="CG10" s="5" t="s">
        <v>48</v>
      </c>
      <c r="CH10" s="5" t="s">
        <v>49</v>
      </c>
      <c r="CI10" s="5" t="s">
        <v>50</v>
      </c>
    </row>
    <row r="11" spans="1:87" x14ac:dyDescent="0.35">
      <c r="A11" s="2" t="s">
        <v>26</v>
      </c>
      <c r="B11" s="2" t="s">
        <v>25</v>
      </c>
      <c r="C11" s="3">
        <v>16</v>
      </c>
      <c r="D11" s="3">
        <v>0</v>
      </c>
      <c r="E11" s="3">
        <v>32</v>
      </c>
      <c r="F11" s="3"/>
      <c r="G11" s="3"/>
      <c r="H11" s="3">
        <f>C11+F11-G11</f>
        <v>16</v>
      </c>
      <c r="I11" s="3">
        <f t="shared" ref="I11:I17" si="59">D11+E11-F11</f>
        <v>32</v>
      </c>
      <c r="J11" s="3">
        <v>40</v>
      </c>
      <c r="K11" s="3">
        <v>56</v>
      </c>
      <c r="L11" s="3">
        <v>6</v>
      </c>
      <c r="M11" s="3">
        <f>H11+K11-L11</f>
        <v>66</v>
      </c>
      <c r="N11" s="3">
        <f t="shared" ref="N11:N17" si="60">I11+J11-K11</f>
        <v>16</v>
      </c>
      <c r="O11" s="3">
        <v>31</v>
      </c>
      <c r="P11" s="3">
        <v>28</v>
      </c>
      <c r="Q11" s="3">
        <v>0</v>
      </c>
      <c r="R11" s="3">
        <f>M11+P11-Q11</f>
        <v>94</v>
      </c>
      <c r="S11" s="3">
        <f t="shared" ref="S11:S17" si="61">N11+O11-P11</f>
        <v>19</v>
      </c>
      <c r="T11" s="3">
        <v>12</v>
      </c>
      <c r="U11" s="3">
        <v>0</v>
      </c>
      <c r="V11" s="3">
        <v>17</v>
      </c>
      <c r="W11" s="3">
        <f>R11+U11-V11</f>
        <v>77</v>
      </c>
      <c r="X11" s="3">
        <f t="shared" ref="X11:X17" si="62">S11+T11-U11</f>
        <v>31</v>
      </c>
      <c r="Y11" s="3">
        <v>0</v>
      </c>
      <c r="Z11" s="3">
        <v>0</v>
      </c>
      <c r="AA11" s="3">
        <v>23</v>
      </c>
      <c r="AB11" s="3">
        <f t="shared" ref="AB11:AB13" si="63">W11+Z11-AA11</f>
        <v>54</v>
      </c>
      <c r="AC11" s="3">
        <f t="shared" ref="AC11:AC17" si="64">X11+Y11-Z11</f>
        <v>31</v>
      </c>
      <c r="AD11" s="3"/>
      <c r="AE11" s="3">
        <v>0</v>
      </c>
      <c r="AF11" s="3">
        <v>9</v>
      </c>
      <c r="AG11" s="3">
        <f>AB11+AE11-AF11</f>
        <v>45</v>
      </c>
      <c r="AH11" s="3">
        <f t="shared" ref="AH11:AH17" si="65">AC11+AD11-AE11</f>
        <v>31</v>
      </c>
      <c r="AI11" s="3">
        <f>41+18</f>
        <v>59</v>
      </c>
      <c r="AJ11" s="3">
        <v>72</v>
      </c>
      <c r="AK11" s="3">
        <v>58</v>
      </c>
      <c r="AL11" s="3">
        <f>AG11+AJ11-AK11</f>
        <v>59</v>
      </c>
      <c r="AM11" s="3">
        <f t="shared" ref="AM11" si="66">AH11+AI11-AJ11</f>
        <v>18</v>
      </c>
      <c r="AN11" s="3">
        <v>57</v>
      </c>
      <c r="AO11" s="3">
        <v>28</v>
      </c>
      <c r="AP11" s="3">
        <v>23</v>
      </c>
      <c r="AQ11" s="3">
        <f>AL11+AO11-AP11</f>
        <v>64</v>
      </c>
      <c r="AR11" s="3">
        <f t="shared" ref="AR11:AR17" si="67">AM11+AN11-AO11</f>
        <v>47</v>
      </c>
      <c r="AS11" s="3">
        <v>44</v>
      </c>
      <c r="AT11" s="3">
        <v>72</v>
      </c>
      <c r="AU11" s="3">
        <v>25</v>
      </c>
      <c r="AV11" s="3">
        <f>AQ11+AT11-AU11</f>
        <v>111</v>
      </c>
      <c r="AW11" s="3">
        <f t="shared" ref="AW11:AW17" si="68">AR11+AS11-AT11</f>
        <v>19</v>
      </c>
      <c r="AX11" s="3">
        <f>32+25</f>
        <v>57</v>
      </c>
      <c r="AY11" s="3">
        <v>44</v>
      </c>
      <c r="AZ11" s="3">
        <v>10</v>
      </c>
      <c r="BA11" s="3">
        <v>80</v>
      </c>
      <c r="BB11" s="3">
        <f t="shared" ref="BB11:BB17" si="69">AW11+AX11-AY11</f>
        <v>32</v>
      </c>
      <c r="BC11" s="3">
        <v>0</v>
      </c>
      <c r="BD11" s="3">
        <v>16</v>
      </c>
      <c r="BE11" s="3">
        <v>9</v>
      </c>
      <c r="BF11" s="3">
        <f>BA11+BD11-BE11</f>
        <v>87</v>
      </c>
      <c r="BG11" s="3">
        <f t="shared" ref="BG11:BG17" si="70">BB11+BC11-BD11</f>
        <v>16</v>
      </c>
      <c r="BH11" s="3"/>
      <c r="BI11" s="3">
        <v>16</v>
      </c>
      <c r="BJ11" s="3">
        <v>46</v>
      </c>
      <c r="BK11" s="3">
        <f>BF11+BI11-BJ11</f>
        <v>57</v>
      </c>
      <c r="BL11" s="3">
        <f t="shared" ref="BL11:BL17" si="71">BG11+BH11-BI11</f>
        <v>0</v>
      </c>
      <c r="BM11" s="3">
        <v>52</v>
      </c>
      <c r="BN11" s="3">
        <v>16</v>
      </c>
      <c r="BO11" s="3">
        <v>57</v>
      </c>
      <c r="BP11" s="3">
        <f>BK11+BN11-BO11</f>
        <v>16</v>
      </c>
      <c r="BQ11" s="3">
        <f t="shared" ref="BQ11:BQ17" si="72">BL11+BM11-BN11</f>
        <v>36</v>
      </c>
      <c r="BR11" s="3"/>
      <c r="BS11" s="3"/>
      <c r="BT11" s="3">
        <v>141</v>
      </c>
      <c r="BU11" s="3">
        <f>BP11+BS11-BT11</f>
        <v>-125</v>
      </c>
      <c r="BV11" s="3">
        <f t="shared" ref="BV11:BV17" si="73">BQ11+BR11-BS11</f>
        <v>36</v>
      </c>
      <c r="BW11" s="3"/>
      <c r="BX11" s="3"/>
      <c r="BY11" s="3">
        <v>42</v>
      </c>
      <c r="BZ11" s="3">
        <f>BU11+BX11-BY11</f>
        <v>-167</v>
      </c>
      <c r="CA11" s="3">
        <f t="shared" ref="CA11:CA17" si="74">BV11+BW11-BX11</f>
        <v>36</v>
      </c>
      <c r="CB11" s="3"/>
      <c r="CC11" s="3"/>
      <c r="CD11" s="3">
        <v>0</v>
      </c>
      <c r="CE11" s="3">
        <f>BZ11+CC11-CD11</f>
        <v>-167</v>
      </c>
      <c r="CF11" s="3">
        <f t="shared" ref="CF11:CF17" si="75">CA11+CB11-CC11</f>
        <v>36</v>
      </c>
      <c r="CG11" s="3"/>
      <c r="CH11" s="3"/>
      <c r="CI11" s="3">
        <v>60</v>
      </c>
    </row>
    <row r="12" spans="1:87" x14ac:dyDescent="0.35">
      <c r="A12" s="2" t="s">
        <v>8</v>
      </c>
      <c r="B12" s="2" t="s">
        <v>27</v>
      </c>
      <c r="C12" s="3">
        <v>26</v>
      </c>
      <c r="D12" s="3">
        <v>0</v>
      </c>
      <c r="E12" s="3"/>
      <c r="F12" s="3"/>
      <c r="G12" s="3"/>
      <c r="H12" s="3">
        <f t="shared" ref="H12:H17" si="76">C12+F12-G12</f>
        <v>26</v>
      </c>
      <c r="I12" s="3">
        <f t="shared" si="59"/>
        <v>0</v>
      </c>
      <c r="J12" s="3">
        <v>32</v>
      </c>
      <c r="K12" s="3">
        <v>27</v>
      </c>
      <c r="L12" s="3">
        <v>0</v>
      </c>
      <c r="M12" s="3">
        <f t="shared" ref="M12:M17" si="77">H12+K12-L12</f>
        <v>53</v>
      </c>
      <c r="N12" s="3">
        <f t="shared" si="60"/>
        <v>5</v>
      </c>
      <c r="O12" s="3">
        <v>16</v>
      </c>
      <c r="P12" s="3">
        <v>0</v>
      </c>
      <c r="Q12" s="3">
        <v>15</v>
      </c>
      <c r="R12" s="3">
        <f t="shared" ref="R12:R17" si="78">M12+P12-Q12</f>
        <v>38</v>
      </c>
      <c r="S12" s="3">
        <f t="shared" si="61"/>
        <v>21</v>
      </c>
      <c r="T12" s="3">
        <v>44</v>
      </c>
      <c r="U12" s="3">
        <v>32</v>
      </c>
      <c r="V12" s="3">
        <v>6</v>
      </c>
      <c r="W12" s="3">
        <f t="shared" ref="W12" si="79">R12+U12-V12</f>
        <v>64</v>
      </c>
      <c r="X12" s="3">
        <f t="shared" si="62"/>
        <v>33</v>
      </c>
      <c r="Y12" s="3">
        <v>0</v>
      </c>
      <c r="Z12" s="3">
        <v>0</v>
      </c>
      <c r="AA12" s="3">
        <v>13</v>
      </c>
      <c r="AB12" s="3">
        <f t="shared" si="63"/>
        <v>51</v>
      </c>
      <c r="AC12" s="3">
        <f t="shared" si="64"/>
        <v>33</v>
      </c>
      <c r="AD12" s="3"/>
      <c r="AE12" s="3">
        <v>0</v>
      </c>
      <c r="AF12" s="3">
        <v>14</v>
      </c>
      <c r="AG12" s="3">
        <v>50</v>
      </c>
      <c r="AH12" s="3">
        <f t="shared" si="65"/>
        <v>33</v>
      </c>
      <c r="AI12" s="3">
        <v>35</v>
      </c>
      <c r="AJ12" s="3">
        <v>0</v>
      </c>
      <c r="AK12" s="3">
        <v>25</v>
      </c>
      <c r="AL12" s="3">
        <f t="shared" ref="AL12:AL13" si="80">AG12+AJ12-AK12</f>
        <v>25</v>
      </c>
      <c r="AM12" s="3">
        <v>44</v>
      </c>
      <c r="AN12" s="3"/>
      <c r="AO12" s="3">
        <v>0</v>
      </c>
      <c r="AP12" s="3">
        <v>18</v>
      </c>
      <c r="AQ12" s="3">
        <v>35</v>
      </c>
      <c r="AR12" s="3">
        <f t="shared" si="67"/>
        <v>44</v>
      </c>
      <c r="AS12" s="3"/>
      <c r="AT12" s="3">
        <v>0</v>
      </c>
      <c r="AU12" s="3">
        <v>12</v>
      </c>
      <c r="AV12" s="3">
        <f t="shared" ref="AV12:AV17" si="81">AQ12+AT12-AU12</f>
        <v>23</v>
      </c>
      <c r="AW12" s="3">
        <f t="shared" si="68"/>
        <v>44</v>
      </c>
      <c r="AX12" s="3"/>
      <c r="AY12" s="3">
        <v>16</v>
      </c>
      <c r="AZ12" s="3">
        <v>6</v>
      </c>
      <c r="BA12" s="3">
        <f t="shared" ref="BA12:BA17" si="82">AV12+AY12-AZ12</f>
        <v>33</v>
      </c>
      <c r="BB12" s="3">
        <f t="shared" si="69"/>
        <v>28</v>
      </c>
      <c r="BC12" s="3">
        <v>0</v>
      </c>
      <c r="BD12" s="3">
        <v>16</v>
      </c>
      <c r="BE12" s="3">
        <v>7</v>
      </c>
      <c r="BF12" s="3">
        <f t="shared" ref="BF12:BF17" si="83">BA12+BD12-BE12</f>
        <v>42</v>
      </c>
      <c r="BG12" s="3">
        <f t="shared" si="70"/>
        <v>12</v>
      </c>
      <c r="BH12" s="3">
        <v>32</v>
      </c>
      <c r="BI12" s="3">
        <v>44</v>
      </c>
      <c r="BJ12" s="3">
        <v>6</v>
      </c>
      <c r="BK12" s="3">
        <f t="shared" ref="BK12:BK17" si="84">BF12+BI12-BJ12</f>
        <v>80</v>
      </c>
      <c r="BL12" s="3">
        <f t="shared" si="71"/>
        <v>0</v>
      </c>
      <c r="BM12" s="3">
        <v>48</v>
      </c>
      <c r="BN12" s="3">
        <v>12</v>
      </c>
      <c r="BO12" s="3">
        <v>32</v>
      </c>
      <c r="BP12" s="3">
        <f t="shared" ref="BP12:BP17" si="85">BK12+BN12-BO12</f>
        <v>60</v>
      </c>
      <c r="BQ12" s="3">
        <f t="shared" si="72"/>
        <v>36</v>
      </c>
      <c r="BR12" s="3"/>
      <c r="BS12" s="3"/>
      <c r="BT12" s="3">
        <v>63</v>
      </c>
      <c r="BU12" s="3">
        <f t="shared" ref="BU12:BU17" si="86">BP12+BS12-BT12</f>
        <v>-3</v>
      </c>
      <c r="BV12" s="3">
        <f t="shared" si="73"/>
        <v>36</v>
      </c>
      <c r="BW12" s="3"/>
      <c r="BX12" s="3"/>
      <c r="BY12" s="3">
        <v>34</v>
      </c>
      <c r="BZ12" s="3">
        <f t="shared" ref="BZ12:BZ17" si="87">BU12+BX12-BY12</f>
        <v>-37</v>
      </c>
      <c r="CA12" s="3">
        <f t="shared" si="74"/>
        <v>36</v>
      </c>
      <c r="CB12" s="3"/>
      <c r="CC12" s="3"/>
      <c r="CD12" s="3">
        <v>32</v>
      </c>
      <c r="CE12" s="3">
        <f t="shared" ref="CE12:CE17" si="88">BZ12+CC12-CD12</f>
        <v>-69</v>
      </c>
      <c r="CF12" s="3">
        <f t="shared" si="75"/>
        <v>36</v>
      </c>
      <c r="CG12" s="3"/>
      <c r="CH12" s="3"/>
      <c r="CI12" s="3">
        <v>34</v>
      </c>
    </row>
    <row r="13" spans="1:87" x14ac:dyDescent="0.35">
      <c r="A13" s="2" t="s">
        <v>9</v>
      </c>
      <c r="B13" s="2" t="s">
        <v>40</v>
      </c>
      <c r="C13" s="3">
        <v>29</v>
      </c>
      <c r="D13" s="3">
        <v>0</v>
      </c>
      <c r="E13" s="3">
        <v>12</v>
      </c>
      <c r="F13" s="3"/>
      <c r="G13" s="3"/>
      <c r="H13" s="3">
        <f t="shared" si="76"/>
        <v>29</v>
      </c>
      <c r="I13" s="3">
        <f t="shared" si="59"/>
        <v>12</v>
      </c>
      <c r="J13" s="3">
        <v>12</v>
      </c>
      <c r="K13" s="3">
        <v>12</v>
      </c>
      <c r="L13" s="3">
        <v>25</v>
      </c>
      <c r="M13" s="3">
        <f t="shared" si="77"/>
        <v>16</v>
      </c>
      <c r="N13" s="3">
        <f t="shared" si="60"/>
        <v>12</v>
      </c>
      <c r="O13" s="3">
        <v>80</v>
      </c>
      <c r="P13" s="3">
        <v>12</v>
      </c>
      <c r="Q13" s="3">
        <v>20</v>
      </c>
      <c r="R13" s="3">
        <f t="shared" si="78"/>
        <v>8</v>
      </c>
      <c r="S13" s="3">
        <f t="shared" si="61"/>
        <v>80</v>
      </c>
      <c r="T13" s="3">
        <v>19</v>
      </c>
      <c r="U13" s="3">
        <v>56</v>
      </c>
      <c r="V13" s="3">
        <v>56</v>
      </c>
      <c r="W13" s="3">
        <v>40</v>
      </c>
      <c r="X13" s="3">
        <f t="shared" si="62"/>
        <v>43</v>
      </c>
      <c r="Y13" s="3">
        <v>97</v>
      </c>
      <c r="Z13" s="3">
        <v>60</v>
      </c>
      <c r="AA13" s="3">
        <v>70</v>
      </c>
      <c r="AB13" s="3">
        <f t="shared" si="63"/>
        <v>30</v>
      </c>
      <c r="AC13" s="3">
        <f t="shared" si="64"/>
        <v>80</v>
      </c>
      <c r="AD13" s="3">
        <v>88</v>
      </c>
      <c r="AE13" s="3">
        <v>108</v>
      </c>
      <c r="AF13" s="3">
        <v>38</v>
      </c>
      <c r="AG13" s="3">
        <f t="shared" ref="AG13:AG17" si="89">AB13+AE13-AF13</f>
        <v>100</v>
      </c>
      <c r="AH13" s="3">
        <f t="shared" si="65"/>
        <v>60</v>
      </c>
      <c r="AI13" s="3">
        <v>16</v>
      </c>
      <c r="AJ13" s="3">
        <v>60</v>
      </c>
      <c r="AK13" s="3">
        <v>50</v>
      </c>
      <c r="AL13" s="3">
        <f t="shared" si="80"/>
        <v>110</v>
      </c>
      <c r="AM13" s="3">
        <v>6</v>
      </c>
      <c r="AN13" s="3">
        <v>51</v>
      </c>
      <c r="AO13" s="3">
        <v>24</v>
      </c>
      <c r="AP13" s="3">
        <v>26</v>
      </c>
      <c r="AQ13" s="3">
        <f t="shared" ref="AQ13" si="90">AL13+AO13-AP13</f>
        <v>108</v>
      </c>
      <c r="AR13" s="3">
        <f t="shared" si="67"/>
        <v>33</v>
      </c>
      <c r="AS13" s="3">
        <v>28</v>
      </c>
      <c r="AT13" s="3">
        <v>32</v>
      </c>
      <c r="AU13" s="3">
        <v>40</v>
      </c>
      <c r="AV13" s="3">
        <f t="shared" si="81"/>
        <v>100</v>
      </c>
      <c r="AW13" s="3">
        <f t="shared" si="68"/>
        <v>29</v>
      </c>
      <c r="AX13" s="3">
        <v>43</v>
      </c>
      <c r="AY13" s="3">
        <v>44</v>
      </c>
      <c r="AZ13" s="3">
        <v>109</v>
      </c>
      <c r="BA13" s="3">
        <f t="shared" si="82"/>
        <v>35</v>
      </c>
      <c r="BB13" s="3">
        <f t="shared" si="69"/>
        <v>28</v>
      </c>
      <c r="BC13" s="3">
        <v>48</v>
      </c>
      <c r="BD13" s="3">
        <v>60</v>
      </c>
      <c r="BE13" s="3">
        <v>44</v>
      </c>
      <c r="BF13" s="3">
        <f t="shared" si="83"/>
        <v>51</v>
      </c>
      <c r="BG13" s="3">
        <f t="shared" si="70"/>
        <v>16</v>
      </c>
      <c r="BH13" s="3">
        <v>32</v>
      </c>
      <c r="BI13" s="3">
        <v>48</v>
      </c>
      <c r="BJ13" s="3">
        <v>33</v>
      </c>
      <c r="BK13" s="3">
        <f t="shared" si="84"/>
        <v>66</v>
      </c>
      <c r="BL13" s="3">
        <f t="shared" si="71"/>
        <v>0</v>
      </c>
      <c r="BM13" s="3">
        <v>32</v>
      </c>
      <c r="BN13" s="3">
        <v>0</v>
      </c>
      <c r="BO13" s="3">
        <v>53</v>
      </c>
      <c r="BP13" s="3">
        <f t="shared" si="85"/>
        <v>13</v>
      </c>
      <c r="BQ13" s="3">
        <f t="shared" si="72"/>
        <v>32</v>
      </c>
      <c r="BR13" s="3"/>
      <c r="BS13" s="3"/>
      <c r="BT13" s="3">
        <v>74</v>
      </c>
      <c r="BU13" s="3">
        <f t="shared" si="86"/>
        <v>-61</v>
      </c>
      <c r="BV13" s="3">
        <f t="shared" si="73"/>
        <v>32</v>
      </c>
      <c r="BW13" s="3"/>
      <c r="BX13" s="3"/>
      <c r="BY13" s="3">
        <v>39</v>
      </c>
      <c r="BZ13" s="3">
        <f t="shared" si="87"/>
        <v>-100</v>
      </c>
      <c r="CA13" s="3">
        <f t="shared" si="74"/>
        <v>32</v>
      </c>
      <c r="CB13" s="3"/>
      <c r="CC13" s="3"/>
      <c r="CD13" s="3">
        <v>31</v>
      </c>
      <c r="CE13" s="3">
        <f t="shared" si="88"/>
        <v>-131</v>
      </c>
      <c r="CF13" s="3">
        <f t="shared" si="75"/>
        <v>32</v>
      </c>
      <c r="CG13" s="3"/>
      <c r="CH13" s="3"/>
      <c r="CI13" s="3">
        <v>53</v>
      </c>
    </row>
    <row r="14" spans="1:87" x14ac:dyDescent="0.35">
      <c r="A14" s="2" t="s">
        <v>24</v>
      </c>
      <c r="B14" s="2" t="s">
        <v>28</v>
      </c>
      <c r="C14" s="3">
        <v>7</v>
      </c>
      <c r="D14" s="3">
        <v>0</v>
      </c>
      <c r="E14" s="3"/>
      <c r="F14" s="3"/>
      <c r="G14" s="3"/>
      <c r="H14" s="3">
        <f t="shared" si="76"/>
        <v>7</v>
      </c>
      <c r="I14" s="3">
        <f t="shared" si="59"/>
        <v>0</v>
      </c>
      <c r="J14" s="3">
        <f>18+28</f>
        <v>46</v>
      </c>
      <c r="K14" s="3">
        <v>18</v>
      </c>
      <c r="L14" s="3">
        <v>18</v>
      </c>
      <c r="M14" s="3">
        <f t="shared" si="77"/>
        <v>7</v>
      </c>
      <c r="N14" s="3">
        <f t="shared" si="60"/>
        <v>28</v>
      </c>
      <c r="O14" s="3">
        <v>0</v>
      </c>
      <c r="P14" s="3">
        <v>28</v>
      </c>
      <c r="Q14" s="3">
        <v>7</v>
      </c>
      <c r="R14" s="3">
        <f t="shared" si="78"/>
        <v>28</v>
      </c>
      <c r="S14" s="3">
        <f t="shared" si="61"/>
        <v>0</v>
      </c>
      <c r="T14" s="3">
        <v>28</v>
      </c>
      <c r="U14" s="3">
        <v>16</v>
      </c>
      <c r="V14" s="3">
        <v>28</v>
      </c>
      <c r="W14" s="3">
        <f t="shared" ref="W14:W17" si="91">R14+U14-V14</f>
        <v>16</v>
      </c>
      <c r="X14" s="3">
        <f t="shared" si="62"/>
        <v>12</v>
      </c>
      <c r="Y14" s="3"/>
      <c r="Z14" s="3">
        <v>0</v>
      </c>
      <c r="AA14" s="3">
        <v>8</v>
      </c>
      <c r="AB14" s="3">
        <v>12</v>
      </c>
      <c r="AC14" s="3">
        <f t="shared" si="64"/>
        <v>12</v>
      </c>
      <c r="AD14" s="3">
        <v>4</v>
      </c>
      <c r="AE14" s="3">
        <v>0</v>
      </c>
      <c r="AF14" s="3">
        <v>11</v>
      </c>
      <c r="AG14" s="3">
        <f t="shared" si="89"/>
        <v>1</v>
      </c>
      <c r="AH14" s="3">
        <f t="shared" si="65"/>
        <v>16</v>
      </c>
      <c r="AI14" s="3"/>
      <c r="AJ14" s="3">
        <v>0</v>
      </c>
      <c r="AK14" s="3">
        <v>4</v>
      </c>
      <c r="AL14" s="3">
        <v>7</v>
      </c>
      <c r="AM14" s="3">
        <f t="shared" ref="AM14:AM17" si="92">AH14+AI14-AJ14</f>
        <v>16</v>
      </c>
      <c r="AN14" s="3">
        <v>31</v>
      </c>
      <c r="AO14" s="3">
        <v>16</v>
      </c>
      <c r="AP14" s="3">
        <v>20</v>
      </c>
      <c r="AQ14" s="3">
        <v>8</v>
      </c>
      <c r="AR14" s="3">
        <f t="shared" si="67"/>
        <v>31</v>
      </c>
      <c r="AS14" s="3">
        <v>28</v>
      </c>
      <c r="AT14" s="3">
        <v>40</v>
      </c>
      <c r="AU14" s="3">
        <v>27</v>
      </c>
      <c r="AV14" s="3">
        <f t="shared" si="81"/>
        <v>21</v>
      </c>
      <c r="AW14" s="3">
        <f t="shared" si="68"/>
        <v>19</v>
      </c>
      <c r="AX14" s="3">
        <v>32</v>
      </c>
      <c r="AY14" s="3">
        <v>32</v>
      </c>
      <c r="AZ14" s="3">
        <v>14</v>
      </c>
      <c r="BA14" s="3">
        <f t="shared" si="82"/>
        <v>39</v>
      </c>
      <c r="BB14" s="3">
        <v>20</v>
      </c>
      <c r="BC14" s="3">
        <v>20</v>
      </c>
      <c r="BD14" s="3">
        <v>28</v>
      </c>
      <c r="BE14" s="3">
        <v>45</v>
      </c>
      <c r="BF14" s="3">
        <f t="shared" si="83"/>
        <v>22</v>
      </c>
      <c r="BG14" s="3">
        <f t="shared" si="70"/>
        <v>12</v>
      </c>
      <c r="BH14" s="3">
        <v>20</v>
      </c>
      <c r="BI14" s="3">
        <v>16</v>
      </c>
      <c r="BJ14" s="3">
        <v>20</v>
      </c>
      <c r="BK14" s="3">
        <f t="shared" si="84"/>
        <v>18</v>
      </c>
      <c r="BL14" s="3">
        <f t="shared" si="71"/>
        <v>16</v>
      </c>
      <c r="BM14" s="3">
        <v>32</v>
      </c>
      <c r="BN14" s="3">
        <v>16</v>
      </c>
      <c r="BO14" s="3">
        <v>8</v>
      </c>
      <c r="BP14" s="3">
        <f t="shared" si="85"/>
        <v>26</v>
      </c>
      <c r="BQ14" s="3">
        <f t="shared" si="72"/>
        <v>32</v>
      </c>
      <c r="BR14" s="3"/>
      <c r="BS14" s="3"/>
      <c r="BT14" s="3">
        <v>35</v>
      </c>
      <c r="BU14" s="3">
        <f t="shared" si="86"/>
        <v>-9</v>
      </c>
      <c r="BV14" s="3">
        <f t="shared" si="73"/>
        <v>32</v>
      </c>
      <c r="BW14" s="3"/>
      <c r="BX14" s="3"/>
      <c r="BY14" s="3">
        <v>26</v>
      </c>
      <c r="BZ14" s="3">
        <f t="shared" si="87"/>
        <v>-35</v>
      </c>
      <c r="CA14" s="3">
        <f t="shared" si="74"/>
        <v>32</v>
      </c>
      <c r="CB14" s="3"/>
      <c r="CC14" s="3"/>
      <c r="CD14" s="3">
        <v>15</v>
      </c>
      <c r="CE14" s="3">
        <f t="shared" si="88"/>
        <v>-50</v>
      </c>
      <c r="CF14" s="3">
        <f t="shared" si="75"/>
        <v>32</v>
      </c>
      <c r="CG14" s="3"/>
      <c r="CH14" s="3"/>
      <c r="CI14" s="3">
        <v>4</v>
      </c>
    </row>
    <row r="15" spans="1:87" x14ac:dyDescent="0.35">
      <c r="A15" s="2" t="s">
        <v>10</v>
      </c>
      <c r="B15" s="2" t="s">
        <v>41</v>
      </c>
      <c r="C15" s="3">
        <v>16</v>
      </c>
      <c r="D15" s="3">
        <v>52</v>
      </c>
      <c r="E15" s="3"/>
      <c r="F15" s="3"/>
      <c r="G15" s="3"/>
      <c r="H15" s="3">
        <f t="shared" si="76"/>
        <v>16</v>
      </c>
      <c r="I15" s="3">
        <f t="shared" si="59"/>
        <v>52</v>
      </c>
      <c r="J15" s="3">
        <v>0</v>
      </c>
      <c r="K15" s="3">
        <v>0</v>
      </c>
      <c r="L15" s="3">
        <v>0</v>
      </c>
      <c r="M15" s="3">
        <f t="shared" si="77"/>
        <v>16</v>
      </c>
      <c r="N15" s="3">
        <f t="shared" si="60"/>
        <v>52</v>
      </c>
      <c r="O15" s="3">
        <v>0</v>
      </c>
      <c r="P15" s="3">
        <v>0</v>
      </c>
      <c r="Q15" s="3">
        <v>0</v>
      </c>
      <c r="R15" s="3">
        <f t="shared" si="78"/>
        <v>16</v>
      </c>
      <c r="S15" s="3">
        <f t="shared" si="61"/>
        <v>52</v>
      </c>
      <c r="T15" s="3"/>
      <c r="U15" s="3">
        <v>0</v>
      </c>
      <c r="V15" s="3">
        <v>0</v>
      </c>
      <c r="W15" s="3">
        <f t="shared" si="91"/>
        <v>16</v>
      </c>
      <c r="X15" s="3">
        <f t="shared" si="62"/>
        <v>52</v>
      </c>
      <c r="Y15" s="3"/>
      <c r="Z15" s="3">
        <v>0</v>
      </c>
      <c r="AA15" s="3">
        <v>0</v>
      </c>
      <c r="AB15" s="3">
        <f t="shared" ref="AB15:AB17" si="93">W15+Z15-AA15</f>
        <v>16</v>
      </c>
      <c r="AC15" s="3">
        <f t="shared" si="64"/>
        <v>52</v>
      </c>
      <c r="AD15" s="3"/>
      <c r="AE15" s="3">
        <v>0</v>
      </c>
      <c r="AF15" s="3">
        <v>0</v>
      </c>
      <c r="AG15" s="3">
        <f t="shared" si="89"/>
        <v>16</v>
      </c>
      <c r="AH15" s="3">
        <f t="shared" si="65"/>
        <v>52</v>
      </c>
      <c r="AI15" s="3"/>
      <c r="AJ15" s="3">
        <v>0</v>
      </c>
      <c r="AK15" s="3">
        <v>0</v>
      </c>
      <c r="AL15" s="3">
        <f t="shared" ref="AL15:AL17" si="94">AG15+AJ15-AK15</f>
        <v>16</v>
      </c>
      <c r="AM15" s="3">
        <f t="shared" si="92"/>
        <v>52</v>
      </c>
      <c r="AN15" s="3"/>
      <c r="AO15" s="3">
        <v>0</v>
      </c>
      <c r="AP15" s="3">
        <v>0</v>
      </c>
      <c r="AQ15" s="3">
        <f t="shared" ref="AQ15:AQ17" si="95">AL15+AO15-AP15</f>
        <v>16</v>
      </c>
      <c r="AR15" s="3">
        <f t="shared" si="67"/>
        <v>52</v>
      </c>
      <c r="AS15" s="3"/>
      <c r="AT15" s="3">
        <v>0</v>
      </c>
      <c r="AU15" s="3">
        <v>0</v>
      </c>
      <c r="AV15" s="3">
        <f t="shared" si="81"/>
        <v>16</v>
      </c>
      <c r="AW15" s="3">
        <f t="shared" si="68"/>
        <v>52</v>
      </c>
      <c r="AX15" s="3"/>
      <c r="AY15" s="3">
        <v>0</v>
      </c>
      <c r="AZ15" s="3">
        <v>0</v>
      </c>
      <c r="BA15" s="3">
        <f t="shared" si="82"/>
        <v>16</v>
      </c>
      <c r="BB15" s="3">
        <f t="shared" si="69"/>
        <v>52</v>
      </c>
      <c r="BC15" s="3"/>
      <c r="BD15" s="3">
        <v>0</v>
      </c>
      <c r="BE15" s="3">
        <v>0</v>
      </c>
      <c r="BF15" s="3">
        <f t="shared" si="83"/>
        <v>16</v>
      </c>
      <c r="BG15" s="3">
        <f t="shared" si="70"/>
        <v>52</v>
      </c>
      <c r="BH15" s="3"/>
      <c r="BI15" s="3">
        <v>0</v>
      </c>
      <c r="BJ15" s="3">
        <v>0</v>
      </c>
      <c r="BK15" s="3">
        <f t="shared" si="84"/>
        <v>16</v>
      </c>
      <c r="BL15" s="3">
        <f t="shared" si="71"/>
        <v>52</v>
      </c>
      <c r="BM15" s="3"/>
      <c r="BN15" s="3">
        <v>0</v>
      </c>
      <c r="BO15" s="3">
        <v>0</v>
      </c>
      <c r="BP15" s="3">
        <f t="shared" si="85"/>
        <v>16</v>
      </c>
      <c r="BQ15" s="3">
        <f t="shared" si="72"/>
        <v>52</v>
      </c>
      <c r="BR15" s="3"/>
      <c r="BS15" s="3"/>
      <c r="BT15" s="3">
        <v>0</v>
      </c>
      <c r="BU15" s="3">
        <f t="shared" si="86"/>
        <v>16</v>
      </c>
      <c r="BV15" s="3">
        <f t="shared" si="73"/>
        <v>52</v>
      </c>
      <c r="BW15" s="3"/>
      <c r="BX15" s="3"/>
      <c r="BY15" s="3">
        <v>0</v>
      </c>
      <c r="BZ15" s="3">
        <f t="shared" si="87"/>
        <v>16</v>
      </c>
      <c r="CA15" s="3">
        <f t="shared" si="74"/>
        <v>52</v>
      </c>
      <c r="CB15" s="3"/>
      <c r="CC15" s="3"/>
      <c r="CD15" s="3">
        <v>0</v>
      </c>
      <c r="CE15" s="3">
        <f t="shared" si="88"/>
        <v>16</v>
      </c>
      <c r="CF15" s="3">
        <f t="shared" si="75"/>
        <v>52</v>
      </c>
      <c r="CG15" s="3"/>
      <c r="CH15" s="3"/>
      <c r="CI15" s="3">
        <v>0</v>
      </c>
    </row>
    <row r="16" spans="1:87" x14ac:dyDescent="0.35">
      <c r="A16" s="2" t="s">
        <v>11</v>
      </c>
      <c r="B16" s="2" t="s">
        <v>29</v>
      </c>
      <c r="C16" s="3">
        <v>-41</v>
      </c>
      <c r="D16" s="3">
        <v>0</v>
      </c>
      <c r="E16" s="3">
        <v>60</v>
      </c>
      <c r="F16" s="3"/>
      <c r="G16" s="3"/>
      <c r="H16" s="3">
        <f t="shared" si="76"/>
        <v>-41</v>
      </c>
      <c r="I16" s="3">
        <f t="shared" si="59"/>
        <v>60</v>
      </c>
      <c r="J16" s="3">
        <v>82</v>
      </c>
      <c r="K16" s="3">
        <v>115</v>
      </c>
      <c r="L16" s="3">
        <v>98</v>
      </c>
      <c r="M16" s="3">
        <f t="shared" si="77"/>
        <v>-24</v>
      </c>
      <c r="N16" s="3">
        <f t="shared" si="60"/>
        <v>27</v>
      </c>
      <c r="O16" s="3">
        <v>50</v>
      </c>
      <c r="P16" s="3">
        <v>64</v>
      </c>
      <c r="Q16" s="3">
        <v>28</v>
      </c>
      <c r="R16" s="3">
        <f t="shared" si="78"/>
        <v>12</v>
      </c>
      <c r="S16" s="3">
        <f t="shared" si="61"/>
        <v>13</v>
      </c>
      <c r="T16" s="3">
        <v>43</v>
      </c>
      <c r="U16" s="3">
        <v>28</v>
      </c>
      <c r="V16" s="3">
        <v>9</v>
      </c>
      <c r="W16" s="3">
        <f t="shared" si="91"/>
        <v>31</v>
      </c>
      <c r="X16" s="3">
        <f t="shared" si="62"/>
        <v>28</v>
      </c>
      <c r="Y16" s="3">
        <v>38</v>
      </c>
      <c r="Z16" s="3">
        <v>12</v>
      </c>
      <c r="AA16" s="3">
        <v>35</v>
      </c>
      <c r="AB16" s="3">
        <f t="shared" si="93"/>
        <v>8</v>
      </c>
      <c r="AC16" s="3">
        <f t="shared" si="64"/>
        <v>54</v>
      </c>
      <c r="AD16" s="3">
        <v>34</v>
      </c>
      <c r="AE16" s="3">
        <v>56</v>
      </c>
      <c r="AF16" s="3">
        <v>42</v>
      </c>
      <c r="AG16" s="3">
        <f t="shared" si="89"/>
        <v>22</v>
      </c>
      <c r="AH16" s="3">
        <f t="shared" si="65"/>
        <v>32</v>
      </c>
      <c r="AI16" s="3">
        <v>16</v>
      </c>
      <c r="AJ16" s="3">
        <v>16</v>
      </c>
      <c r="AK16" s="3">
        <v>13</v>
      </c>
      <c r="AL16" s="3">
        <f t="shared" si="94"/>
        <v>25</v>
      </c>
      <c r="AM16" s="3">
        <f t="shared" si="92"/>
        <v>32</v>
      </c>
      <c r="AN16" s="3"/>
      <c r="AO16" s="3">
        <v>0</v>
      </c>
      <c r="AP16" s="3">
        <v>15</v>
      </c>
      <c r="AQ16" s="3">
        <f t="shared" si="95"/>
        <v>10</v>
      </c>
      <c r="AR16" s="3">
        <f t="shared" si="67"/>
        <v>32</v>
      </c>
      <c r="AS16" s="3">
        <v>12</v>
      </c>
      <c r="AT16" s="3">
        <v>44</v>
      </c>
      <c r="AU16" s="3">
        <v>18</v>
      </c>
      <c r="AV16" s="3">
        <f t="shared" si="81"/>
        <v>36</v>
      </c>
      <c r="AW16" s="3">
        <f t="shared" si="68"/>
        <v>0</v>
      </c>
      <c r="AX16" s="3">
        <v>32</v>
      </c>
      <c r="AY16" s="3">
        <v>0</v>
      </c>
      <c r="AZ16" s="3">
        <v>10</v>
      </c>
      <c r="BA16" s="3">
        <f t="shared" si="82"/>
        <v>26</v>
      </c>
      <c r="BB16" s="3">
        <f t="shared" si="69"/>
        <v>32</v>
      </c>
      <c r="BC16" s="3">
        <v>34</v>
      </c>
      <c r="BD16" s="3">
        <v>44</v>
      </c>
      <c r="BE16" s="3">
        <v>67</v>
      </c>
      <c r="BF16" s="3">
        <f t="shared" si="83"/>
        <v>3</v>
      </c>
      <c r="BG16" s="3">
        <f t="shared" si="70"/>
        <v>22</v>
      </c>
      <c r="BH16" s="3">
        <v>46</v>
      </c>
      <c r="BI16" s="3">
        <v>52</v>
      </c>
      <c r="BJ16" s="3">
        <v>23</v>
      </c>
      <c r="BK16" s="3">
        <f t="shared" si="84"/>
        <v>32</v>
      </c>
      <c r="BL16" s="3">
        <f t="shared" si="71"/>
        <v>16</v>
      </c>
      <c r="BM16" s="3">
        <v>32</v>
      </c>
      <c r="BN16" s="3">
        <v>16</v>
      </c>
      <c r="BO16" s="3">
        <v>3</v>
      </c>
      <c r="BP16" s="3">
        <f t="shared" si="85"/>
        <v>45</v>
      </c>
      <c r="BQ16" s="3">
        <f t="shared" si="72"/>
        <v>32</v>
      </c>
      <c r="BR16" s="3"/>
      <c r="BS16" s="3"/>
      <c r="BT16" s="3">
        <v>56</v>
      </c>
      <c r="BU16" s="3">
        <f t="shared" si="86"/>
        <v>-11</v>
      </c>
      <c r="BV16" s="3">
        <f t="shared" si="73"/>
        <v>32</v>
      </c>
      <c r="BW16" s="3"/>
      <c r="BX16" s="3"/>
      <c r="BY16" s="3">
        <v>50</v>
      </c>
      <c r="BZ16" s="3">
        <f t="shared" si="87"/>
        <v>-61</v>
      </c>
      <c r="CA16" s="3">
        <f t="shared" si="74"/>
        <v>32</v>
      </c>
      <c r="CB16" s="3"/>
      <c r="CC16" s="3"/>
      <c r="CD16" s="3">
        <v>50</v>
      </c>
      <c r="CE16" s="3">
        <f t="shared" si="88"/>
        <v>-111</v>
      </c>
      <c r="CF16" s="3">
        <f t="shared" si="75"/>
        <v>32</v>
      </c>
      <c r="CG16" s="3"/>
      <c r="CH16" s="3"/>
      <c r="CI16" s="3">
        <v>38</v>
      </c>
    </row>
    <row r="17" spans="1:87" x14ac:dyDescent="0.35">
      <c r="A17" s="2" t="s">
        <v>12</v>
      </c>
      <c r="B17" s="2" t="s">
        <v>30</v>
      </c>
      <c r="C17" s="3">
        <v>9</v>
      </c>
      <c r="D17" s="3">
        <v>4</v>
      </c>
      <c r="E17" s="3"/>
      <c r="F17" s="3"/>
      <c r="G17" s="3"/>
      <c r="H17" s="3">
        <f t="shared" si="76"/>
        <v>9</v>
      </c>
      <c r="I17" s="3">
        <f t="shared" si="59"/>
        <v>4</v>
      </c>
      <c r="J17" s="3">
        <v>8</v>
      </c>
      <c r="K17" s="3">
        <v>0</v>
      </c>
      <c r="L17" s="3">
        <v>4</v>
      </c>
      <c r="M17" s="3">
        <f t="shared" si="77"/>
        <v>5</v>
      </c>
      <c r="N17" s="3">
        <f t="shared" si="60"/>
        <v>12</v>
      </c>
      <c r="O17" s="3">
        <v>16</v>
      </c>
      <c r="P17" s="3">
        <v>12</v>
      </c>
      <c r="Q17" s="3">
        <v>15</v>
      </c>
      <c r="R17" s="3">
        <f t="shared" si="78"/>
        <v>2</v>
      </c>
      <c r="S17" s="3">
        <f t="shared" si="61"/>
        <v>16</v>
      </c>
      <c r="T17" s="3">
        <v>12</v>
      </c>
      <c r="U17" s="3">
        <v>16</v>
      </c>
      <c r="V17" s="3">
        <v>3</v>
      </c>
      <c r="W17" s="3">
        <f t="shared" si="91"/>
        <v>15</v>
      </c>
      <c r="X17" s="3">
        <f t="shared" si="62"/>
        <v>12</v>
      </c>
      <c r="Y17" s="3"/>
      <c r="Z17" s="3">
        <v>0</v>
      </c>
      <c r="AA17" s="3">
        <v>1</v>
      </c>
      <c r="AB17" s="3">
        <f t="shared" si="93"/>
        <v>14</v>
      </c>
      <c r="AC17" s="3">
        <f t="shared" si="64"/>
        <v>12</v>
      </c>
      <c r="AD17" s="3">
        <v>20</v>
      </c>
      <c r="AE17" s="3">
        <v>0</v>
      </c>
      <c r="AF17" s="3">
        <v>6</v>
      </c>
      <c r="AG17" s="3">
        <f t="shared" si="89"/>
        <v>8</v>
      </c>
      <c r="AH17" s="3">
        <f t="shared" si="65"/>
        <v>32</v>
      </c>
      <c r="AI17" s="3"/>
      <c r="AJ17" s="3">
        <v>12</v>
      </c>
      <c r="AK17" s="3">
        <v>1</v>
      </c>
      <c r="AL17" s="3">
        <f t="shared" si="94"/>
        <v>19</v>
      </c>
      <c r="AM17" s="3">
        <f t="shared" si="92"/>
        <v>20</v>
      </c>
      <c r="AN17" s="3"/>
      <c r="AO17" s="3">
        <v>0</v>
      </c>
      <c r="AP17" s="3">
        <v>0</v>
      </c>
      <c r="AQ17" s="3">
        <f t="shared" si="95"/>
        <v>19</v>
      </c>
      <c r="AR17" s="3">
        <f t="shared" si="67"/>
        <v>20</v>
      </c>
      <c r="AS17" s="3">
        <v>12</v>
      </c>
      <c r="AT17" s="3">
        <v>16</v>
      </c>
      <c r="AU17" s="3">
        <v>5</v>
      </c>
      <c r="AV17" s="3">
        <f t="shared" si="81"/>
        <v>30</v>
      </c>
      <c r="AW17" s="3">
        <f t="shared" si="68"/>
        <v>16</v>
      </c>
      <c r="AX17" s="3">
        <v>56</v>
      </c>
      <c r="AY17" s="3">
        <v>56</v>
      </c>
      <c r="AZ17" s="3">
        <v>30</v>
      </c>
      <c r="BA17" s="3">
        <f t="shared" si="82"/>
        <v>56</v>
      </c>
      <c r="BB17" s="3">
        <f t="shared" si="69"/>
        <v>16</v>
      </c>
      <c r="BC17" s="3">
        <v>12</v>
      </c>
      <c r="BD17" s="3">
        <v>28</v>
      </c>
      <c r="BE17" s="3">
        <v>31</v>
      </c>
      <c r="BF17" s="3">
        <f t="shared" si="83"/>
        <v>53</v>
      </c>
      <c r="BG17" s="3">
        <f t="shared" si="70"/>
        <v>0</v>
      </c>
      <c r="BH17" s="3"/>
      <c r="BI17" s="3">
        <v>0</v>
      </c>
      <c r="BJ17" s="3">
        <v>6</v>
      </c>
      <c r="BK17" s="3">
        <f t="shared" si="84"/>
        <v>47</v>
      </c>
      <c r="BL17" s="3">
        <f t="shared" si="71"/>
        <v>0</v>
      </c>
      <c r="BM17" s="3">
        <v>32</v>
      </c>
      <c r="BN17" s="3">
        <v>16</v>
      </c>
      <c r="BO17" s="3">
        <v>4</v>
      </c>
      <c r="BP17" s="3">
        <f t="shared" si="85"/>
        <v>59</v>
      </c>
      <c r="BQ17" s="3">
        <f t="shared" si="72"/>
        <v>16</v>
      </c>
      <c r="BR17" s="3"/>
      <c r="BS17" s="3"/>
      <c r="BT17" s="3">
        <v>2</v>
      </c>
      <c r="BU17" s="3">
        <f t="shared" si="86"/>
        <v>57</v>
      </c>
      <c r="BV17" s="3">
        <f t="shared" si="73"/>
        <v>16</v>
      </c>
      <c r="BW17" s="3"/>
      <c r="BX17" s="3"/>
      <c r="BY17" s="3">
        <v>0</v>
      </c>
      <c r="BZ17" s="3">
        <f t="shared" si="87"/>
        <v>57</v>
      </c>
      <c r="CA17" s="3">
        <f t="shared" si="74"/>
        <v>16</v>
      </c>
      <c r="CB17" s="3"/>
      <c r="CC17" s="3"/>
      <c r="CD17" s="3">
        <v>12</v>
      </c>
      <c r="CE17" s="3">
        <f t="shared" si="88"/>
        <v>45</v>
      </c>
      <c r="CF17" s="3">
        <f t="shared" si="75"/>
        <v>16</v>
      </c>
      <c r="CG17" s="3"/>
      <c r="CH17" s="3"/>
      <c r="CI17" s="3">
        <v>0</v>
      </c>
    </row>
    <row r="18" spans="1:87" x14ac:dyDescent="0.35">
      <c r="A18" s="33" t="s">
        <v>68</v>
      </c>
      <c r="B18" s="33"/>
      <c r="C18" s="5">
        <v>62</v>
      </c>
      <c r="D18" s="5">
        <v>56</v>
      </c>
      <c r="E18" s="5">
        <f>SUM(E11:E17)</f>
        <v>104</v>
      </c>
      <c r="F18" s="5">
        <f>SUM(F11:F17)</f>
        <v>0</v>
      </c>
      <c r="G18" s="5">
        <f>SUM(G11:G17)</f>
        <v>0</v>
      </c>
      <c r="H18" s="14">
        <f t="shared" ref="H18:BJ18" si="96">SUM(H11:H17)</f>
        <v>62</v>
      </c>
      <c r="I18" s="14">
        <f t="shared" si="96"/>
        <v>160</v>
      </c>
      <c r="J18" s="14">
        <f t="shared" si="96"/>
        <v>220</v>
      </c>
      <c r="K18" s="14">
        <f t="shared" si="96"/>
        <v>228</v>
      </c>
      <c r="L18" s="14">
        <f t="shared" si="96"/>
        <v>151</v>
      </c>
      <c r="M18" s="5">
        <f t="shared" si="96"/>
        <v>139</v>
      </c>
      <c r="N18" s="5">
        <f t="shared" si="96"/>
        <v>152</v>
      </c>
      <c r="O18" s="5">
        <f t="shared" si="96"/>
        <v>193</v>
      </c>
      <c r="P18" s="5">
        <f t="shared" si="96"/>
        <v>144</v>
      </c>
      <c r="Q18" s="5">
        <f t="shared" si="96"/>
        <v>85</v>
      </c>
      <c r="R18" s="14">
        <f t="shared" si="96"/>
        <v>198</v>
      </c>
      <c r="S18" s="14">
        <f t="shared" si="96"/>
        <v>201</v>
      </c>
      <c r="T18" s="14">
        <f t="shared" si="96"/>
        <v>158</v>
      </c>
      <c r="U18" s="14">
        <f t="shared" si="96"/>
        <v>148</v>
      </c>
      <c r="V18" s="14">
        <f t="shared" si="96"/>
        <v>119</v>
      </c>
      <c r="W18" s="5">
        <f t="shared" si="96"/>
        <v>259</v>
      </c>
      <c r="X18" s="5">
        <f t="shared" si="96"/>
        <v>211</v>
      </c>
      <c r="Y18" s="5">
        <f t="shared" si="96"/>
        <v>135</v>
      </c>
      <c r="Z18" s="5">
        <f t="shared" si="96"/>
        <v>72</v>
      </c>
      <c r="AA18" s="5">
        <f t="shared" si="96"/>
        <v>150</v>
      </c>
      <c r="AB18" s="14">
        <f t="shared" si="96"/>
        <v>185</v>
      </c>
      <c r="AC18" s="14">
        <f t="shared" si="96"/>
        <v>274</v>
      </c>
      <c r="AD18" s="14">
        <f t="shared" si="96"/>
        <v>146</v>
      </c>
      <c r="AE18" s="14">
        <f t="shared" si="96"/>
        <v>164</v>
      </c>
      <c r="AF18" s="14">
        <f t="shared" si="96"/>
        <v>120</v>
      </c>
      <c r="AG18" s="5">
        <f t="shared" si="96"/>
        <v>242</v>
      </c>
      <c r="AH18" s="5">
        <f t="shared" si="96"/>
        <v>256</v>
      </c>
      <c r="AI18" s="5">
        <f t="shared" si="96"/>
        <v>126</v>
      </c>
      <c r="AJ18" s="5">
        <f t="shared" si="96"/>
        <v>160</v>
      </c>
      <c r="AK18" s="5">
        <f t="shared" si="96"/>
        <v>151</v>
      </c>
      <c r="AL18" s="14">
        <f t="shared" si="96"/>
        <v>261</v>
      </c>
      <c r="AM18" s="14">
        <f t="shared" si="96"/>
        <v>188</v>
      </c>
      <c r="AN18" s="14">
        <f t="shared" si="96"/>
        <v>139</v>
      </c>
      <c r="AO18" s="14">
        <f t="shared" si="96"/>
        <v>68</v>
      </c>
      <c r="AP18" s="14">
        <f t="shared" si="96"/>
        <v>102</v>
      </c>
      <c r="AQ18" s="5">
        <f t="shared" si="96"/>
        <v>260</v>
      </c>
      <c r="AR18" s="5">
        <f t="shared" si="96"/>
        <v>259</v>
      </c>
      <c r="AS18" s="5">
        <f t="shared" si="96"/>
        <v>124</v>
      </c>
      <c r="AT18" s="5">
        <f t="shared" si="96"/>
        <v>204</v>
      </c>
      <c r="AU18" s="5">
        <f t="shared" si="96"/>
        <v>127</v>
      </c>
      <c r="AV18" s="14">
        <f t="shared" si="96"/>
        <v>337</v>
      </c>
      <c r="AW18" s="14">
        <f t="shared" si="96"/>
        <v>179</v>
      </c>
      <c r="AX18" s="14">
        <f t="shared" si="96"/>
        <v>220</v>
      </c>
      <c r="AY18" s="14">
        <f>SUM(AY11:AY17)</f>
        <v>192</v>
      </c>
      <c r="AZ18" s="14">
        <f t="shared" si="96"/>
        <v>179</v>
      </c>
      <c r="BA18" s="5">
        <f t="shared" si="96"/>
        <v>285</v>
      </c>
      <c r="BB18" s="5">
        <f t="shared" si="96"/>
        <v>208</v>
      </c>
      <c r="BC18" s="5">
        <f t="shared" si="96"/>
        <v>114</v>
      </c>
      <c r="BD18" s="5">
        <f t="shared" si="96"/>
        <v>192</v>
      </c>
      <c r="BE18" s="5">
        <f t="shared" si="96"/>
        <v>203</v>
      </c>
      <c r="BF18" s="14">
        <f t="shared" si="96"/>
        <v>274</v>
      </c>
      <c r="BG18" s="14">
        <f t="shared" si="96"/>
        <v>130</v>
      </c>
      <c r="BH18" s="14">
        <f t="shared" si="96"/>
        <v>130</v>
      </c>
      <c r="BI18" s="14">
        <f t="shared" si="96"/>
        <v>176</v>
      </c>
      <c r="BJ18" s="14">
        <f t="shared" si="96"/>
        <v>134</v>
      </c>
      <c r="BK18" s="5">
        <f t="shared" ref="BK18:BO18" si="97">SUM(BK11:BK17)</f>
        <v>316</v>
      </c>
      <c r="BL18" s="5">
        <f t="shared" si="97"/>
        <v>84</v>
      </c>
      <c r="BM18" s="5">
        <f t="shared" si="97"/>
        <v>228</v>
      </c>
      <c r="BN18" s="5">
        <f t="shared" si="97"/>
        <v>76</v>
      </c>
      <c r="BO18" s="5">
        <f t="shared" si="97"/>
        <v>157</v>
      </c>
      <c r="BP18" s="14">
        <f t="shared" ref="BP18:BT18" si="98">SUM(BP11:BP17)</f>
        <v>235</v>
      </c>
      <c r="BQ18" s="14">
        <f t="shared" si="98"/>
        <v>236</v>
      </c>
      <c r="BR18" s="14">
        <f t="shared" si="98"/>
        <v>0</v>
      </c>
      <c r="BS18" s="14">
        <f t="shared" si="98"/>
        <v>0</v>
      </c>
      <c r="BT18" s="14">
        <f t="shared" si="98"/>
        <v>371</v>
      </c>
      <c r="BU18" s="5">
        <f t="shared" ref="BU18:BY18" si="99">SUM(BU11:BU17)</f>
        <v>-136</v>
      </c>
      <c r="BV18" s="5">
        <f t="shared" si="99"/>
        <v>236</v>
      </c>
      <c r="BW18" s="5">
        <f t="shared" si="99"/>
        <v>0</v>
      </c>
      <c r="BX18" s="5">
        <f t="shared" si="99"/>
        <v>0</v>
      </c>
      <c r="BY18" s="5">
        <f t="shared" si="99"/>
        <v>191</v>
      </c>
      <c r="BZ18" s="14">
        <f t="shared" ref="BZ18:CD18" si="100">SUM(BZ11:BZ17)</f>
        <v>-327</v>
      </c>
      <c r="CA18" s="14">
        <f t="shared" si="100"/>
        <v>236</v>
      </c>
      <c r="CB18" s="14">
        <f t="shared" si="100"/>
        <v>0</v>
      </c>
      <c r="CC18" s="14">
        <f t="shared" si="100"/>
        <v>0</v>
      </c>
      <c r="CD18" s="14">
        <f t="shared" si="100"/>
        <v>140</v>
      </c>
      <c r="CE18" s="5">
        <f t="shared" ref="CE18:CI18" si="101">SUM(CE11:CE17)</f>
        <v>-467</v>
      </c>
      <c r="CF18" s="5">
        <f t="shared" si="101"/>
        <v>236</v>
      </c>
      <c r="CG18" s="5">
        <f t="shared" si="101"/>
        <v>0</v>
      </c>
      <c r="CH18" s="5">
        <f t="shared" si="101"/>
        <v>0</v>
      </c>
      <c r="CI18" s="5">
        <f t="shared" si="101"/>
        <v>189</v>
      </c>
    </row>
    <row r="19" spans="1:87" s="1" customFormat="1" ht="43.5" x14ac:dyDescent="0.35">
      <c r="A19" s="4" t="s">
        <v>21</v>
      </c>
      <c r="B19" s="4" t="s">
        <v>22</v>
      </c>
      <c r="C19" s="5" t="s">
        <v>46</v>
      </c>
      <c r="D19" s="5" t="s">
        <v>47</v>
      </c>
      <c r="E19" s="5" t="s">
        <v>48</v>
      </c>
      <c r="F19" s="5" t="s">
        <v>49</v>
      </c>
      <c r="G19" s="5" t="s">
        <v>50</v>
      </c>
      <c r="H19" s="14" t="s">
        <v>46</v>
      </c>
      <c r="I19" s="14" t="s">
        <v>47</v>
      </c>
      <c r="J19" s="14" t="s">
        <v>48</v>
      </c>
      <c r="K19" s="14" t="s">
        <v>49</v>
      </c>
      <c r="L19" s="14" t="s">
        <v>50</v>
      </c>
      <c r="M19" s="5" t="s">
        <v>46</v>
      </c>
      <c r="N19" s="5" t="s">
        <v>47</v>
      </c>
      <c r="O19" s="5" t="s">
        <v>48</v>
      </c>
      <c r="P19" s="5" t="s">
        <v>49</v>
      </c>
      <c r="Q19" s="5" t="s">
        <v>50</v>
      </c>
      <c r="R19" s="14" t="s">
        <v>46</v>
      </c>
      <c r="S19" s="14" t="s">
        <v>47</v>
      </c>
      <c r="T19" s="14" t="s">
        <v>48</v>
      </c>
      <c r="U19" s="14" t="s">
        <v>49</v>
      </c>
      <c r="V19" s="14" t="s">
        <v>50</v>
      </c>
      <c r="W19" s="5" t="s">
        <v>46</v>
      </c>
      <c r="X19" s="5" t="s">
        <v>47</v>
      </c>
      <c r="Y19" s="5" t="s">
        <v>48</v>
      </c>
      <c r="Z19" s="5" t="s">
        <v>49</v>
      </c>
      <c r="AA19" s="5" t="s">
        <v>50</v>
      </c>
      <c r="AB19" s="14" t="s">
        <v>46</v>
      </c>
      <c r="AC19" s="14" t="s">
        <v>47</v>
      </c>
      <c r="AD19" s="14" t="s">
        <v>48</v>
      </c>
      <c r="AE19" s="14" t="s">
        <v>49</v>
      </c>
      <c r="AF19" s="14" t="s">
        <v>50</v>
      </c>
      <c r="AG19" s="5" t="s">
        <v>46</v>
      </c>
      <c r="AH19" s="5" t="s">
        <v>47</v>
      </c>
      <c r="AI19" s="5" t="s">
        <v>48</v>
      </c>
      <c r="AJ19" s="5" t="s">
        <v>49</v>
      </c>
      <c r="AK19" s="5" t="s">
        <v>50</v>
      </c>
      <c r="AL19" s="14" t="s">
        <v>46</v>
      </c>
      <c r="AM19" s="14" t="s">
        <v>47</v>
      </c>
      <c r="AN19" s="14" t="s">
        <v>48</v>
      </c>
      <c r="AO19" s="14" t="s">
        <v>49</v>
      </c>
      <c r="AP19" s="14" t="s">
        <v>50</v>
      </c>
      <c r="AQ19" s="5" t="s">
        <v>46</v>
      </c>
      <c r="AR19" s="5" t="s">
        <v>47</v>
      </c>
      <c r="AS19" s="5" t="s">
        <v>48</v>
      </c>
      <c r="AT19" s="5" t="s">
        <v>49</v>
      </c>
      <c r="AU19" s="5" t="s">
        <v>50</v>
      </c>
      <c r="AV19" s="14" t="s">
        <v>46</v>
      </c>
      <c r="AW19" s="14" t="s">
        <v>47</v>
      </c>
      <c r="AX19" s="14" t="s">
        <v>48</v>
      </c>
      <c r="AY19" s="14" t="s">
        <v>49</v>
      </c>
      <c r="AZ19" s="14" t="s">
        <v>50</v>
      </c>
      <c r="BA19" s="5" t="s">
        <v>46</v>
      </c>
      <c r="BB19" s="5" t="s">
        <v>47</v>
      </c>
      <c r="BC19" s="5" t="s">
        <v>48</v>
      </c>
      <c r="BD19" s="5" t="s">
        <v>49</v>
      </c>
      <c r="BE19" s="5" t="s">
        <v>50</v>
      </c>
      <c r="BF19" s="14" t="s">
        <v>46</v>
      </c>
      <c r="BG19" s="14" t="s">
        <v>47</v>
      </c>
      <c r="BH19" s="14" t="s">
        <v>48</v>
      </c>
      <c r="BI19" s="14" t="s">
        <v>49</v>
      </c>
      <c r="BJ19" s="14" t="s">
        <v>50</v>
      </c>
      <c r="BK19" s="5" t="s">
        <v>46</v>
      </c>
      <c r="BL19" s="5" t="s">
        <v>47</v>
      </c>
      <c r="BM19" s="5" t="s">
        <v>48</v>
      </c>
      <c r="BN19" s="5" t="s">
        <v>49</v>
      </c>
      <c r="BO19" s="5" t="s">
        <v>50</v>
      </c>
      <c r="BP19" s="14" t="s">
        <v>46</v>
      </c>
      <c r="BQ19" s="14" t="s">
        <v>47</v>
      </c>
      <c r="BR19" s="14" t="s">
        <v>48</v>
      </c>
      <c r="BS19" s="14" t="s">
        <v>49</v>
      </c>
      <c r="BT19" s="14" t="s">
        <v>50</v>
      </c>
      <c r="BU19" s="5" t="s">
        <v>46</v>
      </c>
      <c r="BV19" s="5" t="s">
        <v>47</v>
      </c>
      <c r="BW19" s="5" t="s">
        <v>48</v>
      </c>
      <c r="BX19" s="5" t="s">
        <v>49</v>
      </c>
      <c r="BY19" s="5" t="s">
        <v>50</v>
      </c>
      <c r="BZ19" s="14" t="s">
        <v>46</v>
      </c>
      <c r="CA19" s="14" t="s">
        <v>47</v>
      </c>
      <c r="CB19" s="14" t="s">
        <v>48</v>
      </c>
      <c r="CC19" s="14" t="s">
        <v>49</v>
      </c>
      <c r="CD19" s="14" t="s">
        <v>50</v>
      </c>
      <c r="CE19" s="5" t="s">
        <v>46</v>
      </c>
      <c r="CF19" s="5" t="s">
        <v>47</v>
      </c>
      <c r="CG19" s="5" t="s">
        <v>48</v>
      </c>
      <c r="CH19" s="5" t="s">
        <v>49</v>
      </c>
      <c r="CI19" s="5" t="s">
        <v>50</v>
      </c>
    </row>
    <row r="20" spans="1:87" x14ac:dyDescent="0.35">
      <c r="A20" s="2" t="s">
        <v>0</v>
      </c>
      <c r="B20" s="2" t="s">
        <v>13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>
        <v>84</v>
      </c>
      <c r="AS20" s="3"/>
      <c r="AT20" s="3"/>
      <c r="AU20" s="3"/>
      <c r="AV20" s="3">
        <f>AQ20+AT20-AU20</f>
        <v>0</v>
      </c>
      <c r="AW20" s="3">
        <f t="shared" ref="AW20:AW26" si="102">AR20+AS20-AT20</f>
        <v>84</v>
      </c>
      <c r="AX20" s="3"/>
      <c r="AY20" s="3"/>
      <c r="AZ20" s="3"/>
      <c r="BA20" s="3">
        <f>AV20+AY20-AZ20</f>
        <v>0</v>
      </c>
      <c r="BB20" s="3">
        <f t="shared" ref="BB20:BB26" si="103">AW20+AX20-AY20</f>
        <v>84</v>
      </c>
      <c r="BC20" s="3"/>
      <c r="BD20" s="3"/>
      <c r="BE20" s="3"/>
      <c r="BF20" s="3">
        <f>BA20+BD20-BE20</f>
        <v>0</v>
      </c>
      <c r="BG20" s="3">
        <f t="shared" ref="BG20:BG26" si="104">BB20+BC20-BD20</f>
        <v>84</v>
      </c>
      <c r="BH20" s="3"/>
      <c r="BI20" s="3"/>
      <c r="BJ20" s="3"/>
      <c r="BK20" s="3">
        <f>BF20+BI20-BJ20</f>
        <v>0</v>
      </c>
      <c r="BL20" s="3">
        <f t="shared" ref="BL20:BL26" si="105">BG20+BH20-BI20</f>
        <v>84</v>
      </c>
      <c r="BM20" s="3"/>
      <c r="BN20" s="3"/>
      <c r="BO20" s="3"/>
      <c r="BP20" s="3">
        <f>BK20+BN20-BO20</f>
        <v>0</v>
      </c>
      <c r="BQ20" s="3">
        <f t="shared" ref="BQ20:BQ26" si="106">BL20+BM20-BN20</f>
        <v>84</v>
      </c>
      <c r="BR20" s="3"/>
      <c r="BS20" s="3"/>
      <c r="BT20" s="3"/>
      <c r="BU20" s="3">
        <f>BP20+BS20-BT20</f>
        <v>0</v>
      </c>
      <c r="BV20" s="3">
        <f t="shared" ref="BV20:BV26" si="107">BQ20+BR20-BS20</f>
        <v>84</v>
      </c>
      <c r="BW20" s="3"/>
      <c r="BX20" s="3"/>
      <c r="BY20" s="3"/>
      <c r="BZ20" s="3">
        <f>BU20+BX20-BY20</f>
        <v>0</v>
      </c>
      <c r="CA20" s="3">
        <f t="shared" ref="CA20:CA26" si="108">BV20+BW20-BX20</f>
        <v>84</v>
      </c>
      <c r="CB20" s="3"/>
      <c r="CC20" s="3"/>
      <c r="CD20" s="3"/>
      <c r="CE20" s="3">
        <f>BZ20+CC20-CD20</f>
        <v>0</v>
      </c>
      <c r="CF20" s="3">
        <f t="shared" ref="CF20:CF26" si="109">CA20+CB20-CC20</f>
        <v>84</v>
      </c>
      <c r="CG20" s="3"/>
      <c r="CH20" s="3"/>
      <c r="CI20" s="3"/>
    </row>
    <row r="21" spans="1:87" x14ac:dyDescent="0.35">
      <c r="A21" s="2" t="s">
        <v>1</v>
      </c>
      <c r="B21" s="2" t="s">
        <v>14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>
        <v>28</v>
      </c>
      <c r="AS21" s="3"/>
      <c r="AT21" s="3"/>
      <c r="AU21" s="3"/>
      <c r="AV21" s="3">
        <f t="shared" ref="AV21:AV26" si="110">AQ21+AT21-AU21</f>
        <v>0</v>
      </c>
      <c r="AW21" s="3">
        <f t="shared" si="102"/>
        <v>28</v>
      </c>
      <c r="AX21" s="3"/>
      <c r="AY21" s="3"/>
      <c r="AZ21" s="3"/>
      <c r="BA21" s="3">
        <f t="shared" ref="BA21:BA26" si="111">AV21+AY21-AZ21</f>
        <v>0</v>
      </c>
      <c r="BB21" s="3">
        <f t="shared" si="103"/>
        <v>28</v>
      </c>
      <c r="BC21" s="3"/>
      <c r="BD21" s="3"/>
      <c r="BE21" s="3"/>
      <c r="BF21" s="3">
        <f t="shared" ref="BF21:BF26" si="112">BA21+BD21-BE21</f>
        <v>0</v>
      </c>
      <c r="BG21" s="3">
        <f t="shared" si="104"/>
        <v>28</v>
      </c>
      <c r="BH21" s="3"/>
      <c r="BI21" s="3"/>
      <c r="BJ21" s="3"/>
      <c r="BK21" s="3">
        <f t="shared" ref="BK21:BK26" si="113">BF21+BI21-BJ21</f>
        <v>0</v>
      </c>
      <c r="BL21" s="3">
        <f t="shared" si="105"/>
        <v>28</v>
      </c>
      <c r="BM21" s="3"/>
      <c r="BN21" s="3"/>
      <c r="BO21" s="3"/>
      <c r="BP21" s="3">
        <f t="shared" ref="BP21:BP26" si="114">BK21+BN21-BO21</f>
        <v>0</v>
      </c>
      <c r="BQ21" s="3">
        <f t="shared" si="106"/>
        <v>28</v>
      </c>
      <c r="BR21" s="3"/>
      <c r="BS21" s="3"/>
      <c r="BT21" s="3"/>
      <c r="BU21" s="3">
        <f t="shared" ref="BU21:BU26" si="115">BP21+BS21-BT21</f>
        <v>0</v>
      </c>
      <c r="BV21" s="3">
        <f t="shared" si="107"/>
        <v>28</v>
      </c>
      <c r="BW21" s="3"/>
      <c r="BX21" s="3"/>
      <c r="BY21" s="3"/>
      <c r="BZ21" s="3">
        <f t="shared" ref="BZ21:BZ26" si="116">BU21+BX21-BY21</f>
        <v>0</v>
      </c>
      <c r="CA21" s="3">
        <f t="shared" si="108"/>
        <v>28</v>
      </c>
      <c r="CB21" s="3"/>
      <c r="CC21" s="3"/>
      <c r="CD21" s="3"/>
      <c r="CE21" s="3">
        <f t="shared" ref="CE21:CE26" si="117">BZ21+CC21-CD21</f>
        <v>0</v>
      </c>
      <c r="CF21" s="3">
        <f t="shared" si="109"/>
        <v>28</v>
      </c>
      <c r="CG21" s="3"/>
      <c r="CH21" s="3"/>
      <c r="CI21" s="3"/>
    </row>
    <row r="22" spans="1:87" x14ac:dyDescent="0.35">
      <c r="A22" s="2" t="s">
        <v>2</v>
      </c>
      <c r="B22" s="2" t="s">
        <v>15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>
        <v>14</v>
      </c>
      <c r="AS22" s="3"/>
      <c r="AT22" s="3"/>
      <c r="AU22" s="3"/>
      <c r="AV22" s="3">
        <v>65</v>
      </c>
      <c r="AW22" s="3">
        <v>42</v>
      </c>
      <c r="AX22" s="3">
        <v>28</v>
      </c>
      <c r="AY22" s="3">
        <v>56</v>
      </c>
      <c r="AZ22" s="3">
        <v>37</v>
      </c>
      <c r="BA22" s="3">
        <f t="shared" si="111"/>
        <v>84</v>
      </c>
      <c r="BB22" s="3">
        <f t="shared" si="103"/>
        <v>14</v>
      </c>
      <c r="BC22" s="3">
        <v>42</v>
      </c>
      <c r="BD22" s="3">
        <v>42</v>
      </c>
      <c r="BE22" s="3">
        <v>44</v>
      </c>
      <c r="BF22" s="3">
        <f t="shared" si="112"/>
        <v>82</v>
      </c>
      <c r="BG22" s="3">
        <f t="shared" si="104"/>
        <v>14</v>
      </c>
      <c r="BH22" s="3"/>
      <c r="BI22" s="3"/>
      <c r="BJ22" s="3">
        <v>8</v>
      </c>
      <c r="BK22" s="3">
        <f t="shared" si="113"/>
        <v>74</v>
      </c>
      <c r="BL22" s="3">
        <f t="shared" si="105"/>
        <v>14</v>
      </c>
      <c r="BM22" s="3"/>
      <c r="BN22" s="3"/>
      <c r="BO22" s="3">
        <v>3</v>
      </c>
      <c r="BP22" s="3">
        <f t="shared" si="114"/>
        <v>71</v>
      </c>
      <c r="BQ22" s="3">
        <f t="shared" si="106"/>
        <v>14</v>
      </c>
      <c r="BR22" s="3"/>
      <c r="BS22" s="3"/>
      <c r="BT22" s="3">
        <v>0</v>
      </c>
      <c r="BU22" s="3">
        <f t="shared" si="115"/>
        <v>71</v>
      </c>
      <c r="BV22" s="3">
        <f t="shared" si="107"/>
        <v>14</v>
      </c>
      <c r="BW22" s="3"/>
      <c r="BX22" s="3"/>
      <c r="BY22" s="3">
        <v>0</v>
      </c>
      <c r="BZ22" s="3">
        <f t="shared" si="116"/>
        <v>71</v>
      </c>
      <c r="CA22" s="3">
        <f t="shared" si="108"/>
        <v>14</v>
      </c>
      <c r="CB22" s="3"/>
      <c r="CC22" s="3"/>
      <c r="CD22" s="3">
        <v>0</v>
      </c>
      <c r="CE22" s="3">
        <f t="shared" si="117"/>
        <v>71</v>
      </c>
      <c r="CF22" s="3">
        <f t="shared" si="109"/>
        <v>14</v>
      </c>
      <c r="CG22" s="3"/>
      <c r="CH22" s="3"/>
      <c r="CI22" s="3">
        <v>0</v>
      </c>
    </row>
    <row r="23" spans="1:87" x14ac:dyDescent="0.35">
      <c r="A23" s="2" t="s">
        <v>3</v>
      </c>
      <c r="B23" s="2" t="s">
        <v>16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>
        <v>98</v>
      </c>
      <c r="AS23" s="3"/>
      <c r="AT23" s="3"/>
      <c r="AU23" s="3"/>
      <c r="AV23" s="3">
        <f t="shared" si="110"/>
        <v>0</v>
      </c>
      <c r="AW23" s="3">
        <f t="shared" si="102"/>
        <v>98</v>
      </c>
      <c r="AX23" s="3"/>
      <c r="AY23" s="3"/>
      <c r="AZ23" s="3"/>
      <c r="BA23" s="3">
        <f t="shared" si="111"/>
        <v>0</v>
      </c>
      <c r="BB23" s="3">
        <f t="shared" si="103"/>
        <v>98</v>
      </c>
      <c r="BC23" s="3"/>
      <c r="BD23" s="3"/>
      <c r="BE23" s="3"/>
      <c r="BF23" s="3">
        <f t="shared" si="112"/>
        <v>0</v>
      </c>
      <c r="BG23" s="3">
        <f t="shared" si="104"/>
        <v>98</v>
      </c>
      <c r="BH23" s="3"/>
      <c r="BI23" s="3"/>
      <c r="BJ23" s="3"/>
      <c r="BK23" s="3">
        <f t="shared" si="113"/>
        <v>0</v>
      </c>
      <c r="BL23" s="3">
        <f t="shared" si="105"/>
        <v>98</v>
      </c>
      <c r="BM23" s="3"/>
      <c r="BN23" s="3"/>
      <c r="BO23" s="3"/>
      <c r="BP23" s="3">
        <f t="shared" si="114"/>
        <v>0</v>
      </c>
      <c r="BQ23" s="3">
        <f t="shared" si="106"/>
        <v>98</v>
      </c>
      <c r="BR23" s="3"/>
      <c r="BS23" s="3"/>
      <c r="BT23" s="3"/>
      <c r="BU23" s="3">
        <f t="shared" si="115"/>
        <v>0</v>
      </c>
      <c r="BV23" s="3">
        <f t="shared" si="107"/>
        <v>98</v>
      </c>
      <c r="BW23" s="3"/>
      <c r="BX23" s="3"/>
      <c r="BY23" s="3"/>
      <c r="BZ23" s="3">
        <f t="shared" si="116"/>
        <v>0</v>
      </c>
      <c r="CA23" s="3">
        <f t="shared" si="108"/>
        <v>98</v>
      </c>
      <c r="CB23" s="3"/>
      <c r="CC23" s="3"/>
      <c r="CD23" s="3"/>
      <c r="CE23" s="3">
        <f t="shared" si="117"/>
        <v>0</v>
      </c>
      <c r="CF23" s="3">
        <f t="shared" si="109"/>
        <v>98</v>
      </c>
      <c r="CG23" s="3"/>
      <c r="CH23" s="3"/>
      <c r="CI23" s="3"/>
    </row>
    <row r="24" spans="1:87" x14ac:dyDescent="0.35">
      <c r="A24" s="2" t="s">
        <v>5</v>
      </c>
      <c r="B24" s="2" t="s">
        <v>18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>
        <v>42</v>
      </c>
      <c r="AS24" s="3"/>
      <c r="AT24" s="3"/>
      <c r="AU24" s="3"/>
      <c r="AV24" s="3">
        <f t="shared" si="110"/>
        <v>0</v>
      </c>
      <c r="AW24" s="3">
        <f t="shared" si="102"/>
        <v>42</v>
      </c>
      <c r="AX24" s="3"/>
      <c r="AY24" s="3"/>
      <c r="AZ24" s="3"/>
      <c r="BA24" s="3">
        <f t="shared" si="111"/>
        <v>0</v>
      </c>
      <c r="BB24" s="3">
        <f t="shared" si="103"/>
        <v>42</v>
      </c>
      <c r="BC24" s="3"/>
      <c r="BD24" s="3"/>
      <c r="BE24" s="3"/>
      <c r="BF24" s="3">
        <f t="shared" si="112"/>
        <v>0</v>
      </c>
      <c r="BG24" s="3">
        <f t="shared" si="104"/>
        <v>42</v>
      </c>
      <c r="BH24" s="3"/>
      <c r="BI24" s="3"/>
      <c r="BJ24" s="3"/>
      <c r="BK24" s="3">
        <f t="shared" si="113"/>
        <v>0</v>
      </c>
      <c r="BL24" s="3">
        <f t="shared" si="105"/>
        <v>42</v>
      </c>
      <c r="BM24" s="3"/>
      <c r="BN24" s="3"/>
      <c r="BO24" s="3"/>
      <c r="BP24" s="3">
        <f t="shared" si="114"/>
        <v>0</v>
      </c>
      <c r="BQ24" s="3">
        <f t="shared" si="106"/>
        <v>42</v>
      </c>
      <c r="BR24" s="3"/>
      <c r="BS24" s="3"/>
      <c r="BT24" s="3"/>
      <c r="BU24" s="3">
        <f t="shared" si="115"/>
        <v>0</v>
      </c>
      <c r="BV24" s="3">
        <f t="shared" si="107"/>
        <v>42</v>
      </c>
      <c r="BW24" s="3"/>
      <c r="BX24" s="3"/>
      <c r="BY24" s="3"/>
      <c r="BZ24" s="3">
        <f t="shared" si="116"/>
        <v>0</v>
      </c>
      <c r="CA24" s="3">
        <f t="shared" si="108"/>
        <v>42</v>
      </c>
      <c r="CB24" s="3"/>
      <c r="CC24" s="3"/>
      <c r="CD24" s="3"/>
      <c r="CE24" s="3">
        <f t="shared" si="117"/>
        <v>0</v>
      </c>
      <c r="CF24" s="3">
        <f t="shared" si="109"/>
        <v>42</v>
      </c>
      <c r="CG24" s="3"/>
      <c r="CH24" s="3"/>
      <c r="CI24" s="3"/>
    </row>
    <row r="25" spans="1:87" x14ac:dyDescent="0.35">
      <c r="A25" s="2" t="s">
        <v>6</v>
      </c>
      <c r="B25" s="2" t="s">
        <v>19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>
        <v>14</v>
      </c>
      <c r="AS25" s="3"/>
      <c r="AT25" s="3"/>
      <c r="AU25" s="3"/>
      <c r="AV25" s="3">
        <f t="shared" si="110"/>
        <v>0</v>
      </c>
      <c r="AW25" s="3">
        <f t="shared" si="102"/>
        <v>14</v>
      </c>
      <c r="AX25" s="3"/>
      <c r="AY25" s="3"/>
      <c r="AZ25" s="3"/>
      <c r="BA25" s="3">
        <f t="shared" si="111"/>
        <v>0</v>
      </c>
      <c r="BB25" s="3">
        <f t="shared" si="103"/>
        <v>14</v>
      </c>
      <c r="BC25" s="3"/>
      <c r="BD25" s="3"/>
      <c r="BE25" s="3"/>
      <c r="BF25" s="3">
        <f t="shared" si="112"/>
        <v>0</v>
      </c>
      <c r="BG25" s="3">
        <f t="shared" si="104"/>
        <v>14</v>
      </c>
      <c r="BH25" s="3"/>
      <c r="BI25" s="3"/>
      <c r="BJ25" s="3"/>
      <c r="BK25" s="3">
        <f t="shared" si="113"/>
        <v>0</v>
      </c>
      <c r="BL25" s="3">
        <f t="shared" si="105"/>
        <v>14</v>
      </c>
      <c r="BM25" s="3"/>
      <c r="BN25" s="3"/>
      <c r="BO25" s="3"/>
      <c r="BP25" s="3">
        <f t="shared" si="114"/>
        <v>0</v>
      </c>
      <c r="BQ25" s="3">
        <f t="shared" si="106"/>
        <v>14</v>
      </c>
      <c r="BR25" s="3"/>
      <c r="BS25" s="3"/>
      <c r="BT25" s="3"/>
      <c r="BU25" s="3">
        <f t="shared" si="115"/>
        <v>0</v>
      </c>
      <c r="BV25" s="3">
        <f t="shared" si="107"/>
        <v>14</v>
      </c>
      <c r="BW25" s="3"/>
      <c r="BX25" s="3"/>
      <c r="BY25" s="3"/>
      <c r="BZ25" s="3">
        <f t="shared" si="116"/>
        <v>0</v>
      </c>
      <c r="CA25" s="3">
        <f t="shared" si="108"/>
        <v>14</v>
      </c>
      <c r="CB25" s="3"/>
      <c r="CC25" s="3"/>
      <c r="CD25" s="3"/>
      <c r="CE25" s="3">
        <f t="shared" si="117"/>
        <v>0</v>
      </c>
      <c r="CF25" s="3">
        <f t="shared" si="109"/>
        <v>14</v>
      </c>
      <c r="CG25" s="3"/>
      <c r="CH25" s="3"/>
      <c r="CI25" s="3"/>
    </row>
    <row r="26" spans="1:87" x14ac:dyDescent="0.35">
      <c r="A26" s="2" t="s">
        <v>7</v>
      </c>
      <c r="B26" s="2" t="s">
        <v>20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>
        <v>0</v>
      </c>
      <c r="AS26" s="3"/>
      <c r="AT26" s="3"/>
      <c r="AU26" s="3"/>
      <c r="AV26" s="3">
        <f t="shared" si="110"/>
        <v>0</v>
      </c>
      <c r="AW26" s="3">
        <f t="shared" si="102"/>
        <v>0</v>
      </c>
      <c r="AX26" s="3"/>
      <c r="AY26" s="3"/>
      <c r="AZ26" s="3"/>
      <c r="BA26" s="3">
        <f t="shared" si="111"/>
        <v>0</v>
      </c>
      <c r="BB26" s="3">
        <f t="shared" si="103"/>
        <v>0</v>
      </c>
      <c r="BC26" s="3"/>
      <c r="BD26" s="3"/>
      <c r="BE26" s="3"/>
      <c r="BF26" s="3">
        <f t="shared" si="112"/>
        <v>0</v>
      </c>
      <c r="BG26" s="3">
        <f t="shared" si="104"/>
        <v>0</v>
      </c>
      <c r="BH26" s="3"/>
      <c r="BI26" s="3"/>
      <c r="BJ26" s="3"/>
      <c r="BK26" s="3">
        <f t="shared" si="113"/>
        <v>0</v>
      </c>
      <c r="BL26" s="3">
        <f t="shared" si="105"/>
        <v>0</v>
      </c>
      <c r="BM26" s="3"/>
      <c r="BN26" s="3"/>
      <c r="BO26" s="3"/>
      <c r="BP26" s="3">
        <f t="shared" si="114"/>
        <v>0</v>
      </c>
      <c r="BQ26" s="3">
        <f t="shared" si="106"/>
        <v>0</v>
      </c>
      <c r="BR26" s="3"/>
      <c r="BS26" s="3"/>
      <c r="BT26" s="3"/>
      <c r="BU26" s="3">
        <f t="shared" si="115"/>
        <v>0</v>
      </c>
      <c r="BV26" s="3">
        <f t="shared" si="107"/>
        <v>0</v>
      </c>
      <c r="BW26" s="3"/>
      <c r="BX26" s="3"/>
      <c r="BY26" s="3"/>
      <c r="BZ26" s="3">
        <f t="shared" si="116"/>
        <v>0</v>
      </c>
      <c r="CA26" s="3">
        <f t="shared" si="108"/>
        <v>0</v>
      </c>
      <c r="CB26" s="3"/>
      <c r="CC26" s="3"/>
      <c r="CD26" s="3"/>
      <c r="CE26" s="3">
        <f t="shared" si="117"/>
        <v>0</v>
      </c>
      <c r="CF26" s="3">
        <f t="shared" si="109"/>
        <v>0</v>
      </c>
      <c r="CG26" s="3"/>
      <c r="CH26" s="3"/>
      <c r="CI26" s="3"/>
    </row>
    <row r="27" spans="1:87" x14ac:dyDescent="0.35">
      <c r="A27" s="33" t="s">
        <v>67</v>
      </c>
      <c r="B27" s="33"/>
      <c r="C27" s="5">
        <v>62</v>
      </c>
      <c r="D27" s="5">
        <v>56</v>
      </c>
      <c r="E27" s="5">
        <f>SUM(E20:E26)</f>
        <v>0</v>
      </c>
      <c r="F27" s="5">
        <f>SUM(F20:F26)</f>
        <v>0</v>
      </c>
      <c r="G27" s="5">
        <f>SUM(G20:G26)</f>
        <v>0</v>
      </c>
      <c r="H27" s="14">
        <f>SUM(H20:H26)</f>
        <v>0</v>
      </c>
      <c r="I27" s="14">
        <f t="shared" ref="I27:AK27" si="118">SUM(I20:I26)</f>
        <v>0</v>
      </c>
      <c r="J27" s="14">
        <f t="shared" si="118"/>
        <v>0</v>
      </c>
      <c r="K27" s="14">
        <f t="shared" si="118"/>
        <v>0</v>
      </c>
      <c r="L27" s="14">
        <f t="shared" si="118"/>
        <v>0</v>
      </c>
      <c r="M27" s="5">
        <f t="shared" si="118"/>
        <v>0</v>
      </c>
      <c r="N27" s="5">
        <f t="shared" si="118"/>
        <v>0</v>
      </c>
      <c r="O27" s="5">
        <f t="shared" si="118"/>
        <v>0</v>
      </c>
      <c r="P27" s="5">
        <f t="shared" si="118"/>
        <v>0</v>
      </c>
      <c r="Q27" s="5">
        <f t="shared" si="118"/>
        <v>0</v>
      </c>
      <c r="R27" s="14">
        <f t="shared" si="118"/>
        <v>0</v>
      </c>
      <c r="S27" s="14">
        <f t="shared" si="118"/>
        <v>0</v>
      </c>
      <c r="T27" s="14">
        <f t="shared" si="118"/>
        <v>0</v>
      </c>
      <c r="U27" s="14">
        <f t="shared" si="118"/>
        <v>0</v>
      </c>
      <c r="V27" s="14">
        <f t="shared" si="118"/>
        <v>0</v>
      </c>
      <c r="W27" s="5">
        <f t="shared" si="118"/>
        <v>0</v>
      </c>
      <c r="X27" s="5">
        <f t="shared" si="118"/>
        <v>0</v>
      </c>
      <c r="Y27" s="5">
        <f t="shared" si="118"/>
        <v>0</v>
      </c>
      <c r="Z27" s="5">
        <f t="shared" si="118"/>
        <v>0</v>
      </c>
      <c r="AA27" s="5">
        <f t="shared" si="118"/>
        <v>0</v>
      </c>
      <c r="AB27" s="14">
        <f t="shared" si="118"/>
        <v>0</v>
      </c>
      <c r="AC27" s="14">
        <f t="shared" si="118"/>
        <v>0</v>
      </c>
      <c r="AD27" s="14">
        <f t="shared" si="118"/>
        <v>0</v>
      </c>
      <c r="AE27" s="14">
        <f t="shared" si="118"/>
        <v>0</v>
      </c>
      <c r="AF27" s="14">
        <f t="shared" si="118"/>
        <v>0</v>
      </c>
      <c r="AG27" s="5">
        <f t="shared" si="118"/>
        <v>0</v>
      </c>
      <c r="AH27" s="5">
        <f t="shared" si="118"/>
        <v>0</v>
      </c>
      <c r="AI27" s="5">
        <f t="shared" si="118"/>
        <v>0</v>
      </c>
      <c r="AJ27" s="5">
        <f t="shared" si="118"/>
        <v>0</v>
      </c>
      <c r="AK27" s="5">
        <f t="shared" si="118"/>
        <v>0</v>
      </c>
      <c r="AL27" s="14">
        <f t="shared" ref="AL27:AP27" si="119">SUM(AL20:AL26)</f>
        <v>0</v>
      </c>
      <c r="AM27" s="14">
        <f t="shared" si="119"/>
        <v>0</v>
      </c>
      <c r="AN27" s="14">
        <f t="shared" si="119"/>
        <v>0</v>
      </c>
      <c r="AO27" s="14">
        <f t="shared" si="119"/>
        <v>0</v>
      </c>
      <c r="AP27" s="14">
        <f t="shared" si="119"/>
        <v>0</v>
      </c>
      <c r="AQ27" s="5">
        <f t="shared" ref="AQ27:AU27" si="120">SUM(AQ20:AQ26)</f>
        <v>0</v>
      </c>
      <c r="AR27" s="5">
        <f t="shared" si="120"/>
        <v>280</v>
      </c>
      <c r="AS27" s="5">
        <f t="shared" si="120"/>
        <v>0</v>
      </c>
      <c r="AT27" s="5">
        <f t="shared" si="120"/>
        <v>0</v>
      </c>
      <c r="AU27" s="5">
        <f t="shared" si="120"/>
        <v>0</v>
      </c>
      <c r="AV27" s="14">
        <f t="shared" ref="AV27:AZ27" si="121">SUM(AV20:AV26)</f>
        <v>65</v>
      </c>
      <c r="AW27" s="14">
        <f t="shared" si="121"/>
        <v>308</v>
      </c>
      <c r="AX27" s="14">
        <f t="shared" si="121"/>
        <v>28</v>
      </c>
      <c r="AY27" s="14">
        <f t="shared" si="121"/>
        <v>56</v>
      </c>
      <c r="AZ27" s="14">
        <f t="shared" si="121"/>
        <v>37</v>
      </c>
      <c r="BA27" s="5">
        <f t="shared" ref="BA27:BE27" si="122">SUM(BA20:BA26)</f>
        <v>84</v>
      </c>
      <c r="BB27" s="5">
        <f t="shared" si="122"/>
        <v>280</v>
      </c>
      <c r="BC27" s="5">
        <f t="shared" si="122"/>
        <v>42</v>
      </c>
      <c r="BD27" s="5">
        <f t="shared" si="122"/>
        <v>42</v>
      </c>
      <c r="BE27" s="5">
        <f t="shared" si="122"/>
        <v>44</v>
      </c>
      <c r="BF27" s="14">
        <f t="shared" ref="BF27:BJ27" si="123">SUM(BF20:BF26)</f>
        <v>82</v>
      </c>
      <c r="BG27" s="14">
        <f t="shared" si="123"/>
        <v>280</v>
      </c>
      <c r="BH27" s="14">
        <f t="shared" si="123"/>
        <v>0</v>
      </c>
      <c r="BI27" s="14">
        <f t="shared" si="123"/>
        <v>0</v>
      </c>
      <c r="BJ27" s="14">
        <f t="shared" si="123"/>
        <v>8</v>
      </c>
      <c r="BK27" s="5">
        <f t="shared" ref="BK27:BO27" si="124">SUM(BK20:BK26)</f>
        <v>74</v>
      </c>
      <c r="BL27" s="5">
        <f t="shared" si="124"/>
        <v>280</v>
      </c>
      <c r="BM27" s="5">
        <f t="shared" si="124"/>
        <v>0</v>
      </c>
      <c r="BN27" s="5">
        <f t="shared" si="124"/>
        <v>0</v>
      </c>
      <c r="BO27" s="5">
        <f t="shared" si="124"/>
        <v>3</v>
      </c>
      <c r="BP27" s="14">
        <f t="shared" ref="BP27:BT27" si="125">SUM(BP20:BP26)</f>
        <v>71</v>
      </c>
      <c r="BQ27" s="14">
        <f t="shared" si="125"/>
        <v>280</v>
      </c>
      <c r="BR27" s="14">
        <f t="shared" si="125"/>
        <v>0</v>
      </c>
      <c r="BS27" s="14">
        <f t="shared" si="125"/>
        <v>0</v>
      </c>
      <c r="BT27" s="14">
        <f t="shared" si="125"/>
        <v>0</v>
      </c>
      <c r="BU27" s="5">
        <f t="shared" ref="BU27:BY27" si="126">SUM(BU20:BU26)</f>
        <v>71</v>
      </c>
      <c r="BV27" s="5">
        <f t="shared" si="126"/>
        <v>280</v>
      </c>
      <c r="BW27" s="5">
        <f t="shared" si="126"/>
        <v>0</v>
      </c>
      <c r="BX27" s="5">
        <f t="shared" si="126"/>
        <v>0</v>
      </c>
      <c r="BY27" s="5">
        <f t="shared" si="126"/>
        <v>0</v>
      </c>
      <c r="BZ27" s="14">
        <f t="shared" ref="BZ27:CD27" si="127">SUM(BZ20:BZ26)</f>
        <v>71</v>
      </c>
      <c r="CA27" s="14">
        <f t="shared" si="127"/>
        <v>280</v>
      </c>
      <c r="CB27" s="14">
        <f t="shared" si="127"/>
        <v>0</v>
      </c>
      <c r="CC27" s="14">
        <f t="shared" si="127"/>
        <v>0</v>
      </c>
      <c r="CD27" s="14">
        <f t="shared" si="127"/>
        <v>0</v>
      </c>
      <c r="CE27" s="5">
        <f t="shared" ref="CE27:CI27" si="128">SUM(CE20:CE26)</f>
        <v>71</v>
      </c>
      <c r="CF27" s="5">
        <f t="shared" si="128"/>
        <v>280</v>
      </c>
      <c r="CG27" s="5">
        <f t="shared" si="128"/>
        <v>0</v>
      </c>
      <c r="CH27" s="5">
        <f t="shared" si="128"/>
        <v>0</v>
      </c>
      <c r="CI27" s="5">
        <f t="shared" si="128"/>
        <v>0</v>
      </c>
    </row>
    <row r="28" spans="1:87" x14ac:dyDescent="0.35">
      <c r="A28" s="33" t="s">
        <v>39</v>
      </c>
      <c r="B28" s="33"/>
      <c r="C28" s="5">
        <v>467</v>
      </c>
      <c r="D28" s="5">
        <v>637</v>
      </c>
      <c r="E28" s="5">
        <f>E8+E9+E27</f>
        <v>81</v>
      </c>
      <c r="F28" s="5">
        <f>F8+F9+F27</f>
        <v>31</v>
      </c>
      <c r="G28" s="5">
        <f>G8+G9+G27</f>
        <v>0</v>
      </c>
      <c r="H28" s="14">
        <f>H8+H9+H27</f>
        <v>125</v>
      </c>
      <c r="I28" s="14">
        <f t="shared" ref="I28:Q28" si="129">I8+I9+I27</f>
        <v>113</v>
      </c>
      <c r="J28" s="14">
        <f t="shared" si="129"/>
        <v>158</v>
      </c>
      <c r="K28" s="14">
        <f t="shared" si="129"/>
        <v>158</v>
      </c>
      <c r="L28" s="14">
        <f t="shared" si="129"/>
        <v>198</v>
      </c>
      <c r="M28" s="5">
        <f t="shared" si="129"/>
        <v>85</v>
      </c>
      <c r="N28" s="5">
        <f t="shared" si="129"/>
        <v>113</v>
      </c>
      <c r="O28" s="5">
        <f t="shared" si="129"/>
        <v>230</v>
      </c>
      <c r="P28" s="5">
        <f t="shared" si="129"/>
        <v>171</v>
      </c>
      <c r="Q28" s="5">
        <f t="shared" si="129"/>
        <v>103</v>
      </c>
      <c r="R28" s="14">
        <f>R8+R9+R27</f>
        <v>153</v>
      </c>
      <c r="S28" s="14">
        <f t="shared" ref="S28" si="130">S8+S9+S27</f>
        <v>172</v>
      </c>
      <c r="T28" s="14">
        <f t="shared" ref="T28" si="131">T8+T9+T27</f>
        <v>176</v>
      </c>
      <c r="U28" s="14">
        <f t="shared" ref="U28" si="132">U8+U9+U27</f>
        <v>197</v>
      </c>
      <c r="V28" s="14">
        <f t="shared" ref="V28" si="133">V8+V9+V27</f>
        <v>166</v>
      </c>
      <c r="W28" s="5">
        <f t="shared" ref="W28" si="134">W8+W9+W27</f>
        <v>184</v>
      </c>
      <c r="X28" s="5">
        <f t="shared" ref="X28" si="135">X8+X9+X27</f>
        <v>151</v>
      </c>
      <c r="Y28" s="5">
        <f t="shared" ref="Y28" si="136">Y8+Y9+Y27</f>
        <v>360</v>
      </c>
      <c r="Z28" s="5">
        <f t="shared" ref="Z28" si="137">Z8+Z9+Z27</f>
        <v>284</v>
      </c>
      <c r="AA28" s="5">
        <f t="shared" ref="AA28" si="138">AA8+AA9+AA27</f>
        <v>246</v>
      </c>
      <c r="AB28" s="14">
        <f>AB8+AB9+AB27</f>
        <v>222</v>
      </c>
      <c r="AC28" s="14">
        <f t="shared" ref="AC28" si="139">AC8+AC9+AC27</f>
        <v>79</v>
      </c>
      <c r="AD28" s="14">
        <f t="shared" ref="AD28" si="140">AD8+AD9+AD27</f>
        <v>172</v>
      </c>
      <c r="AE28" s="14">
        <f t="shared" ref="AE28" si="141">AE8+AE9+AE27</f>
        <v>178</v>
      </c>
      <c r="AF28" s="14">
        <f t="shared" ref="AF28" si="142">AF8+AF9+AF27</f>
        <v>258</v>
      </c>
      <c r="AG28" s="5">
        <f t="shared" ref="AG28" si="143">AG8+AG9+AG27</f>
        <v>142</v>
      </c>
      <c r="AH28" s="5">
        <f t="shared" ref="AH28" si="144">AH8+AH9+AH27</f>
        <v>73</v>
      </c>
      <c r="AI28" s="5">
        <f t="shared" ref="AI28" si="145">AI8+AI9+AI27</f>
        <v>314</v>
      </c>
      <c r="AJ28" s="5">
        <f t="shared" ref="AJ28" si="146">AJ8+AJ9+AJ27</f>
        <v>247</v>
      </c>
      <c r="AK28" s="5">
        <f t="shared" ref="AK28:AO28" si="147">AK8+AK9+AK27</f>
        <v>209</v>
      </c>
      <c r="AL28" s="14">
        <f t="shared" si="147"/>
        <v>180</v>
      </c>
      <c r="AM28" s="14">
        <f t="shared" si="147"/>
        <v>110</v>
      </c>
      <c r="AN28" s="14">
        <f t="shared" si="147"/>
        <v>373</v>
      </c>
      <c r="AO28" s="14">
        <f t="shared" si="147"/>
        <v>261</v>
      </c>
      <c r="AP28" s="14">
        <f t="shared" ref="AP28:AT28" si="148">AP8+AP9+AP27</f>
        <v>240</v>
      </c>
      <c r="AQ28" s="5">
        <f t="shared" si="148"/>
        <v>278</v>
      </c>
      <c r="AR28" s="5">
        <f t="shared" si="148"/>
        <v>502</v>
      </c>
      <c r="AS28" s="5">
        <f t="shared" si="148"/>
        <v>239</v>
      </c>
      <c r="AT28" s="5">
        <f t="shared" si="148"/>
        <v>240</v>
      </c>
      <c r="AU28" s="5">
        <f t="shared" ref="AU28:AY28" si="149">AU8+AU9+AU27</f>
        <v>235</v>
      </c>
      <c r="AV28" s="14">
        <f t="shared" si="149"/>
        <v>348</v>
      </c>
      <c r="AW28" s="14">
        <f t="shared" si="149"/>
        <v>529</v>
      </c>
      <c r="AX28" s="14">
        <f t="shared" si="149"/>
        <v>284</v>
      </c>
      <c r="AY28" s="14">
        <f t="shared" si="149"/>
        <v>253</v>
      </c>
      <c r="AZ28" s="14">
        <f t="shared" ref="AZ28:BD28" si="150">AZ8+AZ9+AZ27</f>
        <v>304</v>
      </c>
      <c r="BA28" s="5">
        <f t="shared" si="150"/>
        <v>192</v>
      </c>
      <c r="BB28" s="5">
        <f t="shared" si="150"/>
        <v>560</v>
      </c>
      <c r="BC28" s="5">
        <f t="shared" si="150"/>
        <v>300</v>
      </c>
      <c r="BD28" s="5">
        <f t="shared" si="150"/>
        <v>389</v>
      </c>
      <c r="BE28" s="5">
        <f t="shared" ref="BE28:BI28" si="151">BE8+BE9+BE27</f>
        <v>391</v>
      </c>
      <c r="BF28" s="14">
        <f t="shared" si="151"/>
        <v>190</v>
      </c>
      <c r="BG28" s="14">
        <f t="shared" si="151"/>
        <v>471</v>
      </c>
      <c r="BH28" s="14">
        <f t="shared" si="151"/>
        <v>317</v>
      </c>
      <c r="BI28" s="14">
        <f t="shared" si="151"/>
        <v>420</v>
      </c>
      <c r="BJ28" s="14">
        <f t="shared" ref="BJ28:BN28" si="152">BJ8+BJ9+BJ27</f>
        <v>417</v>
      </c>
      <c r="BK28" s="5">
        <f t="shared" si="152"/>
        <v>193</v>
      </c>
      <c r="BL28" s="5">
        <f t="shared" si="152"/>
        <v>368</v>
      </c>
      <c r="BM28" s="5">
        <f t="shared" si="152"/>
        <v>326</v>
      </c>
      <c r="BN28" s="5">
        <f t="shared" si="152"/>
        <v>368</v>
      </c>
      <c r="BO28" s="5">
        <f t="shared" ref="BO28:BS28" si="153">BO8+BO9+BO27</f>
        <v>340</v>
      </c>
      <c r="BP28" s="14">
        <f t="shared" si="153"/>
        <v>221</v>
      </c>
      <c r="BQ28" s="14">
        <f t="shared" si="153"/>
        <v>326</v>
      </c>
      <c r="BR28" s="14">
        <f t="shared" si="153"/>
        <v>0</v>
      </c>
      <c r="BS28" s="14">
        <f t="shared" si="153"/>
        <v>0</v>
      </c>
      <c r="BT28" s="14">
        <f t="shared" ref="BT28:BX28" si="154">BT8+BT9+BT27</f>
        <v>408</v>
      </c>
      <c r="BU28" s="5">
        <f t="shared" si="154"/>
        <v>-187</v>
      </c>
      <c r="BV28" s="5">
        <f t="shared" si="154"/>
        <v>326</v>
      </c>
      <c r="BW28" s="5">
        <f t="shared" si="154"/>
        <v>0</v>
      </c>
      <c r="BX28" s="5">
        <f t="shared" si="154"/>
        <v>0</v>
      </c>
      <c r="BY28" s="5">
        <f t="shared" ref="BY28:CC28" si="155">BY8+BY9+BY27</f>
        <v>390</v>
      </c>
      <c r="BZ28" s="14">
        <f t="shared" si="155"/>
        <v>-577</v>
      </c>
      <c r="CA28" s="14">
        <f t="shared" si="155"/>
        <v>326</v>
      </c>
      <c r="CB28" s="14">
        <f t="shared" si="155"/>
        <v>0</v>
      </c>
      <c r="CC28" s="14">
        <f t="shared" si="155"/>
        <v>0</v>
      </c>
      <c r="CD28" s="14">
        <f t="shared" ref="CD28:CH28" si="156">CD8+CD9+CD27</f>
        <v>430</v>
      </c>
      <c r="CE28" s="5">
        <f t="shared" si="156"/>
        <v>-1007</v>
      </c>
      <c r="CF28" s="5">
        <f t="shared" si="156"/>
        <v>326</v>
      </c>
      <c r="CG28" s="5">
        <f t="shared" si="156"/>
        <v>0</v>
      </c>
      <c r="CH28" s="5">
        <f t="shared" si="156"/>
        <v>0</v>
      </c>
      <c r="CI28" s="5">
        <f t="shared" ref="CI28" si="157">CI8+CI9+CI27</f>
        <v>390</v>
      </c>
    </row>
    <row r="29" spans="1:87" x14ac:dyDescent="0.35">
      <c r="A29" s="25"/>
      <c r="B29" s="25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</row>
    <row r="30" spans="1:87" s="1" customFormat="1" ht="43.5" x14ac:dyDescent="0.35">
      <c r="A30" s="35" t="s">
        <v>95</v>
      </c>
      <c r="B30" s="4" t="s">
        <v>22</v>
      </c>
      <c r="C30" s="6" t="s">
        <v>46</v>
      </c>
      <c r="D30" s="6" t="s">
        <v>47</v>
      </c>
      <c r="E30" s="6" t="s">
        <v>48</v>
      </c>
      <c r="F30" s="6" t="s">
        <v>49</v>
      </c>
      <c r="G30" s="6" t="s">
        <v>50</v>
      </c>
      <c r="H30" s="6" t="s">
        <v>46</v>
      </c>
      <c r="I30" s="6" t="s">
        <v>47</v>
      </c>
      <c r="J30" s="6" t="s">
        <v>48</v>
      </c>
      <c r="K30" s="6" t="s">
        <v>49</v>
      </c>
      <c r="L30" s="6" t="s">
        <v>50</v>
      </c>
      <c r="M30" s="6" t="s">
        <v>46</v>
      </c>
      <c r="N30" s="6" t="s">
        <v>47</v>
      </c>
      <c r="O30" s="6" t="s">
        <v>48</v>
      </c>
      <c r="P30" s="6" t="s">
        <v>49</v>
      </c>
      <c r="Q30" s="6" t="s">
        <v>50</v>
      </c>
      <c r="R30" s="6" t="s">
        <v>46</v>
      </c>
      <c r="S30" s="6" t="s">
        <v>47</v>
      </c>
      <c r="T30" s="6" t="s">
        <v>48</v>
      </c>
      <c r="U30" s="6" t="s">
        <v>49</v>
      </c>
      <c r="V30" s="6" t="s">
        <v>50</v>
      </c>
      <c r="W30" s="6" t="s">
        <v>46</v>
      </c>
      <c r="X30" s="6" t="s">
        <v>47</v>
      </c>
      <c r="Y30" s="6" t="s">
        <v>48</v>
      </c>
      <c r="Z30" s="6" t="s">
        <v>49</v>
      </c>
      <c r="AA30" s="6" t="s">
        <v>50</v>
      </c>
      <c r="AB30" s="6" t="s">
        <v>46</v>
      </c>
      <c r="AC30" s="6" t="s">
        <v>47</v>
      </c>
      <c r="AD30" s="6" t="s">
        <v>48</v>
      </c>
      <c r="AE30" s="6" t="s">
        <v>49</v>
      </c>
      <c r="AF30" s="6" t="s">
        <v>50</v>
      </c>
      <c r="AG30" s="6" t="s">
        <v>46</v>
      </c>
      <c r="AH30" s="6" t="s">
        <v>47</v>
      </c>
      <c r="AI30" s="6" t="s">
        <v>48</v>
      </c>
      <c r="AJ30" s="6" t="s">
        <v>49</v>
      </c>
      <c r="AK30" s="6" t="s">
        <v>50</v>
      </c>
      <c r="AL30" s="6" t="s">
        <v>46</v>
      </c>
      <c r="AM30" s="6" t="s">
        <v>47</v>
      </c>
      <c r="AN30" s="6" t="s">
        <v>48</v>
      </c>
      <c r="AO30" s="6" t="s">
        <v>49</v>
      </c>
      <c r="AP30" s="6" t="s">
        <v>50</v>
      </c>
      <c r="AQ30" s="5" t="s">
        <v>46</v>
      </c>
      <c r="AR30" s="5" t="s">
        <v>47</v>
      </c>
      <c r="AS30" s="5" t="s">
        <v>48</v>
      </c>
      <c r="AT30" s="5" t="s">
        <v>49</v>
      </c>
      <c r="AU30" s="5" t="s">
        <v>50</v>
      </c>
      <c r="AV30" s="6" t="s">
        <v>46</v>
      </c>
      <c r="AW30" s="6" t="s">
        <v>47</v>
      </c>
      <c r="AX30" s="6" t="s">
        <v>48</v>
      </c>
      <c r="AY30" s="6" t="s">
        <v>49</v>
      </c>
      <c r="AZ30" s="6" t="s">
        <v>50</v>
      </c>
      <c r="BA30" s="5" t="s">
        <v>46</v>
      </c>
      <c r="BB30" s="5" t="s">
        <v>47</v>
      </c>
      <c r="BC30" s="5" t="s">
        <v>48</v>
      </c>
      <c r="BD30" s="5" t="s">
        <v>49</v>
      </c>
      <c r="BE30" s="5" t="s">
        <v>50</v>
      </c>
      <c r="BF30" s="6" t="s">
        <v>46</v>
      </c>
      <c r="BG30" s="6" t="s">
        <v>47</v>
      </c>
      <c r="BH30" s="6" t="s">
        <v>48</v>
      </c>
      <c r="BI30" s="6" t="s">
        <v>49</v>
      </c>
      <c r="BJ30" s="6" t="s">
        <v>50</v>
      </c>
      <c r="BK30" s="5" t="s">
        <v>46</v>
      </c>
      <c r="BL30" s="5" t="s">
        <v>47</v>
      </c>
      <c r="BM30" s="5" t="s">
        <v>48</v>
      </c>
      <c r="BN30" s="5" t="s">
        <v>49</v>
      </c>
      <c r="BO30" s="5" t="s">
        <v>50</v>
      </c>
      <c r="BP30" s="6" t="s">
        <v>46</v>
      </c>
      <c r="BQ30" s="6" t="s">
        <v>47</v>
      </c>
      <c r="BR30" s="6" t="s">
        <v>48</v>
      </c>
      <c r="BS30" s="6" t="s">
        <v>49</v>
      </c>
      <c r="BT30" s="6" t="s">
        <v>50</v>
      </c>
      <c r="BU30" s="5" t="s">
        <v>46</v>
      </c>
      <c r="BV30" s="5" t="s">
        <v>47</v>
      </c>
      <c r="BW30" s="5" t="s">
        <v>48</v>
      </c>
      <c r="BX30" s="5" t="s">
        <v>49</v>
      </c>
      <c r="BY30" s="5" t="s">
        <v>50</v>
      </c>
      <c r="BZ30" s="6" t="s">
        <v>46</v>
      </c>
      <c r="CA30" s="6" t="s">
        <v>47</v>
      </c>
      <c r="CB30" s="6" t="s">
        <v>48</v>
      </c>
      <c r="CC30" s="6" t="s">
        <v>49</v>
      </c>
      <c r="CD30" s="6" t="s">
        <v>50</v>
      </c>
      <c r="CE30" s="5" t="s">
        <v>46</v>
      </c>
      <c r="CF30" s="5" t="s">
        <v>47</v>
      </c>
      <c r="CG30" s="5" t="s">
        <v>48</v>
      </c>
      <c r="CH30" s="5" t="s">
        <v>49</v>
      </c>
      <c r="CI30" s="5" t="s">
        <v>50</v>
      </c>
    </row>
    <row r="31" spans="1:87" x14ac:dyDescent="0.35">
      <c r="A31" s="36"/>
      <c r="B31" s="24" t="s">
        <v>57</v>
      </c>
      <c r="C31" s="24">
        <v>10</v>
      </c>
      <c r="D31" s="24">
        <f t="shared" ref="D31:AX31" si="158">D9</f>
        <v>0</v>
      </c>
      <c r="E31" s="24">
        <f t="shared" si="158"/>
        <v>31</v>
      </c>
      <c r="F31" s="24">
        <f t="shared" si="158"/>
        <v>31</v>
      </c>
      <c r="G31" s="24">
        <f t="shared" si="158"/>
        <v>0</v>
      </c>
      <c r="H31" s="24">
        <f t="shared" si="158"/>
        <v>41</v>
      </c>
      <c r="I31" s="24">
        <f t="shared" si="158"/>
        <v>0</v>
      </c>
      <c r="J31" s="24">
        <f t="shared" si="158"/>
        <v>31</v>
      </c>
      <c r="K31" s="24">
        <f t="shared" si="158"/>
        <v>31</v>
      </c>
      <c r="L31" s="24">
        <f t="shared" si="158"/>
        <v>32</v>
      </c>
      <c r="M31" s="24">
        <f t="shared" si="158"/>
        <v>40</v>
      </c>
      <c r="N31" s="24">
        <f t="shared" si="158"/>
        <v>0</v>
      </c>
      <c r="O31" s="24">
        <f t="shared" si="158"/>
        <v>27</v>
      </c>
      <c r="P31" s="24">
        <f t="shared" si="158"/>
        <v>9</v>
      </c>
      <c r="Q31" s="24">
        <f t="shared" si="158"/>
        <v>32</v>
      </c>
      <c r="R31" s="24">
        <f t="shared" si="158"/>
        <v>17</v>
      </c>
      <c r="S31" s="24">
        <f t="shared" si="158"/>
        <v>18</v>
      </c>
      <c r="T31" s="24">
        <f t="shared" si="158"/>
        <v>59</v>
      </c>
      <c r="U31" s="24">
        <f t="shared" si="158"/>
        <v>54</v>
      </c>
      <c r="V31" s="24">
        <f t="shared" si="158"/>
        <v>10</v>
      </c>
      <c r="W31" s="24">
        <f t="shared" si="158"/>
        <v>61</v>
      </c>
      <c r="X31" s="24">
        <f t="shared" si="158"/>
        <v>23</v>
      </c>
      <c r="Y31" s="24">
        <f t="shared" si="158"/>
        <v>48</v>
      </c>
      <c r="Z31" s="24">
        <f t="shared" si="158"/>
        <v>54</v>
      </c>
      <c r="AA31" s="24">
        <f t="shared" si="158"/>
        <v>34</v>
      </c>
      <c r="AB31" s="24">
        <f t="shared" si="158"/>
        <v>81</v>
      </c>
      <c r="AC31" s="24">
        <f t="shared" si="158"/>
        <v>17</v>
      </c>
      <c r="AD31" s="24">
        <f t="shared" si="158"/>
        <v>0</v>
      </c>
      <c r="AE31" s="24">
        <f t="shared" si="158"/>
        <v>0</v>
      </c>
      <c r="AF31" s="24">
        <f t="shared" si="158"/>
        <v>30</v>
      </c>
      <c r="AG31" s="24">
        <f t="shared" si="158"/>
        <v>51</v>
      </c>
      <c r="AH31" s="24">
        <f t="shared" si="158"/>
        <v>17</v>
      </c>
      <c r="AI31" s="24">
        <f t="shared" si="158"/>
        <v>0</v>
      </c>
      <c r="AJ31" s="24">
        <f t="shared" si="158"/>
        <v>17</v>
      </c>
      <c r="AK31" s="24">
        <f t="shared" si="158"/>
        <v>9</v>
      </c>
      <c r="AL31" s="24">
        <f t="shared" si="158"/>
        <v>59</v>
      </c>
      <c r="AM31" s="24">
        <f t="shared" si="158"/>
        <v>0</v>
      </c>
      <c r="AN31" s="24">
        <f t="shared" si="158"/>
        <v>0</v>
      </c>
      <c r="AO31" s="24">
        <f t="shared" si="158"/>
        <v>0</v>
      </c>
      <c r="AP31" s="24">
        <f t="shared" si="158"/>
        <v>27</v>
      </c>
      <c r="AQ31" s="24">
        <f t="shared" si="158"/>
        <v>32</v>
      </c>
      <c r="AR31" s="24">
        <f t="shared" si="158"/>
        <v>0</v>
      </c>
      <c r="AS31" s="24">
        <f t="shared" si="158"/>
        <v>36</v>
      </c>
      <c r="AT31" s="24">
        <f t="shared" si="158"/>
        <v>36</v>
      </c>
      <c r="AU31" s="24">
        <f t="shared" si="158"/>
        <v>32</v>
      </c>
      <c r="AV31" s="24">
        <f t="shared" si="158"/>
        <v>36</v>
      </c>
      <c r="AW31" s="24">
        <f t="shared" si="158"/>
        <v>0</v>
      </c>
      <c r="AX31" s="24">
        <f t="shared" si="158"/>
        <v>9</v>
      </c>
      <c r="AY31" s="24">
        <f t="shared" ref="AY31" si="159">AY9</f>
        <v>9</v>
      </c>
      <c r="AZ31" s="24">
        <f t="shared" ref="AZ31:BJ31" si="160">AZ9</f>
        <v>32</v>
      </c>
      <c r="BA31" s="24">
        <f t="shared" si="160"/>
        <v>13</v>
      </c>
      <c r="BB31" s="24">
        <f t="shared" si="160"/>
        <v>0</v>
      </c>
      <c r="BC31" s="24">
        <f t="shared" si="160"/>
        <v>48</v>
      </c>
      <c r="BD31" s="24">
        <f t="shared" si="160"/>
        <v>30</v>
      </c>
      <c r="BE31" s="24">
        <f t="shared" si="160"/>
        <v>32</v>
      </c>
      <c r="BF31" s="24">
        <f t="shared" si="160"/>
        <v>11</v>
      </c>
      <c r="BG31" s="24">
        <f t="shared" si="160"/>
        <v>18</v>
      </c>
      <c r="BH31" s="24">
        <f t="shared" si="160"/>
        <v>29</v>
      </c>
      <c r="BI31" s="24">
        <f t="shared" si="160"/>
        <v>47</v>
      </c>
      <c r="BJ31" s="24">
        <f t="shared" si="160"/>
        <v>32</v>
      </c>
      <c r="BK31" s="24">
        <f t="shared" ref="BK31:BO31" si="161">BK9</f>
        <v>26</v>
      </c>
      <c r="BL31" s="24">
        <f t="shared" si="161"/>
        <v>0</v>
      </c>
      <c r="BM31" s="24">
        <f t="shared" si="161"/>
        <v>54</v>
      </c>
      <c r="BN31" s="24">
        <f t="shared" si="161"/>
        <v>50</v>
      </c>
      <c r="BO31" s="24">
        <f t="shared" si="161"/>
        <v>32</v>
      </c>
      <c r="BP31" s="24">
        <f t="shared" ref="BP31:BT31" si="162">BP9</f>
        <v>44</v>
      </c>
      <c r="BQ31" s="24">
        <f t="shared" si="162"/>
        <v>4</v>
      </c>
      <c r="BR31" s="24">
        <f t="shared" si="162"/>
        <v>0</v>
      </c>
      <c r="BS31" s="24">
        <f t="shared" si="162"/>
        <v>0</v>
      </c>
      <c r="BT31" s="24">
        <f t="shared" si="162"/>
        <v>0</v>
      </c>
      <c r="BU31" s="24">
        <f t="shared" ref="BU31:BY31" si="163">BU9</f>
        <v>44</v>
      </c>
      <c r="BV31" s="24">
        <f t="shared" si="163"/>
        <v>4</v>
      </c>
      <c r="BW31" s="24">
        <f t="shared" si="163"/>
        <v>0</v>
      </c>
      <c r="BX31" s="24">
        <f t="shared" si="163"/>
        <v>0</v>
      </c>
      <c r="BY31" s="24">
        <f t="shared" si="163"/>
        <v>0</v>
      </c>
      <c r="BZ31" s="24">
        <f t="shared" ref="BZ31:CD31" si="164">BZ9</f>
        <v>44</v>
      </c>
      <c r="CA31" s="24">
        <f t="shared" si="164"/>
        <v>4</v>
      </c>
      <c r="CB31" s="24">
        <f t="shared" si="164"/>
        <v>0</v>
      </c>
      <c r="CC31" s="24">
        <f t="shared" si="164"/>
        <v>0</v>
      </c>
      <c r="CD31" s="24">
        <f t="shared" si="164"/>
        <v>0</v>
      </c>
      <c r="CE31" s="24">
        <f t="shared" ref="CE31:CI31" si="165">CE9</f>
        <v>44</v>
      </c>
      <c r="CF31" s="24">
        <f t="shared" si="165"/>
        <v>4</v>
      </c>
      <c r="CG31" s="24">
        <f t="shared" si="165"/>
        <v>0</v>
      </c>
      <c r="CH31" s="24">
        <f t="shared" si="165"/>
        <v>0</v>
      </c>
      <c r="CI31" s="24">
        <f t="shared" si="165"/>
        <v>0</v>
      </c>
    </row>
    <row r="32" spans="1:87" s="16" customFormat="1" x14ac:dyDescent="0.35">
      <c r="A32" s="36"/>
      <c r="B32" s="23" t="s">
        <v>44</v>
      </c>
      <c r="C32" s="24">
        <v>58</v>
      </c>
      <c r="D32" s="24">
        <f t="shared" ref="D32:AW32" si="166">D11+D12+D15</f>
        <v>52</v>
      </c>
      <c r="E32" s="24">
        <f t="shared" si="166"/>
        <v>32</v>
      </c>
      <c r="F32" s="24">
        <f t="shared" si="166"/>
        <v>0</v>
      </c>
      <c r="G32" s="24">
        <f t="shared" si="166"/>
        <v>0</v>
      </c>
      <c r="H32" s="24">
        <f t="shared" si="166"/>
        <v>58</v>
      </c>
      <c r="I32" s="24">
        <f t="shared" si="166"/>
        <v>84</v>
      </c>
      <c r="J32" s="24">
        <f t="shared" si="166"/>
        <v>72</v>
      </c>
      <c r="K32" s="24">
        <f t="shared" si="166"/>
        <v>83</v>
      </c>
      <c r="L32" s="24">
        <f t="shared" si="166"/>
        <v>6</v>
      </c>
      <c r="M32" s="24">
        <f t="shared" si="166"/>
        <v>135</v>
      </c>
      <c r="N32" s="24">
        <f t="shared" si="166"/>
        <v>73</v>
      </c>
      <c r="O32" s="24">
        <f t="shared" si="166"/>
        <v>47</v>
      </c>
      <c r="P32" s="24">
        <f t="shared" si="166"/>
        <v>28</v>
      </c>
      <c r="Q32" s="24">
        <f t="shared" si="166"/>
        <v>15</v>
      </c>
      <c r="R32" s="24">
        <f t="shared" si="166"/>
        <v>148</v>
      </c>
      <c r="S32" s="24">
        <f t="shared" si="166"/>
        <v>92</v>
      </c>
      <c r="T32" s="24">
        <f t="shared" si="166"/>
        <v>56</v>
      </c>
      <c r="U32" s="24">
        <f t="shared" si="166"/>
        <v>32</v>
      </c>
      <c r="V32" s="24">
        <f t="shared" si="166"/>
        <v>23</v>
      </c>
      <c r="W32" s="24">
        <f t="shared" si="166"/>
        <v>157</v>
      </c>
      <c r="X32" s="24">
        <f t="shared" si="166"/>
        <v>116</v>
      </c>
      <c r="Y32" s="24">
        <f t="shared" si="166"/>
        <v>0</v>
      </c>
      <c r="Z32" s="24">
        <f t="shared" si="166"/>
        <v>0</v>
      </c>
      <c r="AA32" s="24">
        <f t="shared" si="166"/>
        <v>36</v>
      </c>
      <c r="AB32" s="24">
        <f t="shared" si="166"/>
        <v>121</v>
      </c>
      <c r="AC32" s="24">
        <f t="shared" si="166"/>
        <v>116</v>
      </c>
      <c r="AD32" s="24">
        <f t="shared" si="166"/>
        <v>0</v>
      </c>
      <c r="AE32" s="24">
        <f t="shared" si="166"/>
        <v>0</v>
      </c>
      <c r="AF32" s="24">
        <f t="shared" si="166"/>
        <v>23</v>
      </c>
      <c r="AG32" s="24">
        <f t="shared" si="166"/>
        <v>111</v>
      </c>
      <c r="AH32" s="24">
        <f t="shared" si="166"/>
        <v>116</v>
      </c>
      <c r="AI32" s="24">
        <f t="shared" si="166"/>
        <v>94</v>
      </c>
      <c r="AJ32" s="24">
        <f t="shared" si="166"/>
        <v>72</v>
      </c>
      <c r="AK32" s="24">
        <f t="shared" si="166"/>
        <v>83</v>
      </c>
      <c r="AL32" s="24">
        <f t="shared" si="166"/>
        <v>100</v>
      </c>
      <c r="AM32" s="24">
        <f t="shared" si="166"/>
        <v>114</v>
      </c>
      <c r="AN32" s="24">
        <f t="shared" si="166"/>
        <v>57</v>
      </c>
      <c r="AO32" s="24">
        <f t="shared" si="166"/>
        <v>28</v>
      </c>
      <c r="AP32" s="24">
        <f t="shared" si="166"/>
        <v>41</v>
      </c>
      <c r="AQ32" s="24">
        <f t="shared" si="166"/>
        <v>115</v>
      </c>
      <c r="AR32" s="24">
        <f t="shared" si="166"/>
        <v>143</v>
      </c>
      <c r="AS32" s="24">
        <f t="shared" si="166"/>
        <v>44</v>
      </c>
      <c r="AT32" s="24">
        <f t="shared" si="166"/>
        <v>72</v>
      </c>
      <c r="AU32" s="24">
        <f t="shared" si="166"/>
        <v>37</v>
      </c>
      <c r="AV32" s="24">
        <f t="shared" si="166"/>
        <v>150</v>
      </c>
      <c r="AW32" s="24">
        <f t="shared" si="166"/>
        <v>115</v>
      </c>
      <c r="AX32" s="24">
        <v>56</v>
      </c>
      <c r="AY32" s="24">
        <f>AY11+AY12+AY15</f>
        <v>60</v>
      </c>
      <c r="AZ32" s="24">
        <f t="shared" ref="AZ32:BJ32" si="167">AZ11+AZ12+AZ15</f>
        <v>16</v>
      </c>
      <c r="BA32" s="24">
        <f t="shared" si="167"/>
        <v>129</v>
      </c>
      <c r="BB32" s="24">
        <f t="shared" si="167"/>
        <v>112</v>
      </c>
      <c r="BC32" s="24">
        <f t="shared" si="167"/>
        <v>0</v>
      </c>
      <c r="BD32" s="24">
        <f t="shared" si="167"/>
        <v>32</v>
      </c>
      <c r="BE32" s="24">
        <f t="shared" si="167"/>
        <v>16</v>
      </c>
      <c r="BF32" s="24">
        <f t="shared" si="167"/>
        <v>145</v>
      </c>
      <c r="BG32" s="24">
        <f t="shared" si="167"/>
        <v>80</v>
      </c>
      <c r="BH32" s="24">
        <f t="shared" si="167"/>
        <v>32</v>
      </c>
      <c r="BI32" s="24">
        <f t="shared" si="167"/>
        <v>60</v>
      </c>
      <c r="BJ32" s="24">
        <f t="shared" si="167"/>
        <v>52</v>
      </c>
      <c r="BK32" s="24">
        <f t="shared" ref="BK32:BO32" si="168">BK11+BK12+BK15</f>
        <v>153</v>
      </c>
      <c r="BL32" s="24">
        <f t="shared" si="168"/>
        <v>52</v>
      </c>
      <c r="BM32" s="24">
        <f t="shared" si="168"/>
        <v>100</v>
      </c>
      <c r="BN32" s="24">
        <f t="shared" si="168"/>
        <v>28</v>
      </c>
      <c r="BO32" s="24">
        <f t="shared" si="168"/>
        <v>89</v>
      </c>
      <c r="BP32" s="24">
        <f t="shared" ref="BP32:BT32" si="169">BP11+BP12+BP15</f>
        <v>92</v>
      </c>
      <c r="BQ32" s="24">
        <f t="shared" si="169"/>
        <v>124</v>
      </c>
      <c r="BR32" s="24">
        <f t="shared" si="169"/>
        <v>0</v>
      </c>
      <c r="BS32" s="24">
        <f t="shared" si="169"/>
        <v>0</v>
      </c>
      <c r="BT32" s="24">
        <f t="shared" si="169"/>
        <v>204</v>
      </c>
      <c r="BU32" s="24">
        <f t="shared" ref="BU32:BY32" si="170">BU11+BU12+BU15</f>
        <v>-112</v>
      </c>
      <c r="BV32" s="24">
        <f t="shared" si="170"/>
        <v>124</v>
      </c>
      <c r="BW32" s="24">
        <f t="shared" si="170"/>
        <v>0</v>
      </c>
      <c r="BX32" s="24">
        <f t="shared" si="170"/>
        <v>0</v>
      </c>
      <c r="BY32" s="24">
        <f t="shared" si="170"/>
        <v>76</v>
      </c>
      <c r="BZ32" s="24">
        <f t="shared" ref="BZ32:CD32" si="171">BZ11+BZ12+BZ15</f>
        <v>-188</v>
      </c>
      <c r="CA32" s="24">
        <f t="shared" si="171"/>
        <v>124</v>
      </c>
      <c r="CB32" s="24">
        <f t="shared" si="171"/>
        <v>0</v>
      </c>
      <c r="CC32" s="24">
        <f t="shared" si="171"/>
        <v>0</v>
      </c>
      <c r="CD32" s="24">
        <f t="shared" si="171"/>
        <v>32</v>
      </c>
      <c r="CE32" s="24">
        <f t="shared" ref="CE32:CI32" si="172">CE11+CE12+CE15</f>
        <v>-220</v>
      </c>
      <c r="CF32" s="24">
        <f t="shared" si="172"/>
        <v>124</v>
      </c>
      <c r="CG32" s="24">
        <f t="shared" si="172"/>
        <v>0</v>
      </c>
      <c r="CH32" s="24">
        <f t="shared" si="172"/>
        <v>0</v>
      </c>
      <c r="CI32" s="24">
        <f t="shared" si="172"/>
        <v>94</v>
      </c>
    </row>
    <row r="33" spans="1:87" s="16" customFormat="1" x14ac:dyDescent="0.35">
      <c r="A33" s="36"/>
      <c r="B33" s="23" t="s">
        <v>45</v>
      </c>
      <c r="C33" s="24">
        <v>4</v>
      </c>
      <c r="D33" s="24">
        <f t="shared" ref="D33:AX33" si="173">D13+D14+D16+D17</f>
        <v>4</v>
      </c>
      <c r="E33" s="24">
        <f t="shared" si="173"/>
        <v>72</v>
      </c>
      <c r="F33" s="24">
        <f t="shared" si="173"/>
        <v>0</v>
      </c>
      <c r="G33" s="24">
        <f t="shared" si="173"/>
        <v>0</v>
      </c>
      <c r="H33" s="24">
        <f t="shared" si="173"/>
        <v>4</v>
      </c>
      <c r="I33" s="24">
        <f t="shared" si="173"/>
        <v>76</v>
      </c>
      <c r="J33" s="24">
        <f t="shared" si="173"/>
        <v>148</v>
      </c>
      <c r="K33" s="24">
        <f t="shared" si="173"/>
        <v>145</v>
      </c>
      <c r="L33" s="24">
        <f t="shared" si="173"/>
        <v>145</v>
      </c>
      <c r="M33" s="24">
        <f t="shared" si="173"/>
        <v>4</v>
      </c>
      <c r="N33" s="24">
        <f t="shared" si="173"/>
        <v>79</v>
      </c>
      <c r="O33" s="24">
        <f t="shared" si="173"/>
        <v>146</v>
      </c>
      <c r="P33" s="24">
        <f t="shared" si="173"/>
        <v>116</v>
      </c>
      <c r="Q33" s="24">
        <f t="shared" si="173"/>
        <v>70</v>
      </c>
      <c r="R33" s="24">
        <f t="shared" si="173"/>
        <v>50</v>
      </c>
      <c r="S33" s="24">
        <f t="shared" si="173"/>
        <v>109</v>
      </c>
      <c r="T33" s="24">
        <f t="shared" si="173"/>
        <v>102</v>
      </c>
      <c r="U33" s="24">
        <f t="shared" si="173"/>
        <v>116</v>
      </c>
      <c r="V33" s="24">
        <f t="shared" si="173"/>
        <v>96</v>
      </c>
      <c r="W33" s="24">
        <f t="shared" si="173"/>
        <v>102</v>
      </c>
      <c r="X33" s="24">
        <f t="shared" si="173"/>
        <v>95</v>
      </c>
      <c r="Y33" s="24">
        <f t="shared" si="173"/>
        <v>135</v>
      </c>
      <c r="Z33" s="24">
        <f t="shared" si="173"/>
        <v>72</v>
      </c>
      <c r="AA33" s="24">
        <f t="shared" si="173"/>
        <v>114</v>
      </c>
      <c r="AB33" s="24">
        <f t="shared" si="173"/>
        <v>64</v>
      </c>
      <c r="AC33" s="24">
        <f t="shared" si="173"/>
        <v>158</v>
      </c>
      <c r="AD33" s="24">
        <f t="shared" si="173"/>
        <v>146</v>
      </c>
      <c r="AE33" s="24">
        <f t="shared" si="173"/>
        <v>164</v>
      </c>
      <c r="AF33" s="24">
        <f t="shared" si="173"/>
        <v>97</v>
      </c>
      <c r="AG33" s="24">
        <f t="shared" si="173"/>
        <v>131</v>
      </c>
      <c r="AH33" s="24">
        <f t="shared" si="173"/>
        <v>140</v>
      </c>
      <c r="AI33" s="24">
        <f t="shared" si="173"/>
        <v>32</v>
      </c>
      <c r="AJ33" s="24">
        <f t="shared" si="173"/>
        <v>88</v>
      </c>
      <c r="AK33" s="24">
        <f t="shared" si="173"/>
        <v>68</v>
      </c>
      <c r="AL33" s="24">
        <f t="shared" si="173"/>
        <v>161</v>
      </c>
      <c r="AM33" s="24">
        <f t="shared" si="173"/>
        <v>74</v>
      </c>
      <c r="AN33" s="24">
        <f t="shared" si="173"/>
        <v>82</v>
      </c>
      <c r="AO33" s="24">
        <f t="shared" si="173"/>
        <v>40</v>
      </c>
      <c r="AP33" s="24">
        <f t="shared" si="173"/>
        <v>61</v>
      </c>
      <c r="AQ33" s="24">
        <f t="shared" si="173"/>
        <v>145</v>
      </c>
      <c r="AR33" s="24">
        <f t="shared" si="173"/>
        <v>116</v>
      </c>
      <c r="AS33" s="24">
        <f t="shared" si="173"/>
        <v>80</v>
      </c>
      <c r="AT33" s="24">
        <f t="shared" si="173"/>
        <v>132</v>
      </c>
      <c r="AU33" s="24">
        <f t="shared" si="173"/>
        <v>90</v>
      </c>
      <c r="AV33" s="24">
        <f t="shared" si="173"/>
        <v>187</v>
      </c>
      <c r="AW33" s="24">
        <f t="shared" si="173"/>
        <v>64</v>
      </c>
      <c r="AX33" s="24">
        <f t="shared" si="173"/>
        <v>163</v>
      </c>
      <c r="AY33" s="24">
        <f>AY13+AY14+AY16+AY17</f>
        <v>132</v>
      </c>
      <c r="AZ33" s="24">
        <f t="shared" ref="AZ33:BJ33" si="174">AZ13+AZ14+AZ16+AZ17</f>
        <v>163</v>
      </c>
      <c r="BA33" s="24">
        <f t="shared" si="174"/>
        <v>156</v>
      </c>
      <c r="BB33" s="24">
        <f t="shared" si="174"/>
        <v>96</v>
      </c>
      <c r="BC33" s="24">
        <f t="shared" si="174"/>
        <v>114</v>
      </c>
      <c r="BD33" s="24">
        <f t="shared" si="174"/>
        <v>160</v>
      </c>
      <c r="BE33" s="24">
        <f t="shared" si="174"/>
        <v>187</v>
      </c>
      <c r="BF33" s="24">
        <f t="shared" si="174"/>
        <v>129</v>
      </c>
      <c r="BG33" s="24">
        <f t="shared" si="174"/>
        <v>50</v>
      </c>
      <c r="BH33" s="24">
        <f t="shared" si="174"/>
        <v>98</v>
      </c>
      <c r="BI33" s="24">
        <f t="shared" si="174"/>
        <v>116</v>
      </c>
      <c r="BJ33" s="24">
        <f t="shared" si="174"/>
        <v>82</v>
      </c>
      <c r="BK33" s="24">
        <f t="shared" ref="BK33:BO33" si="175">BK13+BK14+BK16+BK17</f>
        <v>163</v>
      </c>
      <c r="BL33" s="24">
        <f t="shared" si="175"/>
        <v>32</v>
      </c>
      <c r="BM33" s="24">
        <f t="shared" si="175"/>
        <v>128</v>
      </c>
      <c r="BN33" s="24">
        <f t="shared" si="175"/>
        <v>48</v>
      </c>
      <c r="BO33" s="24">
        <f t="shared" si="175"/>
        <v>68</v>
      </c>
      <c r="BP33" s="24">
        <f t="shared" ref="BP33:BT33" si="176">BP13+BP14+BP16+BP17</f>
        <v>143</v>
      </c>
      <c r="BQ33" s="24">
        <f t="shared" si="176"/>
        <v>112</v>
      </c>
      <c r="BR33" s="24">
        <f t="shared" si="176"/>
        <v>0</v>
      </c>
      <c r="BS33" s="24">
        <f t="shared" si="176"/>
        <v>0</v>
      </c>
      <c r="BT33" s="24">
        <f t="shared" si="176"/>
        <v>167</v>
      </c>
      <c r="BU33" s="24">
        <f t="shared" ref="BU33:BY33" si="177">BU13+BU14+BU16+BU17</f>
        <v>-24</v>
      </c>
      <c r="BV33" s="24">
        <f t="shared" si="177"/>
        <v>112</v>
      </c>
      <c r="BW33" s="24">
        <f t="shared" si="177"/>
        <v>0</v>
      </c>
      <c r="BX33" s="24">
        <f t="shared" si="177"/>
        <v>0</v>
      </c>
      <c r="BY33" s="24">
        <f t="shared" si="177"/>
        <v>115</v>
      </c>
      <c r="BZ33" s="24">
        <f t="shared" ref="BZ33:CD33" si="178">BZ13+BZ14+BZ16+BZ17</f>
        <v>-139</v>
      </c>
      <c r="CA33" s="24">
        <f t="shared" si="178"/>
        <v>112</v>
      </c>
      <c r="CB33" s="24">
        <f t="shared" si="178"/>
        <v>0</v>
      </c>
      <c r="CC33" s="24">
        <f t="shared" si="178"/>
        <v>0</v>
      </c>
      <c r="CD33" s="24">
        <f t="shared" si="178"/>
        <v>108</v>
      </c>
      <c r="CE33" s="24">
        <f t="shared" ref="CE33:CI33" si="179">CE13+CE14+CE16+CE17</f>
        <v>-247</v>
      </c>
      <c r="CF33" s="24">
        <f t="shared" si="179"/>
        <v>112</v>
      </c>
      <c r="CG33" s="24">
        <f t="shared" si="179"/>
        <v>0</v>
      </c>
      <c r="CH33" s="24">
        <f t="shared" si="179"/>
        <v>0</v>
      </c>
      <c r="CI33" s="24">
        <f t="shared" si="179"/>
        <v>95</v>
      </c>
    </row>
    <row r="34" spans="1:87" x14ac:dyDescent="0.35">
      <c r="A34" s="36"/>
      <c r="B34" s="3" t="s">
        <v>58</v>
      </c>
      <c r="C34" s="3"/>
      <c r="D34" s="3">
        <f t="shared" ref="D34:AX34" si="180">D27</f>
        <v>56</v>
      </c>
      <c r="E34" s="3">
        <f t="shared" si="180"/>
        <v>0</v>
      </c>
      <c r="F34" s="3">
        <f t="shared" si="180"/>
        <v>0</v>
      </c>
      <c r="G34" s="3">
        <f t="shared" si="180"/>
        <v>0</v>
      </c>
      <c r="H34" s="3">
        <f t="shared" si="180"/>
        <v>0</v>
      </c>
      <c r="I34" s="3">
        <f t="shared" si="180"/>
        <v>0</v>
      </c>
      <c r="J34" s="3">
        <f t="shared" si="180"/>
        <v>0</v>
      </c>
      <c r="K34" s="3">
        <f t="shared" si="180"/>
        <v>0</v>
      </c>
      <c r="L34" s="3">
        <f t="shared" si="180"/>
        <v>0</v>
      </c>
      <c r="M34" s="3">
        <f t="shared" si="180"/>
        <v>0</v>
      </c>
      <c r="N34" s="3">
        <f t="shared" si="180"/>
        <v>0</v>
      </c>
      <c r="O34" s="3">
        <f t="shared" si="180"/>
        <v>0</v>
      </c>
      <c r="P34" s="3">
        <f t="shared" si="180"/>
        <v>0</v>
      </c>
      <c r="Q34" s="3">
        <f t="shared" si="180"/>
        <v>0</v>
      </c>
      <c r="R34" s="3">
        <f t="shared" si="180"/>
        <v>0</v>
      </c>
      <c r="S34" s="3">
        <f t="shared" si="180"/>
        <v>0</v>
      </c>
      <c r="T34" s="3">
        <f t="shared" si="180"/>
        <v>0</v>
      </c>
      <c r="U34" s="3">
        <f t="shared" si="180"/>
        <v>0</v>
      </c>
      <c r="V34" s="3">
        <f t="shared" si="180"/>
        <v>0</v>
      </c>
      <c r="W34" s="3">
        <f t="shared" si="180"/>
        <v>0</v>
      </c>
      <c r="X34" s="3">
        <f t="shared" si="180"/>
        <v>0</v>
      </c>
      <c r="Y34" s="3">
        <f t="shared" si="180"/>
        <v>0</v>
      </c>
      <c r="Z34" s="3">
        <f t="shared" si="180"/>
        <v>0</v>
      </c>
      <c r="AA34" s="3">
        <f t="shared" si="180"/>
        <v>0</v>
      </c>
      <c r="AB34" s="3">
        <f t="shared" si="180"/>
        <v>0</v>
      </c>
      <c r="AC34" s="3">
        <f t="shared" si="180"/>
        <v>0</v>
      </c>
      <c r="AD34" s="3">
        <f t="shared" si="180"/>
        <v>0</v>
      </c>
      <c r="AE34" s="3">
        <f t="shared" si="180"/>
        <v>0</v>
      </c>
      <c r="AF34" s="3">
        <f t="shared" si="180"/>
        <v>0</v>
      </c>
      <c r="AG34" s="3">
        <f t="shared" si="180"/>
        <v>0</v>
      </c>
      <c r="AH34" s="3">
        <f t="shared" si="180"/>
        <v>0</v>
      </c>
      <c r="AI34" s="3">
        <f t="shared" si="180"/>
        <v>0</v>
      </c>
      <c r="AJ34" s="3">
        <f t="shared" si="180"/>
        <v>0</v>
      </c>
      <c r="AK34" s="3">
        <f t="shared" si="180"/>
        <v>0</v>
      </c>
      <c r="AL34" s="3">
        <f t="shared" si="180"/>
        <v>0</v>
      </c>
      <c r="AM34" s="3">
        <f t="shared" si="180"/>
        <v>0</v>
      </c>
      <c r="AN34" s="3">
        <f t="shared" si="180"/>
        <v>0</v>
      </c>
      <c r="AO34" s="3">
        <f t="shared" si="180"/>
        <v>0</v>
      </c>
      <c r="AP34" s="3">
        <f t="shared" si="180"/>
        <v>0</v>
      </c>
      <c r="AQ34" s="3">
        <f t="shared" si="180"/>
        <v>0</v>
      </c>
      <c r="AR34" s="3">
        <f t="shared" si="180"/>
        <v>280</v>
      </c>
      <c r="AS34" s="3">
        <f t="shared" si="180"/>
        <v>0</v>
      </c>
      <c r="AT34" s="3">
        <f t="shared" si="180"/>
        <v>0</v>
      </c>
      <c r="AU34" s="3">
        <f t="shared" si="180"/>
        <v>0</v>
      </c>
      <c r="AV34" s="3">
        <f t="shared" si="180"/>
        <v>65</v>
      </c>
      <c r="AW34" s="3">
        <f t="shared" si="180"/>
        <v>308</v>
      </c>
      <c r="AX34" s="3">
        <f t="shared" si="180"/>
        <v>28</v>
      </c>
      <c r="AY34" s="3">
        <f t="shared" ref="AY34" si="181">AY27</f>
        <v>56</v>
      </c>
      <c r="AZ34" s="3">
        <f t="shared" ref="AZ34:BJ34" si="182">AZ27</f>
        <v>37</v>
      </c>
      <c r="BA34" s="3">
        <f t="shared" si="182"/>
        <v>84</v>
      </c>
      <c r="BB34" s="3">
        <f t="shared" si="182"/>
        <v>280</v>
      </c>
      <c r="BC34" s="3">
        <f t="shared" si="182"/>
        <v>42</v>
      </c>
      <c r="BD34" s="3">
        <f t="shared" si="182"/>
        <v>42</v>
      </c>
      <c r="BE34" s="3">
        <f t="shared" si="182"/>
        <v>44</v>
      </c>
      <c r="BF34" s="3">
        <f t="shared" si="182"/>
        <v>82</v>
      </c>
      <c r="BG34" s="3">
        <f t="shared" si="182"/>
        <v>280</v>
      </c>
      <c r="BH34" s="3">
        <f t="shared" si="182"/>
        <v>0</v>
      </c>
      <c r="BI34" s="3">
        <f t="shared" si="182"/>
        <v>0</v>
      </c>
      <c r="BJ34" s="3">
        <f t="shared" si="182"/>
        <v>8</v>
      </c>
      <c r="BK34" s="3">
        <f t="shared" ref="BK34:BO34" si="183">BK27</f>
        <v>74</v>
      </c>
      <c r="BL34" s="3">
        <f t="shared" si="183"/>
        <v>280</v>
      </c>
      <c r="BM34" s="3">
        <f t="shared" si="183"/>
        <v>0</v>
      </c>
      <c r="BN34" s="3">
        <f t="shared" si="183"/>
        <v>0</v>
      </c>
      <c r="BO34" s="3">
        <f t="shared" si="183"/>
        <v>3</v>
      </c>
      <c r="BP34" s="3">
        <f t="shared" ref="BP34:BT34" si="184">BP27</f>
        <v>71</v>
      </c>
      <c r="BQ34" s="3">
        <f t="shared" si="184"/>
        <v>280</v>
      </c>
      <c r="BR34" s="3">
        <f t="shared" si="184"/>
        <v>0</v>
      </c>
      <c r="BS34" s="3">
        <f t="shared" si="184"/>
        <v>0</v>
      </c>
      <c r="BT34" s="3">
        <f t="shared" si="184"/>
        <v>0</v>
      </c>
      <c r="BU34" s="3">
        <f t="shared" ref="BU34:BY34" si="185">BU27</f>
        <v>71</v>
      </c>
      <c r="BV34" s="3">
        <f t="shared" si="185"/>
        <v>280</v>
      </c>
      <c r="BW34" s="3">
        <f t="shared" si="185"/>
        <v>0</v>
      </c>
      <c r="BX34" s="3">
        <f t="shared" si="185"/>
        <v>0</v>
      </c>
      <c r="BY34" s="3">
        <f t="shared" si="185"/>
        <v>0</v>
      </c>
      <c r="BZ34" s="3">
        <f t="shared" ref="BZ34:CD34" si="186">BZ27</f>
        <v>71</v>
      </c>
      <c r="CA34" s="3">
        <f t="shared" si="186"/>
        <v>280</v>
      </c>
      <c r="CB34" s="3">
        <f t="shared" si="186"/>
        <v>0</v>
      </c>
      <c r="CC34" s="3">
        <f t="shared" si="186"/>
        <v>0</v>
      </c>
      <c r="CD34" s="3">
        <f t="shared" si="186"/>
        <v>0</v>
      </c>
      <c r="CE34" s="3">
        <f t="shared" ref="CE34:CI34" si="187">CE27</f>
        <v>71</v>
      </c>
      <c r="CF34" s="3">
        <f t="shared" si="187"/>
        <v>280</v>
      </c>
      <c r="CG34" s="3">
        <f t="shared" si="187"/>
        <v>0</v>
      </c>
      <c r="CH34" s="3">
        <f t="shared" si="187"/>
        <v>0</v>
      </c>
      <c r="CI34" s="3">
        <f t="shared" si="187"/>
        <v>0</v>
      </c>
    </row>
    <row r="35" spans="1:87" x14ac:dyDescent="0.35">
      <c r="A35" s="37"/>
      <c r="B35" s="3" t="s">
        <v>65</v>
      </c>
      <c r="C35" s="3">
        <v>84</v>
      </c>
      <c r="D35" s="3">
        <f t="shared" ref="D35:AX35" si="188">D8</f>
        <v>63</v>
      </c>
      <c r="E35" s="3">
        <f t="shared" si="188"/>
        <v>50</v>
      </c>
      <c r="F35" s="3">
        <f t="shared" si="188"/>
        <v>0</v>
      </c>
      <c r="G35" s="3">
        <f t="shared" si="188"/>
        <v>0</v>
      </c>
      <c r="H35" s="3">
        <f t="shared" si="188"/>
        <v>84</v>
      </c>
      <c r="I35" s="3">
        <f t="shared" si="188"/>
        <v>113</v>
      </c>
      <c r="J35" s="3">
        <f t="shared" si="188"/>
        <v>127</v>
      </c>
      <c r="K35" s="3">
        <f t="shared" si="188"/>
        <v>127</v>
      </c>
      <c r="L35" s="3">
        <f t="shared" si="188"/>
        <v>166</v>
      </c>
      <c r="M35" s="3">
        <f t="shared" si="188"/>
        <v>45</v>
      </c>
      <c r="N35" s="3">
        <f t="shared" si="188"/>
        <v>113</v>
      </c>
      <c r="O35" s="3">
        <f t="shared" si="188"/>
        <v>203</v>
      </c>
      <c r="P35" s="3">
        <f t="shared" si="188"/>
        <v>162</v>
      </c>
      <c r="Q35" s="3">
        <f t="shared" si="188"/>
        <v>71</v>
      </c>
      <c r="R35" s="3">
        <f t="shared" si="188"/>
        <v>136</v>
      </c>
      <c r="S35" s="3">
        <f t="shared" si="188"/>
        <v>154</v>
      </c>
      <c r="T35" s="3">
        <f t="shared" si="188"/>
        <v>117</v>
      </c>
      <c r="U35" s="3">
        <f t="shared" si="188"/>
        <v>143</v>
      </c>
      <c r="V35" s="3">
        <f t="shared" si="188"/>
        <v>156</v>
      </c>
      <c r="W35" s="3">
        <f t="shared" si="188"/>
        <v>123</v>
      </c>
      <c r="X35" s="3">
        <f t="shared" si="188"/>
        <v>128</v>
      </c>
      <c r="Y35" s="3">
        <f t="shared" si="188"/>
        <v>312</v>
      </c>
      <c r="Z35" s="3">
        <f t="shared" si="188"/>
        <v>230</v>
      </c>
      <c r="AA35" s="3">
        <f t="shared" si="188"/>
        <v>212</v>
      </c>
      <c r="AB35" s="3">
        <f t="shared" si="188"/>
        <v>141</v>
      </c>
      <c r="AC35" s="3">
        <f t="shared" si="188"/>
        <v>62</v>
      </c>
      <c r="AD35" s="3">
        <f t="shared" si="188"/>
        <v>172</v>
      </c>
      <c r="AE35" s="3">
        <f t="shared" si="188"/>
        <v>178</v>
      </c>
      <c r="AF35" s="3">
        <f t="shared" si="188"/>
        <v>228</v>
      </c>
      <c r="AG35" s="3">
        <f t="shared" si="188"/>
        <v>91</v>
      </c>
      <c r="AH35" s="3">
        <f t="shared" si="188"/>
        <v>56</v>
      </c>
      <c r="AI35" s="3">
        <f t="shared" si="188"/>
        <v>314</v>
      </c>
      <c r="AJ35" s="3">
        <f t="shared" si="188"/>
        <v>230</v>
      </c>
      <c r="AK35" s="3">
        <f t="shared" si="188"/>
        <v>200</v>
      </c>
      <c r="AL35" s="3">
        <f t="shared" si="188"/>
        <v>121</v>
      </c>
      <c r="AM35" s="3">
        <f t="shared" si="188"/>
        <v>110</v>
      </c>
      <c r="AN35" s="3">
        <f t="shared" si="188"/>
        <v>373</v>
      </c>
      <c r="AO35" s="3">
        <f t="shared" si="188"/>
        <v>261</v>
      </c>
      <c r="AP35" s="3">
        <f t="shared" si="188"/>
        <v>213</v>
      </c>
      <c r="AQ35" s="3">
        <f t="shared" si="188"/>
        <v>246</v>
      </c>
      <c r="AR35" s="3">
        <f t="shared" si="188"/>
        <v>222</v>
      </c>
      <c r="AS35" s="3">
        <f t="shared" si="188"/>
        <v>203</v>
      </c>
      <c r="AT35" s="3">
        <f t="shared" si="188"/>
        <v>204</v>
      </c>
      <c r="AU35" s="3">
        <f t="shared" si="188"/>
        <v>203</v>
      </c>
      <c r="AV35" s="3">
        <f t="shared" si="188"/>
        <v>247</v>
      </c>
      <c r="AW35" s="3">
        <f t="shared" si="188"/>
        <v>221</v>
      </c>
      <c r="AX35" s="3">
        <f t="shared" si="188"/>
        <v>247</v>
      </c>
      <c r="AY35" s="3">
        <f t="shared" ref="AY35" si="189">AY8</f>
        <v>188</v>
      </c>
      <c r="AZ35" s="3">
        <f t="shared" ref="AZ35:BJ35" si="190">AZ8</f>
        <v>235</v>
      </c>
      <c r="BA35" s="3">
        <f t="shared" si="190"/>
        <v>95</v>
      </c>
      <c r="BB35" s="3">
        <f t="shared" si="190"/>
        <v>280</v>
      </c>
      <c r="BC35" s="3">
        <f t="shared" si="190"/>
        <v>210</v>
      </c>
      <c r="BD35" s="3">
        <f t="shared" si="190"/>
        <v>317</v>
      </c>
      <c r="BE35" s="3">
        <f t="shared" si="190"/>
        <v>315</v>
      </c>
      <c r="BF35" s="3">
        <f t="shared" si="190"/>
        <v>97</v>
      </c>
      <c r="BG35" s="3">
        <f t="shared" si="190"/>
        <v>173</v>
      </c>
      <c r="BH35" s="3">
        <f t="shared" si="190"/>
        <v>288</v>
      </c>
      <c r="BI35" s="3">
        <f t="shared" si="190"/>
        <v>373</v>
      </c>
      <c r="BJ35" s="3">
        <f t="shared" si="190"/>
        <v>377</v>
      </c>
      <c r="BK35" s="3">
        <f t="shared" ref="BK35:BO35" si="191">BK8</f>
        <v>93</v>
      </c>
      <c r="BL35" s="3">
        <f t="shared" si="191"/>
        <v>88</v>
      </c>
      <c r="BM35" s="3">
        <f t="shared" si="191"/>
        <v>272</v>
      </c>
      <c r="BN35" s="3">
        <f t="shared" si="191"/>
        <v>318</v>
      </c>
      <c r="BO35" s="3">
        <f t="shared" si="191"/>
        <v>305</v>
      </c>
      <c r="BP35" s="3">
        <f t="shared" ref="BP35:BT35" si="192">BP8</f>
        <v>106</v>
      </c>
      <c r="BQ35" s="3">
        <f t="shared" si="192"/>
        <v>42</v>
      </c>
      <c r="BR35" s="3">
        <f t="shared" si="192"/>
        <v>0</v>
      </c>
      <c r="BS35" s="3">
        <f t="shared" si="192"/>
        <v>0</v>
      </c>
      <c r="BT35" s="3">
        <f t="shared" si="192"/>
        <v>408</v>
      </c>
      <c r="BU35" s="3">
        <f t="shared" ref="BU35:BY35" si="193">BU8</f>
        <v>-302</v>
      </c>
      <c r="BV35" s="3">
        <f t="shared" si="193"/>
        <v>42</v>
      </c>
      <c r="BW35" s="3">
        <f t="shared" si="193"/>
        <v>0</v>
      </c>
      <c r="BX35" s="3">
        <f t="shared" si="193"/>
        <v>0</v>
      </c>
      <c r="BY35" s="3">
        <f t="shared" si="193"/>
        <v>390</v>
      </c>
      <c r="BZ35" s="3">
        <f t="shared" ref="BZ35:CD35" si="194">BZ8</f>
        <v>-692</v>
      </c>
      <c r="CA35" s="3">
        <f t="shared" si="194"/>
        <v>42</v>
      </c>
      <c r="CB35" s="3">
        <f t="shared" si="194"/>
        <v>0</v>
      </c>
      <c r="CC35" s="3">
        <f t="shared" si="194"/>
        <v>0</v>
      </c>
      <c r="CD35" s="3">
        <f t="shared" si="194"/>
        <v>430</v>
      </c>
      <c r="CE35" s="3">
        <f t="shared" ref="CE35:CI35" si="195">CE8</f>
        <v>-1122</v>
      </c>
      <c r="CF35" s="3">
        <f t="shared" si="195"/>
        <v>42</v>
      </c>
      <c r="CG35" s="3">
        <f t="shared" si="195"/>
        <v>0</v>
      </c>
      <c r="CH35" s="3">
        <f t="shared" si="195"/>
        <v>0</v>
      </c>
      <c r="CI35" s="3">
        <f t="shared" si="195"/>
        <v>390</v>
      </c>
    </row>
    <row r="36" spans="1:87" x14ac:dyDescent="0.35">
      <c r="A36" s="33" t="s">
        <v>39</v>
      </c>
      <c r="B36" s="33"/>
      <c r="C36" s="28">
        <v>467</v>
      </c>
      <c r="D36" s="28">
        <v>637</v>
      </c>
      <c r="E36" s="28">
        <f t="shared" ref="E36:AK36" si="196">SUM(E31:E35)</f>
        <v>185</v>
      </c>
      <c r="F36" s="28">
        <f t="shared" si="196"/>
        <v>31</v>
      </c>
      <c r="G36" s="28">
        <f t="shared" si="196"/>
        <v>0</v>
      </c>
      <c r="H36" s="28">
        <f t="shared" si="196"/>
        <v>187</v>
      </c>
      <c r="I36" s="28">
        <f t="shared" si="196"/>
        <v>273</v>
      </c>
      <c r="J36" s="28">
        <f t="shared" si="196"/>
        <v>378</v>
      </c>
      <c r="K36" s="28">
        <f t="shared" si="196"/>
        <v>386</v>
      </c>
      <c r="L36" s="28">
        <f t="shared" si="196"/>
        <v>349</v>
      </c>
      <c r="M36" s="28">
        <f t="shared" si="196"/>
        <v>224</v>
      </c>
      <c r="N36" s="28">
        <f t="shared" si="196"/>
        <v>265</v>
      </c>
      <c r="O36" s="28">
        <f t="shared" si="196"/>
        <v>423</v>
      </c>
      <c r="P36" s="28">
        <f t="shared" si="196"/>
        <v>315</v>
      </c>
      <c r="Q36" s="28">
        <f t="shared" si="196"/>
        <v>188</v>
      </c>
      <c r="R36" s="28">
        <f t="shared" si="196"/>
        <v>351</v>
      </c>
      <c r="S36" s="28">
        <f t="shared" si="196"/>
        <v>373</v>
      </c>
      <c r="T36" s="28">
        <f t="shared" si="196"/>
        <v>334</v>
      </c>
      <c r="U36" s="28">
        <f t="shared" si="196"/>
        <v>345</v>
      </c>
      <c r="V36" s="28">
        <f t="shared" si="196"/>
        <v>285</v>
      </c>
      <c r="W36" s="28">
        <f t="shared" si="196"/>
        <v>443</v>
      </c>
      <c r="X36" s="28">
        <f t="shared" si="196"/>
        <v>362</v>
      </c>
      <c r="Y36" s="28">
        <f t="shared" si="196"/>
        <v>495</v>
      </c>
      <c r="Z36" s="28">
        <f t="shared" si="196"/>
        <v>356</v>
      </c>
      <c r="AA36" s="28">
        <f t="shared" si="196"/>
        <v>396</v>
      </c>
      <c r="AB36" s="28">
        <f t="shared" si="196"/>
        <v>407</v>
      </c>
      <c r="AC36" s="28">
        <f t="shared" si="196"/>
        <v>353</v>
      </c>
      <c r="AD36" s="28">
        <f t="shared" si="196"/>
        <v>318</v>
      </c>
      <c r="AE36" s="28">
        <f t="shared" si="196"/>
        <v>342</v>
      </c>
      <c r="AF36" s="28">
        <f t="shared" si="196"/>
        <v>378</v>
      </c>
      <c r="AG36" s="28">
        <f t="shared" si="196"/>
        <v>384</v>
      </c>
      <c r="AH36" s="28">
        <f t="shared" si="196"/>
        <v>329</v>
      </c>
      <c r="AI36" s="28">
        <f t="shared" si="196"/>
        <v>440</v>
      </c>
      <c r="AJ36" s="28">
        <f t="shared" si="196"/>
        <v>407</v>
      </c>
      <c r="AK36" s="28">
        <f t="shared" si="196"/>
        <v>360</v>
      </c>
      <c r="AL36" s="28">
        <f t="shared" ref="AL36:AP36" si="197">SUM(AL31:AL35)</f>
        <v>441</v>
      </c>
      <c r="AM36" s="28">
        <f t="shared" si="197"/>
        <v>298</v>
      </c>
      <c r="AN36" s="28">
        <f t="shared" si="197"/>
        <v>512</v>
      </c>
      <c r="AO36" s="28">
        <f t="shared" si="197"/>
        <v>329</v>
      </c>
      <c r="AP36" s="28">
        <f t="shared" si="197"/>
        <v>342</v>
      </c>
      <c r="AQ36" s="5">
        <f t="shared" ref="AQ36:AU36" si="198">SUM(AQ31:AQ35)</f>
        <v>538</v>
      </c>
      <c r="AR36" s="5">
        <f t="shared" si="198"/>
        <v>761</v>
      </c>
      <c r="AS36" s="5">
        <f t="shared" si="198"/>
        <v>363</v>
      </c>
      <c r="AT36" s="5">
        <f t="shared" si="198"/>
        <v>444</v>
      </c>
      <c r="AU36" s="5">
        <f t="shared" si="198"/>
        <v>362</v>
      </c>
      <c r="AV36" s="28">
        <f>SUM(AV31:AV35)</f>
        <v>685</v>
      </c>
      <c r="AW36" s="28">
        <f t="shared" ref="AW36:AZ36" si="199">SUM(AW31:AW35)</f>
        <v>708</v>
      </c>
      <c r="AX36" s="28">
        <f t="shared" si="199"/>
        <v>503</v>
      </c>
      <c r="AY36" s="28">
        <f t="shared" si="199"/>
        <v>445</v>
      </c>
      <c r="AZ36" s="28">
        <f t="shared" si="199"/>
        <v>483</v>
      </c>
      <c r="BA36" s="5">
        <f t="shared" ref="BA36:BE36" si="200">SUM(BA31:BA35)</f>
        <v>477</v>
      </c>
      <c r="BB36" s="5">
        <f t="shared" si="200"/>
        <v>768</v>
      </c>
      <c r="BC36" s="5">
        <f t="shared" si="200"/>
        <v>414</v>
      </c>
      <c r="BD36" s="5">
        <f t="shared" si="200"/>
        <v>581</v>
      </c>
      <c r="BE36" s="5">
        <f t="shared" si="200"/>
        <v>594</v>
      </c>
      <c r="BF36" s="28">
        <f t="shared" ref="BF36:BJ36" si="201">SUM(BF31:BF35)</f>
        <v>464</v>
      </c>
      <c r="BG36" s="28">
        <f t="shared" si="201"/>
        <v>601</v>
      </c>
      <c r="BH36" s="28">
        <f t="shared" si="201"/>
        <v>447</v>
      </c>
      <c r="BI36" s="28">
        <f t="shared" si="201"/>
        <v>596</v>
      </c>
      <c r="BJ36" s="28">
        <f t="shared" si="201"/>
        <v>551</v>
      </c>
      <c r="BK36" s="5">
        <f t="shared" ref="BK36:BO36" si="202">SUM(BK31:BK35)</f>
        <v>509</v>
      </c>
      <c r="BL36" s="5">
        <f t="shared" si="202"/>
        <v>452</v>
      </c>
      <c r="BM36" s="5">
        <f t="shared" si="202"/>
        <v>554</v>
      </c>
      <c r="BN36" s="5">
        <f t="shared" si="202"/>
        <v>444</v>
      </c>
      <c r="BO36" s="5">
        <f t="shared" si="202"/>
        <v>497</v>
      </c>
      <c r="BP36" s="28">
        <f t="shared" ref="BP36:BT36" si="203">SUM(BP31:BP35)</f>
        <v>456</v>
      </c>
      <c r="BQ36" s="28">
        <f t="shared" si="203"/>
        <v>562</v>
      </c>
      <c r="BR36" s="28">
        <f t="shared" si="203"/>
        <v>0</v>
      </c>
      <c r="BS36" s="28">
        <f t="shared" si="203"/>
        <v>0</v>
      </c>
      <c r="BT36" s="28">
        <f t="shared" si="203"/>
        <v>779</v>
      </c>
      <c r="BU36" s="5">
        <f t="shared" ref="BU36:BY36" si="204">SUM(BU31:BU35)</f>
        <v>-323</v>
      </c>
      <c r="BV36" s="5">
        <f t="shared" si="204"/>
        <v>562</v>
      </c>
      <c r="BW36" s="5">
        <f t="shared" si="204"/>
        <v>0</v>
      </c>
      <c r="BX36" s="5">
        <f t="shared" si="204"/>
        <v>0</v>
      </c>
      <c r="BY36" s="5">
        <f t="shared" si="204"/>
        <v>581</v>
      </c>
      <c r="BZ36" s="28">
        <f t="shared" ref="BZ36:CD36" si="205">SUM(BZ31:BZ35)</f>
        <v>-904</v>
      </c>
      <c r="CA36" s="28">
        <f t="shared" si="205"/>
        <v>562</v>
      </c>
      <c r="CB36" s="28">
        <f t="shared" si="205"/>
        <v>0</v>
      </c>
      <c r="CC36" s="28">
        <f t="shared" si="205"/>
        <v>0</v>
      </c>
      <c r="CD36" s="28">
        <f t="shared" si="205"/>
        <v>570</v>
      </c>
      <c r="CE36" s="5">
        <f t="shared" ref="CE36:CI36" si="206">SUM(CE31:CE35)</f>
        <v>-1474</v>
      </c>
      <c r="CF36" s="5">
        <f t="shared" si="206"/>
        <v>562</v>
      </c>
      <c r="CG36" s="5">
        <f t="shared" si="206"/>
        <v>0</v>
      </c>
      <c r="CH36" s="5">
        <f t="shared" si="206"/>
        <v>0</v>
      </c>
      <c r="CI36" s="5">
        <f t="shared" si="206"/>
        <v>579</v>
      </c>
    </row>
    <row r="37" spans="1:87" x14ac:dyDescent="0.35">
      <c r="A37" s="34" t="s">
        <v>96</v>
      </c>
      <c r="B37" s="34"/>
    </row>
    <row r="38" spans="1:87" ht="43.5" x14ac:dyDescent="0.35">
      <c r="A38" s="4" t="s">
        <v>21</v>
      </c>
      <c r="B38" s="4" t="s">
        <v>22</v>
      </c>
      <c r="C38" s="5" t="s">
        <v>46</v>
      </c>
      <c r="D38" s="5" t="s">
        <v>47</v>
      </c>
      <c r="E38" s="5" t="s">
        <v>48</v>
      </c>
      <c r="F38" s="5" t="s">
        <v>49</v>
      </c>
      <c r="G38" s="5" t="s">
        <v>50</v>
      </c>
      <c r="H38" s="14" t="s">
        <v>46</v>
      </c>
      <c r="I38" s="14" t="s">
        <v>47</v>
      </c>
      <c r="J38" s="14" t="s">
        <v>48</v>
      </c>
      <c r="K38" s="14" t="s">
        <v>49</v>
      </c>
      <c r="L38" s="14" t="s">
        <v>50</v>
      </c>
      <c r="M38" s="5" t="s">
        <v>46</v>
      </c>
      <c r="N38" s="5" t="s">
        <v>47</v>
      </c>
      <c r="O38" s="5" t="s">
        <v>48</v>
      </c>
      <c r="P38" s="5" t="s">
        <v>49</v>
      </c>
      <c r="Q38" s="5" t="s">
        <v>50</v>
      </c>
      <c r="R38" s="14" t="s">
        <v>46</v>
      </c>
      <c r="S38" s="14" t="s">
        <v>47</v>
      </c>
      <c r="T38" s="14" t="s">
        <v>48</v>
      </c>
      <c r="U38" s="14" t="s">
        <v>49</v>
      </c>
      <c r="V38" s="14" t="s">
        <v>50</v>
      </c>
      <c r="W38" s="5" t="s">
        <v>46</v>
      </c>
      <c r="X38" s="5" t="s">
        <v>47</v>
      </c>
      <c r="Y38" s="5" t="s">
        <v>48</v>
      </c>
      <c r="Z38" s="5" t="s">
        <v>49</v>
      </c>
      <c r="AA38" s="5" t="s">
        <v>50</v>
      </c>
      <c r="AB38" s="14" t="s">
        <v>46</v>
      </c>
      <c r="AC38" s="14" t="s">
        <v>47</v>
      </c>
      <c r="AD38" s="14" t="s">
        <v>48</v>
      </c>
      <c r="AE38" s="14" t="s">
        <v>49</v>
      </c>
      <c r="AF38" s="14" t="s">
        <v>50</v>
      </c>
      <c r="AG38" s="5" t="s">
        <v>46</v>
      </c>
      <c r="AH38" s="5" t="s">
        <v>47</v>
      </c>
      <c r="AI38" s="5" t="s">
        <v>48</v>
      </c>
      <c r="AJ38" s="5" t="s">
        <v>49</v>
      </c>
      <c r="AK38" s="5" t="s">
        <v>50</v>
      </c>
      <c r="AL38" s="14" t="s">
        <v>46</v>
      </c>
      <c r="AM38" s="14" t="s">
        <v>47</v>
      </c>
      <c r="AN38" s="14" t="s">
        <v>48</v>
      </c>
      <c r="AO38" s="14" t="s">
        <v>49</v>
      </c>
      <c r="AP38" s="14" t="s">
        <v>50</v>
      </c>
      <c r="AQ38" s="5" t="s">
        <v>46</v>
      </c>
      <c r="AR38" s="5" t="s">
        <v>47</v>
      </c>
      <c r="AS38" s="5" t="s">
        <v>97</v>
      </c>
      <c r="AT38" s="5" t="s">
        <v>49</v>
      </c>
      <c r="AU38" s="5" t="s">
        <v>50</v>
      </c>
      <c r="AV38" s="14" t="s">
        <v>46</v>
      </c>
      <c r="AW38" s="14" t="s">
        <v>47</v>
      </c>
      <c r="AX38" s="14" t="s">
        <v>97</v>
      </c>
      <c r="AY38" s="14" t="s">
        <v>49</v>
      </c>
      <c r="AZ38" s="14" t="s">
        <v>50</v>
      </c>
      <c r="BA38" s="5" t="s">
        <v>46</v>
      </c>
      <c r="BB38" s="5" t="s">
        <v>47</v>
      </c>
      <c r="BC38" s="5" t="s">
        <v>97</v>
      </c>
      <c r="BD38" s="5" t="s">
        <v>49</v>
      </c>
      <c r="BE38" s="5" t="s">
        <v>50</v>
      </c>
      <c r="BF38" s="14" t="s">
        <v>46</v>
      </c>
      <c r="BG38" s="14" t="s">
        <v>47</v>
      </c>
      <c r="BH38" s="14" t="s">
        <v>97</v>
      </c>
      <c r="BI38" s="14" t="s">
        <v>49</v>
      </c>
      <c r="BJ38" s="14" t="s">
        <v>50</v>
      </c>
      <c r="BK38" s="5" t="s">
        <v>46</v>
      </c>
      <c r="BL38" s="5" t="s">
        <v>47</v>
      </c>
      <c r="BM38" s="5" t="s">
        <v>97</v>
      </c>
      <c r="BN38" s="5" t="s">
        <v>49</v>
      </c>
      <c r="BO38" s="5" t="s">
        <v>50</v>
      </c>
      <c r="BP38" s="14" t="s">
        <v>46</v>
      </c>
      <c r="BQ38" s="14" t="s">
        <v>47</v>
      </c>
      <c r="BR38" s="14" t="s">
        <v>97</v>
      </c>
      <c r="BS38" s="14" t="s">
        <v>49</v>
      </c>
      <c r="BT38" s="14" t="s">
        <v>50</v>
      </c>
      <c r="BU38" s="5" t="s">
        <v>46</v>
      </c>
      <c r="BV38" s="5" t="s">
        <v>47</v>
      </c>
      <c r="BW38" s="5" t="s">
        <v>97</v>
      </c>
      <c r="BX38" s="5" t="s">
        <v>49</v>
      </c>
      <c r="BY38" s="5" t="s">
        <v>50</v>
      </c>
      <c r="BZ38" s="14" t="s">
        <v>46</v>
      </c>
      <c r="CA38" s="14" t="s">
        <v>47</v>
      </c>
      <c r="CB38" s="14" t="s">
        <v>97</v>
      </c>
      <c r="CC38" s="14" t="s">
        <v>49</v>
      </c>
      <c r="CD38" s="14" t="s">
        <v>50</v>
      </c>
      <c r="CE38" s="5" t="s">
        <v>46</v>
      </c>
      <c r="CF38" s="5" t="s">
        <v>47</v>
      </c>
      <c r="CG38" s="5" t="s">
        <v>97</v>
      </c>
      <c r="CH38" s="5" t="s">
        <v>49</v>
      </c>
      <c r="CI38" s="5" t="s">
        <v>50</v>
      </c>
    </row>
    <row r="39" spans="1:87" x14ac:dyDescent="0.35">
      <c r="A39" s="2" t="s">
        <v>75</v>
      </c>
      <c r="B39" s="2" t="s">
        <v>78</v>
      </c>
      <c r="C39" s="3">
        <v>16</v>
      </c>
      <c r="D39" s="3">
        <v>0</v>
      </c>
      <c r="E39" s="3">
        <v>32</v>
      </c>
      <c r="F39" s="3"/>
      <c r="G39" s="3"/>
      <c r="H39" s="3">
        <f>C39+F39-G39</f>
        <v>16</v>
      </c>
      <c r="I39" s="3">
        <f t="shared" ref="I39:I48" si="207">D39+E39-F39</f>
        <v>32</v>
      </c>
      <c r="J39" s="3">
        <v>40</v>
      </c>
      <c r="K39" s="3">
        <v>56</v>
      </c>
      <c r="L39" s="3">
        <v>6</v>
      </c>
      <c r="M39" s="3">
        <f>H39+K39-L39</f>
        <v>66</v>
      </c>
      <c r="N39" s="3">
        <f t="shared" ref="N39:N48" si="208">I39+J39-K39</f>
        <v>16</v>
      </c>
      <c r="O39" s="3">
        <v>31</v>
      </c>
      <c r="P39" s="3">
        <v>28</v>
      </c>
      <c r="Q39" s="3">
        <v>0</v>
      </c>
      <c r="R39" s="3">
        <f>M39+P39-Q39</f>
        <v>94</v>
      </c>
      <c r="S39" s="3">
        <f t="shared" ref="S39:S48" si="209">N39+O39-P39</f>
        <v>19</v>
      </c>
      <c r="T39" s="3">
        <v>12</v>
      </c>
      <c r="U39" s="3">
        <v>0</v>
      </c>
      <c r="V39" s="3">
        <v>17</v>
      </c>
      <c r="W39" s="3">
        <f>R39+U39-V39</f>
        <v>77</v>
      </c>
      <c r="X39" s="3">
        <f t="shared" ref="X39:X48" si="210">S39+T39-U39</f>
        <v>31</v>
      </c>
      <c r="Y39" s="3">
        <v>0</v>
      </c>
      <c r="Z39" s="3">
        <v>0</v>
      </c>
      <c r="AA39" s="3">
        <v>23</v>
      </c>
      <c r="AB39" s="3">
        <f t="shared" ref="AB39:AB44" si="211">W39+Z39-AA39</f>
        <v>54</v>
      </c>
      <c r="AC39" s="3">
        <f t="shared" ref="AC39:AC48" si="212">X39+Y39-Z39</f>
        <v>31</v>
      </c>
      <c r="AD39" s="3"/>
      <c r="AE39" s="3">
        <v>0</v>
      </c>
      <c r="AF39" s="3">
        <v>9</v>
      </c>
      <c r="AG39" s="3">
        <f>AB39+AE39-AF39</f>
        <v>45</v>
      </c>
      <c r="AH39" s="3">
        <f t="shared" ref="AH39:AH48" si="213">AC39+AD39-AE39</f>
        <v>31</v>
      </c>
      <c r="AI39" s="3">
        <f>41+18</f>
        <v>59</v>
      </c>
      <c r="AJ39" s="3">
        <v>72</v>
      </c>
      <c r="AK39" s="3">
        <v>58</v>
      </c>
      <c r="AL39" s="3">
        <f>AG39+AJ39-AK39</f>
        <v>59</v>
      </c>
      <c r="AM39" s="3">
        <f t="shared" ref="AM39" si="214">AH39+AI39-AJ39</f>
        <v>18</v>
      </c>
      <c r="AN39" s="3">
        <v>57</v>
      </c>
      <c r="AO39" s="3">
        <v>28</v>
      </c>
      <c r="AP39" s="3">
        <v>23</v>
      </c>
      <c r="AQ39" s="3"/>
      <c r="AR39" s="3"/>
      <c r="AS39" s="3"/>
      <c r="AT39" s="3"/>
      <c r="AU39" s="3"/>
      <c r="AV39" s="3"/>
      <c r="AW39" s="3">
        <v>1260</v>
      </c>
      <c r="AX39" s="3"/>
      <c r="AY39" s="3">
        <v>630</v>
      </c>
      <c r="AZ39" s="3">
        <v>235</v>
      </c>
      <c r="BA39" s="3">
        <f>AV39+AY39-AZ39</f>
        <v>395</v>
      </c>
      <c r="BB39" s="3">
        <v>1260</v>
      </c>
      <c r="BC39" s="3">
        <v>1530</v>
      </c>
      <c r="BD39" s="3">
        <v>630</v>
      </c>
      <c r="BE39" s="3">
        <v>315</v>
      </c>
      <c r="BF39" s="3">
        <f>BA39+BD39-BE39</f>
        <v>710</v>
      </c>
      <c r="BG39" s="3">
        <f t="shared" ref="BG39:BG41" si="215">BB39+BC39-BD39</f>
        <v>2160</v>
      </c>
      <c r="BH39" s="3"/>
      <c r="BI39" s="3"/>
      <c r="BJ39" s="3">
        <v>377</v>
      </c>
      <c r="BK39" s="3">
        <f>BF39+BI39-BJ39+630</f>
        <v>963</v>
      </c>
      <c r="BL39" s="3">
        <f t="shared" ref="BL39:BL48" si="216">BG39+BH39-BI39</f>
        <v>2160</v>
      </c>
      <c r="BM39" s="3">
        <v>540</v>
      </c>
      <c r="BN39" s="3"/>
      <c r="BO39" s="3">
        <v>372</v>
      </c>
      <c r="BP39" s="3">
        <f>BK39+BN39-BO39</f>
        <v>591</v>
      </c>
      <c r="BQ39" s="3">
        <f t="shared" ref="BQ39:BQ48" si="217">BL39+BM39-BN39</f>
        <v>2700</v>
      </c>
      <c r="BR39" s="3"/>
      <c r="BS39" s="3"/>
      <c r="BT39" s="3">
        <v>380</v>
      </c>
      <c r="BU39" s="3">
        <f>BP39+BS39-BT39</f>
        <v>211</v>
      </c>
      <c r="BV39" s="3">
        <f t="shared" ref="BV39:BV48" si="218">BQ39+BR39-BS39</f>
        <v>2700</v>
      </c>
      <c r="BW39" s="3"/>
      <c r="BX39" s="3"/>
      <c r="BY39" s="3">
        <v>380</v>
      </c>
      <c r="BZ39" s="3">
        <f>BU39+BX39-BY39</f>
        <v>-169</v>
      </c>
      <c r="CA39" s="3">
        <f t="shared" ref="CA39:CA48" si="219">BV39+BW39-BX39</f>
        <v>2700</v>
      </c>
      <c r="CB39" s="3"/>
      <c r="CC39" s="3"/>
      <c r="CD39" s="3">
        <v>380</v>
      </c>
      <c r="CE39" s="3">
        <f>BZ39+CC39-CD39</f>
        <v>-549</v>
      </c>
      <c r="CF39" s="3">
        <f t="shared" ref="CF39:CF48" si="220">CA39+CB39-CC39</f>
        <v>2700</v>
      </c>
      <c r="CG39" s="3"/>
      <c r="CH39" s="3"/>
      <c r="CI39" s="3">
        <v>380</v>
      </c>
    </row>
    <row r="40" spans="1:87" x14ac:dyDescent="0.35">
      <c r="A40" s="2" t="s">
        <v>76</v>
      </c>
      <c r="B40" s="2" t="s">
        <v>79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>
        <v>294</v>
      </c>
      <c r="AX40" s="3"/>
      <c r="AY40" s="3">
        <v>294</v>
      </c>
      <c r="AZ40" s="3">
        <v>152</v>
      </c>
      <c r="BA40" s="3">
        <f>AV40+AY40-AZ40</f>
        <v>142</v>
      </c>
      <c r="BB40" s="3">
        <f t="shared" ref="BB40:BB41" si="221">AW40+AX40-AY40</f>
        <v>0</v>
      </c>
      <c r="BC40" s="3">
        <f>175+450</f>
        <v>625</v>
      </c>
      <c r="BD40" s="3">
        <v>175</v>
      </c>
      <c r="BE40" s="3">
        <v>215</v>
      </c>
      <c r="BF40" s="3">
        <f>BA40+BD40-BE40</f>
        <v>102</v>
      </c>
      <c r="BG40" s="3">
        <f t="shared" si="215"/>
        <v>450</v>
      </c>
      <c r="BH40" s="3">
        <v>360</v>
      </c>
      <c r="BI40" s="3">
        <v>350</v>
      </c>
      <c r="BJ40" s="3">
        <v>256</v>
      </c>
      <c r="BK40" s="3">
        <f>BF40+BI40-BJ40</f>
        <v>196</v>
      </c>
      <c r="BL40" s="3">
        <f t="shared" si="216"/>
        <v>460</v>
      </c>
      <c r="BM40" s="3">
        <v>594</v>
      </c>
      <c r="BN40" s="3">
        <v>494</v>
      </c>
      <c r="BO40" s="3">
        <v>275</v>
      </c>
      <c r="BP40" s="3">
        <f>BK40+BN40-BO40</f>
        <v>415</v>
      </c>
      <c r="BQ40" s="3">
        <f t="shared" si="217"/>
        <v>560</v>
      </c>
      <c r="BR40" s="3"/>
      <c r="BS40" s="3"/>
      <c r="BT40" s="3">
        <v>208</v>
      </c>
      <c r="BU40" s="3">
        <f>BP40+BS40-BT40</f>
        <v>207</v>
      </c>
      <c r="BV40" s="3">
        <f t="shared" si="218"/>
        <v>560</v>
      </c>
      <c r="BW40" s="3"/>
      <c r="BX40" s="3"/>
      <c r="BY40" s="3">
        <v>277</v>
      </c>
      <c r="BZ40" s="3">
        <f>BU40+BX40-BY40</f>
        <v>-70</v>
      </c>
      <c r="CA40" s="3">
        <f t="shared" si="219"/>
        <v>560</v>
      </c>
      <c r="CB40" s="3"/>
      <c r="CC40" s="3"/>
      <c r="CD40" s="3">
        <v>277</v>
      </c>
      <c r="CE40" s="3">
        <f>BZ40+CC40-CD40</f>
        <v>-347</v>
      </c>
      <c r="CF40" s="3">
        <f t="shared" si="220"/>
        <v>560</v>
      </c>
      <c r="CG40" s="3"/>
      <c r="CH40" s="3"/>
      <c r="CI40" s="3">
        <v>277</v>
      </c>
    </row>
    <row r="41" spans="1:87" x14ac:dyDescent="0.35">
      <c r="A41" s="2" t="s">
        <v>77</v>
      </c>
      <c r="B41" s="2" t="s">
        <v>80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>
        <v>200</v>
      </c>
      <c r="AW41" s="3">
        <v>200</v>
      </c>
      <c r="AX41" s="3"/>
      <c r="AY41" s="3">
        <v>0</v>
      </c>
      <c r="AZ41" s="3">
        <v>6</v>
      </c>
      <c r="BA41" s="3">
        <f>AV41+AY41-AZ41</f>
        <v>194</v>
      </c>
      <c r="BB41" s="3">
        <f t="shared" si="221"/>
        <v>200</v>
      </c>
      <c r="BC41" s="3"/>
      <c r="BD41" s="3"/>
      <c r="BE41" s="3">
        <v>8</v>
      </c>
      <c r="BF41" s="3">
        <f>BA41+BD41-BE41</f>
        <v>186</v>
      </c>
      <c r="BG41" s="3">
        <f t="shared" si="215"/>
        <v>200</v>
      </c>
      <c r="BH41" s="3"/>
      <c r="BI41" s="3"/>
      <c r="BJ41" s="3">
        <v>9</v>
      </c>
      <c r="BK41" s="3">
        <f>BF41+BI41-BJ41</f>
        <v>177</v>
      </c>
      <c r="BL41" s="3">
        <v>224</v>
      </c>
      <c r="BM41" s="3"/>
      <c r="BN41" s="3">
        <v>170</v>
      </c>
      <c r="BO41" s="3">
        <v>58</v>
      </c>
      <c r="BP41" s="3">
        <f>BK41+BN41-BO41</f>
        <v>289</v>
      </c>
      <c r="BQ41" s="3">
        <f t="shared" si="217"/>
        <v>54</v>
      </c>
      <c r="BR41" s="3"/>
      <c r="BS41" s="3"/>
      <c r="BT41" s="3">
        <v>75</v>
      </c>
      <c r="BU41" s="3">
        <f>BP41+BS41-BT41</f>
        <v>214</v>
      </c>
      <c r="BV41" s="3">
        <f t="shared" si="218"/>
        <v>54</v>
      </c>
      <c r="BW41" s="3"/>
      <c r="BX41" s="3"/>
      <c r="BY41" s="3">
        <v>42</v>
      </c>
      <c r="BZ41" s="3">
        <f>BU41+BX41-BY41</f>
        <v>172</v>
      </c>
      <c r="CA41" s="3">
        <f t="shared" si="219"/>
        <v>54</v>
      </c>
      <c r="CB41" s="3"/>
      <c r="CC41" s="3"/>
      <c r="CD41" s="3">
        <v>42</v>
      </c>
      <c r="CE41" s="3">
        <f>BZ41+CC41-CD41</f>
        <v>130</v>
      </c>
      <c r="CF41" s="3">
        <f t="shared" si="220"/>
        <v>54</v>
      </c>
      <c r="CG41" s="3"/>
      <c r="CH41" s="3"/>
      <c r="CI41" s="3">
        <v>42</v>
      </c>
    </row>
    <row r="42" spans="1:87" x14ac:dyDescent="0.35">
      <c r="A42" s="2" t="s">
        <v>81</v>
      </c>
      <c r="B42" s="2" t="s">
        <v>82</v>
      </c>
      <c r="C42" s="3">
        <v>16</v>
      </c>
      <c r="D42" s="3">
        <v>0</v>
      </c>
      <c r="E42" s="3">
        <v>32</v>
      </c>
      <c r="F42" s="3"/>
      <c r="G42" s="3"/>
      <c r="H42" s="3">
        <f>C42+F42-G42</f>
        <v>16</v>
      </c>
      <c r="I42" s="3">
        <f t="shared" ref="I42" si="222">D42+E42-F42</f>
        <v>32</v>
      </c>
      <c r="J42" s="3">
        <v>40</v>
      </c>
      <c r="K42" s="3">
        <v>56</v>
      </c>
      <c r="L42" s="3">
        <v>6</v>
      </c>
      <c r="M42" s="3">
        <f>H42+K42-L42</f>
        <v>66</v>
      </c>
      <c r="N42" s="3">
        <f t="shared" ref="N42" si="223">I42+J42-K42</f>
        <v>16</v>
      </c>
      <c r="O42" s="3">
        <v>31</v>
      </c>
      <c r="P42" s="3">
        <v>28</v>
      </c>
      <c r="Q42" s="3">
        <v>0</v>
      </c>
      <c r="R42" s="3">
        <f>M42+P42-Q42</f>
        <v>94</v>
      </c>
      <c r="S42" s="3">
        <f t="shared" ref="S42" si="224">N42+O42-P42</f>
        <v>19</v>
      </c>
      <c r="T42" s="3">
        <v>12</v>
      </c>
      <c r="U42" s="3">
        <v>0</v>
      </c>
      <c r="V42" s="3">
        <v>17</v>
      </c>
      <c r="W42" s="3">
        <f>R42+U42-V42</f>
        <v>77</v>
      </c>
      <c r="X42" s="3">
        <f t="shared" ref="X42" si="225">S42+T42-U42</f>
        <v>31</v>
      </c>
      <c r="Y42" s="3">
        <v>0</v>
      </c>
      <c r="Z42" s="3">
        <v>0</v>
      </c>
      <c r="AA42" s="3">
        <v>23</v>
      </c>
      <c r="AB42" s="3">
        <f t="shared" ref="AB42" si="226">W42+Z42-AA42</f>
        <v>54</v>
      </c>
      <c r="AC42" s="3">
        <f t="shared" ref="AC42" si="227">X42+Y42-Z42</f>
        <v>31</v>
      </c>
      <c r="AD42" s="3"/>
      <c r="AE42" s="3">
        <v>0</v>
      </c>
      <c r="AF42" s="3">
        <v>9</v>
      </c>
      <c r="AG42" s="3">
        <f>AB42+AE42-AF42</f>
        <v>45</v>
      </c>
      <c r="AH42" s="3">
        <f t="shared" ref="AH42" si="228">AC42+AD42-AE42</f>
        <v>31</v>
      </c>
      <c r="AI42" s="3">
        <f>41+18</f>
        <v>59</v>
      </c>
      <c r="AJ42" s="3">
        <v>72</v>
      </c>
      <c r="AK42" s="3">
        <v>58</v>
      </c>
      <c r="AL42" s="3">
        <f>AG42+AJ42-AK42</f>
        <v>59</v>
      </c>
      <c r="AM42" s="3">
        <f t="shared" ref="AM42" si="229">AH42+AI42-AJ42</f>
        <v>18</v>
      </c>
      <c r="AN42" s="3">
        <v>57</v>
      </c>
      <c r="AO42" s="3">
        <v>28</v>
      </c>
      <c r="AP42" s="3">
        <v>23</v>
      </c>
      <c r="AQ42" s="3">
        <f>AL42+AO42-AP42</f>
        <v>64</v>
      </c>
      <c r="AR42" s="3"/>
      <c r="AS42" s="3"/>
      <c r="AT42" s="3"/>
      <c r="AU42" s="3"/>
      <c r="AV42" s="3">
        <v>14</v>
      </c>
      <c r="AW42" s="3">
        <v>44</v>
      </c>
      <c r="AX42" s="3">
        <v>96</v>
      </c>
      <c r="AY42" s="3">
        <v>92</v>
      </c>
      <c r="AZ42" s="3">
        <v>14</v>
      </c>
      <c r="BA42" s="3">
        <f>AV42+AY42-AZ42</f>
        <v>92</v>
      </c>
      <c r="BB42" s="3">
        <v>74</v>
      </c>
      <c r="BC42" s="3"/>
      <c r="BD42" s="3">
        <v>0</v>
      </c>
      <c r="BE42" s="3">
        <v>10</v>
      </c>
      <c r="BF42" s="3">
        <f>BA42+BD42-BE42</f>
        <v>82</v>
      </c>
      <c r="BG42" s="3">
        <f t="shared" ref="BG42" si="230">BB42+BC42-BD42</f>
        <v>74</v>
      </c>
      <c r="BH42" s="3"/>
      <c r="BI42" s="3">
        <v>74</v>
      </c>
      <c r="BJ42" s="3">
        <v>19</v>
      </c>
      <c r="BK42" s="3">
        <f>BF42+BI42-BJ42</f>
        <v>137</v>
      </c>
      <c r="BL42" s="3">
        <f t="shared" si="216"/>
        <v>0</v>
      </c>
      <c r="BM42" s="3"/>
      <c r="BN42" s="3"/>
      <c r="BO42" s="3">
        <v>20</v>
      </c>
      <c r="BP42" s="3">
        <f>BK42+BN42-BO42</f>
        <v>117</v>
      </c>
      <c r="BQ42" s="3">
        <f t="shared" si="217"/>
        <v>0</v>
      </c>
      <c r="BR42" s="3"/>
      <c r="BS42" s="3"/>
      <c r="BT42" s="3">
        <v>21</v>
      </c>
      <c r="BU42" s="3">
        <f>BP42+BS42-BT42</f>
        <v>96</v>
      </c>
      <c r="BV42" s="3">
        <f t="shared" si="218"/>
        <v>0</v>
      </c>
      <c r="BW42" s="3"/>
      <c r="BX42" s="3"/>
      <c r="BY42" s="3">
        <v>10</v>
      </c>
      <c r="BZ42" s="3">
        <f>BU42+BX42-BY42</f>
        <v>86</v>
      </c>
      <c r="CA42" s="3">
        <f t="shared" si="219"/>
        <v>0</v>
      </c>
      <c r="CB42" s="3"/>
      <c r="CC42" s="3"/>
      <c r="CD42" s="3">
        <v>20</v>
      </c>
      <c r="CE42" s="3">
        <f>BZ42+CC42-CD42</f>
        <v>66</v>
      </c>
      <c r="CF42" s="3">
        <f t="shared" si="220"/>
        <v>0</v>
      </c>
      <c r="CG42" s="3"/>
      <c r="CH42" s="3"/>
      <c r="CI42" s="3">
        <v>20</v>
      </c>
    </row>
    <row r="43" spans="1:87" x14ac:dyDescent="0.35">
      <c r="A43" s="2" t="s">
        <v>83</v>
      </c>
      <c r="B43" s="2" t="s">
        <v>84</v>
      </c>
      <c r="C43" s="3">
        <v>26</v>
      </c>
      <c r="D43" s="3">
        <v>0</v>
      </c>
      <c r="E43" s="3"/>
      <c r="F43" s="3"/>
      <c r="G43" s="3"/>
      <c r="H43" s="3">
        <f t="shared" ref="H43:H48" si="231">C43+F43-G43</f>
        <v>26</v>
      </c>
      <c r="I43" s="3">
        <f t="shared" si="207"/>
        <v>0</v>
      </c>
      <c r="J43" s="3">
        <v>32</v>
      </c>
      <c r="K43" s="3">
        <v>27</v>
      </c>
      <c r="L43" s="3">
        <v>0</v>
      </c>
      <c r="M43" s="3">
        <f t="shared" ref="M43:M48" si="232">H43+K43-L43</f>
        <v>53</v>
      </c>
      <c r="N43" s="3">
        <f t="shared" si="208"/>
        <v>5</v>
      </c>
      <c r="O43" s="3">
        <v>16</v>
      </c>
      <c r="P43" s="3">
        <v>0</v>
      </c>
      <c r="Q43" s="3">
        <v>15</v>
      </c>
      <c r="R43" s="3">
        <f t="shared" ref="R43:R48" si="233">M43+P43-Q43</f>
        <v>38</v>
      </c>
      <c r="S43" s="3">
        <f t="shared" si="209"/>
        <v>21</v>
      </c>
      <c r="T43" s="3">
        <v>44</v>
      </c>
      <c r="U43" s="3">
        <v>32</v>
      </c>
      <c r="V43" s="3">
        <v>6</v>
      </c>
      <c r="W43" s="3">
        <f t="shared" ref="W43" si="234">R43+U43-V43</f>
        <v>64</v>
      </c>
      <c r="X43" s="3">
        <f t="shared" si="210"/>
        <v>33</v>
      </c>
      <c r="Y43" s="3">
        <v>0</v>
      </c>
      <c r="Z43" s="3">
        <v>0</v>
      </c>
      <c r="AA43" s="3">
        <v>13</v>
      </c>
      <c r="AB43" s="3">
        <f t="shared" si="211"/>
        <v>51</v>
      </c>
      <c r="AC43" s="3">
        <f t="shared" si="212"/>
        <v>33</v>
      </c>
      <c r="AD43" s="3"/>
      <c r="AE43" s="3">
        <v>0</v>
      </c>
      <c r="AF43" s="3">
        <v>14</v>
      </c>
      <c r="AG43" s="3">
        <v>50</v>
      </c>
      <c r="AH43" s="3">
        <f t="shared" si="213"/>
        <v>33</v>
      </c>
      <c r="AI43" s="3">
        <v>35</v>
      </c>
      <c r="AJ43" s="3">
        <v>0</v>
      </c>
      <c r="AK43" s="3">
        <v>25</v>
      </c>
      <c r="AL43" s="3">
        <f t="shared" ref="AL43:AL44" si="235">AG43+AJ43-AK43</f>
        <v>25</v>
      </c>
      <c r="AM43" s="3">
        <v>44</v>
      </c>
      <c r="AN43" s="3"/>
      <c r="AO43" s="3">
        <v>0</v>
      </c>
      <c r="AP43" s="3">
        <v>18</v>
      </c>
      <c r="AQ43" s="3">
        <v>35</v>
      </c>
      <c r="AR43" s="3"/>
      <c r="AS43" s="3"/>
      <c r="AT43" s="3"/>
      <c r="AU43" s="3"/>
      <c r="AV43" s="3">
        <v>30</v>
      </c>
      <c r="AW43" s="3">
        <f>62+96</f>
        <v>158</v>
      </c>
      <c r="AX43" s="3">
        <v>96</v>
      </c>
      <c r="AY43" s="3">
        <v>62</v>
      </c>
      <c r="AZ43" s="3">
        <v>0</v>
      </c>
      <c r="BA43" s="3">
        <f t="shared" ref="BA43:BA48" si="236">AV43+AY43-AZ43</f>
        <v>92</v>
      </c>
      <c r="BB43" s="3">
        <f t="shared" ref="BB43:BB48" si="237">AW43+AX43-AY43</f>
        <v>192</v>
      </c>
      <c r="BC43" s="3"/>
      <c r="BD43" s="3">
        <v>96</v>
      </c>
      <c r="BE43" s="3">
        <v>0</v>
      </c>
      <c r="BF43" s="3">
        <f t="shared" ref="BF43:BF48" si="238">BA43+BD43-BE43</f>
        <v>188</v>
      </c>
      <c r="BG43" s="3">
        <f t="shared" ref="BG43:BG48" si="239">BB43+BC43-BD43</f>
        <v>96</v>
      </c>
      <c r="BH43" s="3"/>
      <c r="BI43" s="3"/>
      <c r="BJ43" s="3">
        <v>0</v>
      </c>
      <c r="BK43" s="3">
        <f t="shared" ref="BK43:BK48" si="240">BF43+BI43-BJ43</f>
        <v>188</v>
      </c>
      <c r="BL43" s="3">
        <f t="shared" si="216"/>
        <v>96</v>
      </c>
      <c r="BM43" s="3"/>
      <c r="BN43" s="3"/>
      <c r="BO43" s="3">
        <v>0</v>
      </c>
      <c r="BP43" s="3">
        <f t="shared" ref="BP43:BP48" si="241">BK43+BN43-BO43</f>
        <v>188</v>
      </c>
      <c r="BQ43" s="3">
        <f t="shared" si="217"/>
        <v>96</v>
      </c>
      <c r="BR43" s="3"/>
      <c r="BS43" s="3"/>
      <c r="BT43" s="3">
        <v>0</v>
      </c>
      <c r="BU43" s="3">
        <f t="shared" ref="BU43:BU48" si="242">BP43+BS43-BT43</f>
        <v>188</v>
      </c>
      <c r="BV43" s="3">
        <f t="shared" si="218"/>
        <v>96</v>
      </c>
      <c r="BW43" s="3"/>
      <c r="BX43" s="3"/>
      <c r="BY43" s="3">
        <v>0</v>
      </c>
      <c r="BZ43" s="3">
        <f t="shared" ref="BZ43:BZ48" si="243">BU43+BX43-BY43</f>
        <v>188</v>
      </c>
      <c r="CA43" s="3">
        <f t="shared" si="219"/>
        <v>96</v>
      </c>
      <c r="CB43" s="3"/>
      <c r="CC43" s="3"/>
      <c r="CD43" s="3">
        <v>0</v>
      </c>
      <c r="CE43" s="3">
        <f t="shared" ref="CE43:CE48" si="244">BZ43+CC43-CD43</f>
        <v>188</v>
      </c>
      <c r="CF43" s="3">
        <f t="shared" si="220"/>
        <v>96</v>
      </c>
      <c r="CG43" s="3"/>
      <c r="CH43" s="3"/>
      <c r="CI43" s="3">
        <v>0</v>
      </c>
    </row>
    <row r="44" spans="1:87" x14ac:dyDescent="0.35">
      <c r="A44" s="2" t="s">
        <v>85</v>
      </c>
      <c r="B44" s="2" t="s">
        <v>86</v>
      </c>
      <c r="C44" s="3">
        <v>29</v>
      </c>
      <c r="D44" s="3">
        <v>0</v>
      </c>
      <c r="E44" s="3">
        <v>12</v>
      </c>
      <c r="F44" s="3"/>
      <c r="G44" s="3"/>
      <c r="H44" s="3">
        <f t="shared" si="231"/>
        <v>29</v>
      </c>
      <c r="I44" s="3">
        <f t="shared" si="207"/>
        <v>12</v>
      </c>
      <c r="J44" s="3">
        <v>12</v>
      </c>
      <c r="K44" s="3">
        <v>12</v>
      </c>
      <c r="L44" s="3">
        <v>25</v>
      </c>
      <c r="M44" s="3">
        <f t="shared" si="232"/>
        <v>16</v>
      </c>
      <c r="N44" s="3">
        <f t="shared" si="208"/>
        <v>12</v>
      </c>
      <c r="O44" s="3">
        <v>80</v>
      </c>
      <c r="P44" s="3">
        <v>12</v>
      </c>
      <c r="Q44" s="3">
        <v>20</v>
      </c>
      <c r="R44" s="3">
        <f t="shared" si="233"/>
        <v>8</v>
      </c>
      <c r="S44" s="3">
        <f t="shared" si="209"/>
        <v>80</v>
      </c>
      <c r="T44" s="3">
        <v>19</v>
      </c>
      <c r="U44" s="3">
        <v>56</v>
      </c>
      <c r="V44" s="3">
        <v>56</v>
      </c>
      <c r="W44" s="3">
        <v>40</v>
      </c>
      <c r="X44" s="3">
        <f t="shared" si="210"/>
        <v>43</v>
      </c>
      <c r="Y44" s="3">
        <v>97</v>
      </c>
      <c r="Z44" s="3">
        <v>60</v>
      </c>
      <c r="AA44" s="3">
        <v>70</v>
      </c>
      <c r="AB44" s="3">
        <f t="shared" si="211"/>
        <v>30</v>
      </c>
      <c r="AC44" s="3">
        <f t="shared" si="212"/>
        <v>80</v>
      </c>
      <c r="AD44" s="3">
        <v>88</v>
      </c>
      <c r="AE44" s="3">
        <v>108</v>
      </c>
      <c r="AF44" s="3">
        <v>38</v>
      </c>
      <c r="AG44" s="3">
        <f t="shared" ref="AG44:AG48" si="245">AB44+AE44-AF44</f>
        <v>100</v>
      </c>
      <c r="AH44" s="3">
        <f t="shared" si="213"/>
        <v>60</v>
      </c>
      <c r="AI44" s="3">
        <v>16</v>
      </c>
      <c r="AJ44" s="3">
        <v>60</v>
      </c>
      <c r="AK44" s="3">
        <v>50</v>
      </c>
      <c r="AL44" s="3">
        <f t="shared" si="235"/>
        <v>110</v>
      </c>
      <c r="AM44" s="3">
        <v>6</v>
      </c>
      <c r="AN44" s="3">
        <v>51</v>
      </c>
      <c r="AO44" s="3">
        <v>24</v>
      </c>
      <c r="AP44" s="3">
        <v>26</v>
      </c>
      <c r="AQ44" s="3">
        <f t="shared" ref="AQ44" si="246">AL44+AO44-AP44</f>
        <v>108</v>
      </c>
      <c r="AR44" s="3"/>
      <c r="AS44" s="3"/>
      <c r="AT44" s="3"/>
      <c r="AU44" s="3"/>
      <c r="AV44" s="3">
        <v>0</v>
      </c>
      <c r="AW44" s="3">
        <v>90</v>
      </c>
      <c r="AX44" s="3">
        <v>96</v>
      </c>
      <c r="AY44" s="3">
        <v>90</v>
      </c>
      <c r="AZ44" s="3">
        <v>0</v>
      </c>
      <c r="BA44" s="3">
        <f t="shared" si="236"/>
        <v>90</v>
      </c>
      <c r="BB44" s="3">
        <f t="shared" si="237"/>
        <v>96</v>
      </c>
      <c r="BC44" s="3"/>
      <c r="BD44" s="3">
        <v>0</v>
      </c>
      <c r="BE44" s="3">
        <v>1</v>
      </c>
      <c r="BF44" s="3">
        <f t="shared" si="238"/>
        <v>89</v>
      </c>
      <c r="BG44" s="3">
        <f t="shared" si="239"/>
        <v>96</v>
      </c>
      <c r="BH44" s="3"/>
      <c r="BI44" s="3"/>
      <c r="BJ44" s="3">
        <v>0</v>
      </c>
      <c r="BK44" s="3">
        <f t="shared" si="240"/>
        <v>89</v>
      </c>
      <c r="BL44" s="3">
        <f t="shared" si="216"/>
        <v>96</v>
      </c>
      <c r="BM44" s="3"/>
      <c r="BN44" s="3"/>
      <c r="BO44" s="3">
        <v>0</v>
      </c>
      <c r="BP44" s="3">
        <f t="shared" si="241"/>
        <v>89</v>
      </c>
      <c r="BQ44" s="3">
        <f t="shared" si="217"/>
        <v>96</v>
      </c>
      <c r="BR44" s="3"/>
      <c r="BS44" s="3"/>
      <c r="BT44" s="3">
        <v>10</v>
      </c>
      <c r="BU44" s="3">
        <f t="shared" si="242"/>
        <v>79</v>
      </c>
      <c r="BV44" s="3">
        <f t="shared" si="218"/>
        <v>96</v>
      </c>
      <c r="BW44" s="3"/>
      <c r="BX44" s="3"/>
      <c r="BY44" s="3">
        <v>0</v>
      </c>
      <c r="BZ44" s="3">
        <f t="shared" si="243"/>
        <v>79</v>
      </c>
      <c r="CA44" s="3">
        <f t="shared" si="219"/>
        <v>96</v>
      </c>
      <c r="CB44" s="3"/>
      <c r="CC44" s="3"/>
      <c r="CD44" s="3">
        <v>0</v>
      </c>
      <c r="CE44" s="3">
        <f t="shared" si="244"/>
        <v>79</v>
      </c>
      <c r="CF44" s="3">
        <f t="shared" si="220"/>
        <v>96</v>
      </c>
      <c r="CG44" s="3"/>
      <c r="CH44" s="3"/>
      <c r="CI44" s="3">
        <v>0</v>
      </c>
    </row>
    <row r="45" spans="1:87" x14ac:dyDescent="0.35">
      <c r="A45" s="2" t="s">
        <v>87</v>
      </c>
      <c r="B45" s="2" t="s">
        <v>88</v>
      </c>
      <c r="C45" s="3">
        <v>7</v>
      </c>
      <c r="D45" s="3">
        <v>0</v>
      </c>
      <c r="E45" s="3"/>
      <c r="F45" s="3"/>
      <c r="G45" s="3"/>
      <c r="H45" s="3">
        <f t="shared" si="231"/>
        <v>7</v>
      </c>
      <c r="I45" s="3">
        <f t="shared" si="207"/>
        <v>0</v>
      </c>
      <c r="J45" s="3">
        <f>18+28</f>
        <v>46</v>
      </c>
      <c r="K45" s="3">
        <v>18</v>
      </c>
      <c r="L45" s="3">
        <v>18</v>
      </c>
      <c r="M45" s="3">
        <f t="shared" si="232"/>
        <v>7</v>
      </c>
      <c r="N45" s="3">
        <f t="shared" si="208"/>
        <v>28</v>
      </c>
      <c r="O45" s="3">
        <v>0</v>
      </c>
      <c r="P45" s="3">
        <v>28</v>
      </c>
      <c r="Q45" s="3">
        <v>7</v>
      </c>
      <c r="R45" s="3">
        <f t="shared" si="233"/>
        <v>28</v>
      </c>
      <c r="S45" s="3">
        <f t="shared" si="209"/>
        <v>0</v>
      </c>
      <c r="T45" s="3">
        <v>28</v>
      </c>
      <c r="U45" s="3">
        <v>16</v>
      </c>
      <c r="V45" s="3">
        <v>28</v>
      </c>
      <c r="W45" s="3">
        <f t="shared" ref="W45:W48" si="247">R45+U45-V45</f>
        <v>16</v>
      </c>
      <c r="X45" s="3">
        <f t="shared" si="210"/>
        <v>12</v>
      </c>
      <c r="Y45" s="3"/>
      <c r="Z45" s="3">
        <v>0</v>
      </c>
      <c r="AA45" s="3">
        <v>8</v>
      </c>
      <c r="AB45" s="3">
        <v>12</v>
      </c>
      <c r="AC45" s="3">
        <f t="shared" si="212"/>
        <v>12</v>
      </c>
      <c r="AD45" s="3">
        <v>4</v>
      </c>
      <c r="AE45" s="3">
        <v>0</v>
      </c>
      <c r="AF45" s="3">
        <v>11</v>
      </c>
      <c r="AG45" s="3">
        <f t="shared" si="245"/>
        <v>1</v>
      </c>
      <c r="AH45" s="3">
        <f t="shared" si="213"/>
        <v>16</v>
      </c>
      <c r="AI45" s="3"/>
      <c r="AJ45" s="3">
        <v>0</v>
      </c>
      <c r="AK45" s="3">
        <v>4</v>
      </c>
      <c r="AL45" s="3">
        <v>7</v>
      </c>
      <c r="AM45" s="3">
        <f t="shared" ref="AM45:AM48" si="248">AH45+AI45-AJ45</f>
        <v>16</v>
      </c>
      <c r="AN45" s="3">
        <v>31</v>
      </c>
      <c r="AO45" s="3">
        <v>16</v>
      </c>
      <c r="AP45" s="3">
        <v>20</v>
      </c>
      <c r="AQ45" s="3">
        <v>8</v>
      </c>
      <c r="AR45" s="3"/>
      <c r="AS45" s="3"/>
      <c r="AT45" s="3"/>
      <c r="AU45" s="3"/>
      <c r="AV45" s="3"/>
      <c r="AW45" s="3">
        <v>130</v>
      </c>
      <c r="AX45" s="3">
        <v>0</v>
      </c>
      <c r="AY45" s="3"/>
      <c r="AZ45" s="3">
        <v>0</v>
      </c>
      <c r="BA45" s="3">
        <f t="shared" si="236"/>
        <v>0</v>
      </c>
      <c r="BB45" s="3">
        <f t="shared" si="237"/>
        <v>130</v>
      </c>
      <c r="BC45" s="3"/>
      <c r="BD45" s="3">
        <v>0</v>
      </c>
      <c r="BE45" s="3">
        <v>0</v>
      </c>
      <c r="BF45" s="3">
        <f t="shared" si="238"/>
        <v>0</v>
      </c>
      <c r="BG45" s="3">
        <f t="shared" si="239"/>
        <v>130</v>
      </c>
      <c r="BH45" s="3"/>
      <c r="BI45" s="3"/>
      <c r="BJ45" s="3">
        <v>0</v>
      </c>
      <c r="BK45" s="3">
        <f t="shared" si="240"/>
        <v>0</v>
      </c>
      <c r="BL45" s="3">
        <f t="shared" si="216"/>
        <v>130</v>
      </c>
      <c r="BM45" s="3"/>
      <c r="BN45" s="3"/>
      <c r="BO45" s="3">
        <v>0</v>
      </c>
      <c r="BP45" s="3">
        <f t="shared" si="241"/>
        <v>0</v>
      </c>
      <c r="BQ45" s="3">
        <f t="shared" si="217"/>
        <v>130</v>
      </c>
      <c r="BR45" s="3"/>
      <c r="BS45" s="3"/>
      <c r="BT45" s="3">
        <v>0</v>
      </c>
      <c r="BU45" s="3">
        <f t="shared" si="242"/>
        <v>0</v>
      </c>
      <c r="BV45" s="3">
        <f t="shared" si="218"/>
        <v>130</v>
      </c>
      <c r="BW45" s="3"/>
      <c r="BX45" s="3"/>
      <c r="BY45" s="3">
        <v>0</v>
      </c>
      <c r="BZ45" s="3">
        <f t="shared" si="243"/>
        <v>0</v>
      </c>
      <c r="CA45" s="3">
        <f t="shared" si="219"/>
        <v>130</v>
      </c>
      <c r="CB45" s="3"/>
      <c r="CC45" s="3"/>
      <c r="CD45" s="3">
        <v>0</v>
      </c>
      <c r="CE45" s="3">
        <f t="shared" si="244"/>
        <v>0</v>
      </c>
      <c r="CF45" s="3">
        <f t="shared" si="220"/>
        <v>130</v>
      </c>
      <c r="CG45" s="3"/>
      <c r="CH45" s="3"/>
      <c r="CI45" s="3">
        <v>0</v>
      </c>
    </row>
    <row r="46" spans="1:87" x14ac:dyDescent="0.35">
      <c r="A46" s="2" t="s">
        <v>89</v>
      </c>
      <c r="B46" s="2" t="s">
        <v>90</v>
      </c>
      <c r="C46" s="3">
        <v>16</v>
      </c>
      <c r="D46" s="3">
        <v>52</v>
      </c>
      <c r="E46" s="3"/>
      <c r="F46" s="3"/>
      <c r="G46" s="3"/>
      <c r="H46" s="3">
        <f t="shared" si="231"/>
        <v>16</v>
      </c>
      <c r="I46" s="3">
        <f t="shared" si="207"/>
        <v>52</v>
      </c>
      <c r="J46" s="3">
        <v>0</v>
      </c>
      <c r="K46" s="3">
        <v>0</v>
      </c>
      <c r="L46" s="3">
        <v>0</v>
      </c>
      <c r="M46" s="3">
        <f t="shared" si="232"/>
        <v>16</v>
      </c>
      <c r="N46" s="3">
        <f t="shared" si="208"/>
        <v>52</v>
      </c>
      <c r="O46" s="3">
        <v>0</v>
      </c>
      <c r="P46" s="3">
        <v>0</v>
      </c>
      <c r="Q46" s="3">
        <v>0</v>
      </c>
      <c r="R46" s="3">
        <f t="shared" si="233"/>
        <v>16</v>
      </c>
      <c r="S46" s="3">
        <f t="shared" si="209"/>
        <v>52</v>
      </c>
      <c r="T46" s="3"/>
      <c r="U46" s="3">
        <v>0</v>
      </c>
      <c r="V46" s="3">
        <v>0</v>
      </c>
      <c r="W46" s="3">
        <f t="shared" si="247"/>
        <v>16</v>
      </c>
      <c r="X46" s="3">
        <f t="shared" si="210"/>
        <v>52</v>
      </c>
      <c r="Y46" s="3"/>
      <c r="Z46" s="3">
        <v>0</v>
      </c>
      <c r="AA46" s="3">
        <v>0</v>
      </c>
      <c r="AB46" s="3">
        <f t="shared" ref="AB46:AB48" si="249">W46+Z46-AA46</f>
        <v>16</v>
      </c>
      <c r="AC46" s="3">
        <f t="shared" si="212"/>
        <v>52</v>
      </c>
      <c r="AD46" s="3"/>
      <c r="AE46" s="3">
        <v>0</v>
      </c>
      <c r="AF46" s="3">
        <v>0</v>
      </c>
      <c r="AG46" s="3">
        <f t="shared" si="245"/>
        <v>16</v>
      </c>
      <c r="AH46" s="3">
        <f t="shared" si="213"/>
        <v>52</v>
      </c>
      <c r="AI46" s="3"/>
      <c r="AJ46" s="3">
        <v>0</v>
      </c>
      <c r="AK46" s="3">
        <v>0</v>
      </c>
      <c r="AL46" s="3">
        <f t="shared" ref="AL46:AL48" si="250">AG46+AJ46-AK46</f>
        <v>16</v>
      </c>
      <c r="AM46" s="3">
        <f t="shared" si="248"/>
        <v>52</v>
      </c>
      <c r="AN46" s="3"/>
      <c r="AO46" s="3">
        <v>0</v>
      </c>
      <c r="AP46" s="3">
        <v>0</v>
      </c>
      <c r="AQ46" s="3">
        <f t="shared" ref="AQ46:AQ48" si="251">AL46+AO46-AP46</f>
        <v>16</v>
      </c>
      <c r="AR46" s="3"/>
      <c r="AS46" s="3"/>
      <c r="AT46" s="3"/>
      <c r="AU46" s="3"/>
      <c r="AV46" s="3">
        <v>0</v>
      </c>
      <c r="AW46" s="3">
        <v>288</v>
      </c>
      <c r="AX46" s="3">
        <v>130</v>
      </c>
      <c r="AY46" s="3">
        <v>288</v>
      </c>
      <c r="AZ46" s="3">
        <v>0</v>
      </c>
      <c r="BA46" s="3">
        <f t="shared" si="236"/>
        <v>288</v>
      </c>
      <c r="BB46" s="3">
        <f t="shared" si="237"/>
        <v>130</v>
      </c>
      <c r="BC46" s="3"/>
      <c r="BD46" s="3">
        <v>0</v>
      </c>
      <c r="BE46" s="3">
        <v>0</v>
      </c>
      <c r="BF46" s="3">
        <f t="shared" si="238"/>
        <v>288</v>
      </c>
      <c r="BG46" s="3">
        <f t="shared" si="239"/>
        <v>130</v>
      </c>
      <c r="BH46" s="3"/>
      <c r="BI46" s="3"/>
      <c r="BJ46" s="3">
        <v>0</v>
      </c>
      <c r="BK46" s="3">
        <f t="shared" si="240"/>
        <v>288</v>
      </c>
      <c r="BL46" s="3">
        <f t="shared" si="216"/>
        <v>130</v>
      </c>
      <c r="BM46" s="3"/>
      <c r="BN46" s="3"/>
      <c r="BO46" s="3">
        <v>0</v>
      </c>
      <c r="BP46" s="3">
        <f t="shared" si="241"/>
        <v>288</v>
      </c>
      <c r="BQ46" s="3">
        <f t="shared" si="217"/>
        <v>130</v>
      </c>
      <c r="BR46" s="3"/>
      <c r="BS46" s="3"/>
      <c r="BT46" s="3">
        <v>0</v>
      </c>
      <c r="BU46" s="3">
        <f t="shared" si="242"/>
        <v>288</v>
      </c>
      <c r="BV46" s="3">
        <f t="shared" si="218"/>
        <v>130</v>
      </c>
      <c r="BW46" s="3"/>
      <c r="BX46" s="3"/>
      <c r="BY46" s="3">
        <v>0</v>
      </c>
      <c r="BZ46" s="3">
        <f t="shared" si="243"/>
        <v>288</v>
      </c>
      <c r="CA46" s="3">
        <f t="shared" si="219"/>
        <v>130</v>
      </c>
      <c r="CB46" s="3"/>
      <c r="CC46" s="3"/>
      <c r="CD46" s="3">
        <v>0</v>
      </c>
      <c r="CE46" s="3">
        <f t="shared" si="244"/>
        <v>288</v>
      </c>
      <c r="CF46" s="3">
        <f t="shared" si="220"/>
        <v>130</v>
      </c>
      <c r="CG46" s="3"/>
      <c r="CH46" s="3"/>
      <c r="CI46" s="3">
        <v>0</v>
      </c>
    </row>
    <row r="47" spans="1:87" x14ac:dyDescent="0.35">
      <c r="A47" s="2" t="s">
        <v>91</v>
      </c>
      <c r="B47" s="2" t="s">
        <v>92</v>
      </c>
      <c r="C47" s="3">
        <v>-41</v>
      </c>
      <c r="D47" s="3">
        <v>0</v>
      </c>
      <c r="E47" s="3">
        <v>60</v>
      </c>
      <c r="F47" s="3"/>
      <c r="G47" s="3"/>
      <c r="H47" s="3">
        <f t="shared" si="231"/>
        <v>-41</v>
      </c>
      <c r="I47" s="3">
        <f t="shared" si="207"/>
        <v>60</v>
      </c>
      <c r="J47" s="3">
        <v>82</v>
      </c>
      <c r="K47" s="3">
        <v>115</v>
      </c>
      <c r="L47" s="3">
        <v>98</v>
      </c>
      <c r="M47" s="3">
        <f t="shared" si="232"/>
        <v>-24</v>
      </c>
      <c r="N47" s="3">
        <f t="shared" si="208"/>
        <v>27</v>
      </c>
      <c r="O47" s="3">
        <v>50</v>
      </c>
      <c r="P47" s="3">
        <v>64</v>
      </c>
      <c r="Q47" s="3">
        <v>28</v>
      </c>
      <c r="R47" s="3">
        <f t="shared" si="233"/>
        <v>12</v>
      </c>
      <c r="S47" s="3">
        <f t="shared" si="209"/>
        <v>13</v>
      </c>
      <c r="T47" s="3">
        <v>43</v>
      </c>
      <c r="U47" s="3">
        <v>28</v>
      </c>
      <c r="V47" s="3">
        <v>9</v>
      </c>
      <c r="W47" s="3">
        <f t="shared" si="247"/>
        <v>31</v>
      </c>
      <c r="X47" s="3">
        <f t="shared" si="210"/>
        <v>28</v>
      </c>
      <c r="Y47" s="3">
        <v>38</v>
      </c>
      <c r="Z47" s="3">
        <v>12</v>
      </c>
      <c r="AA47" s="3">
        <v>35</v>
      </c>
      <c r="AB47" s="3">
        <f t="shared" si="249"/>
        <v>8</v>
      </c>
      <c r="AC47" s="3">
        <f t="shared" si="212"/>
        <v>54</v>
      </c>
      <c r="AD47" s="3">
        <v>34</v>
      </c>
      <c r="AE47" s="3">
        <v>56</v>
      </c>
      <c r="AF47" s="3">
        <v>42</v>
      </c>
      <c r="AG47" s="3">
        <f t="shared" si="245"/>
        <v>22</v>
      </c>
      <c r="AH47" s="3">
        <f t="shared" si="213"/>
        <v>32</v>
      </c>
      <c r="AI47" s="3">
        <v>16</v>
      </c>
      <c r="AJ47" s="3">
        <v>16</v>
      </c>
      <c r="AK47" s="3">
        <v>13</v>
      </c>
      <c r="AL47" s="3">
        <f t="shared" si="250"/>
        <v>25</v>
      </c>
      <c r="AM47" s="3">
        <f t="shared" si="248"/>
        <v>32</v>
      </c>
      <c r="AN47" s="3"/>
      <c r="AO47" s="3">
        <v>0</v>
      </c>
      <c r="AP47" s="3">
        <v>15</v>
      </c>
      <c r="AQ47" s="3">
        <f t="shared" si="251"/>
        <v>10</v>
      </c>
      <c r="AR47" s="3"/>
      <c r="AS47" s="3"/>
      <c r="AT47" s="3"/>
      <c r="AU47" s="3"/>
      <c r="AV47" s="3">
        <v>100</v>
      </c>
      <c r="AW47" s="3">
        <v>100</v>
      </c>
      <c r="AX47" s="3"/>
      <c r="AY47" s="3"/>
      <c r="AZ47" s="3">
        <v>14</v>
      </c>
      <c r="BA47" s="3">
        <f t="shared" si="236"/>
        <v>86</v>
      </c>
      <c r="BB47" s="3">
        <f t="shared" si="237"/>
        <v>100</v>
      </c>
      <c r="BC47" s="3"/>
      <c r="BD47" s="3">
        <v>0</v>
      </c>
      <c r="BE47" s="3">
        <v>10</v>
      </c>
      <c r="BF47" s="3">
        <f t="shared" si="238"/>
        <v>76</v>
      </c>
      <c r="BG47" s="3">
        <f t="shared" si="239"/>
        <v>100</v>
      </c>
      <c r="BH47" s="3"/>
      <c r="BI47" s="3"/>
      <c r="BJ47" s="3">
        <v>19</v>
      </c>
      <c r="BK47" s="3">
        <f t="shared" si="240"/>
        <v>57</v>
      </c>
      <c r="BL47" s="3">
        <f t="shared" si="216"/>
        <v>100</v>
      </c>
      <c r="BM47" s="3"/>
      <c r="BN47" s="3"/>
      <c r="BO47" s="3">
        <v>20</v>
      </c>
      <c r="BP47" s="3">
        <f t="shared" si="241"/>
        <v>37</v>
      </c>
      <c r="BQ47" s="3">
        <f t="shared" si="217"/>
        <v>100</v>
      </c>
      <c r="BR47" s="3"/>
      <c r="BS47" s="3"/>
      <c r="BT47" s="3">
        <v>21</v>
      </c>
      <c r="BU47" s="3">
        <f t="shared" si="242"/>
        <v>16</v>
      </c>
      <c r="BV47" s="3">
        <f t="shared" si="218"/>
        <v>100</v>
      </c>
      <c r="BW47" s="3"/>
      <c r="BX47" s="3"/>
      <c r="BY47" s="3">
        <v>10</v>
      </c>
      <c r="BZ47" s="3">
        <f t="shared" si="243"/>
        <v>6</v>
      </c>
      <c r="CA47" s="3">
        <f t="shared" si="219"/>
        <v>100</v>
      </c>
      <c r="CB47" s="3"/>
      <c r="CC47" s="3"/>
      <c r="CD47" s="3">
        <v>20</v>
      </c>
      <c r="CE47" s="3">
        <f t="shared" si="244"/>
        <v>-14</v>
      </c>
      <c r="CF47" s="3">
        <f t="shared" si="220"/>
        <v>100</v>
      </c>
      <c r="CG47" s="3"/>
      <c r="CH47" s="3"/>
      <c r="CI47" s="3">
        <v>20</v>
      </c>
    </row>
    <row r="48" spans="1:87" x14ac:dyDescent="0.35">
      <c r="A48" s="2" t="s">
        <v>93</v>
      </c>
      <c r="B48" s="2" t="s">
        <v>94</v>
      </c>
      <c r="C48" s="3">
        <v>9</v>
      </c>
      <c r="D48" s="3">
        <v>4</v>
      </c>
      <c r="E48" s="3"/>
      <c r="F48" s="3"/>
      <c r="G48" s="3"/>
      <c r="H48" s="3">
        <f t="shared" si="231"/>
        <v>9</v>
      </c>
      <c r="I48" s="3">
        <f t="shared" si="207"/>
        <v>4</v>
      </c>
      <c r="J48" s="3">
        <v>8</v>
      </c>
      <c r="K48" s="3">
        <v>0</v>
      </c>
      <c r="L48" s="3">
        <v>4</v>
      </c>
      <c r="M48" s="3">
        <f t="shared" si="232"/>
        <v>5</v>
      </c>
      <c r="N48" s="3">
        <f t="shared" si="208"/>
        <v>12</v>
      </c>
      <c r="O48" s="3">
        <v>16</v>
      </c>
      <c r="P48" s="3">
        <v>12</v>
      </c>
      <c r="Q48" s="3">
        <v>15</v>
      </c>
      <c r="R48" s="3">
        <f t="shared" si="233"/>
        <v>2</v>
      </c>
      <c r="S48" s="3">
        <f t="shared" si="209"/>
        <v>16</v>
      </c>
      <c r="T48" s="3">
        <v>12</v>
      </c>
      <c r="U48" s="3">
        <v>16</v>
      </c>
      <c r="V48" s="3">
        <v>3</v>
      </c>
      <c r="W48" s="3">
        <f t="shared" si="247"/>
        <v>15</v>
      </c>
      <c r="X48" s="3">
        <f t="shared" si="210"/>
        <v>12</v>
      </c>
      <c r="Y48" s="3"/>
      <c r="Z48" s="3">
        <v>0</v>
      </c>
      <c r="AA48" s="3">
        <v>1</v>
      </c>
      <c r="AB48" s="3">
        <f t="shared" si="249"/>
        <v>14</v>
      </c>
      <c r="AC48" s="3">
        <f t="shared" si="212"/>
        <v>12</v>
      </c>
      <c r="AD48" s="3">
        <v>20</v>
      </c>
      <c r="AE48" s="3">
        <v>0</v>
      </c>
      <c r="AF48" s="3">
        <v>6</v>
      </c>
      <c r="AG48" s="3">
        <f t="shared" si="245"/>
        <v>8</v>
      </c>
      <c r="AH48" s="3">
        <f t="shared" si="213"/>
        <v>32</v>
      </c>
      <c r="AI48" s="3"/>
      <c r="AJ48" s="3">
        <v>12</v>
      </c>
      <c r="AK48" s="3">
        <v>1</v>
      </c>
      <c r="AL48" s="3">
        <f t="shared" si="250"/>
        <v>19</v>
      </c>
      <c r="AM48" s="3">
        <f t="shared" si="248"/>
        <v>20</v>
      </c>
      <c r="AN48" s="3"/>
      <c r="AO48" s="3">
        <v>0</v>
      </c>
      <c r="AP48" s="3">
        <v>0</v>
      </c>
      <c r="AQ48" s="3">
        <f t="shared" si="251"/>
        <v>19</v>
      </c>
      <c r="AR48" s="3"/>
      <c r="AS48" s="3"/>
      <c r="AT48" s="3"/>
      <c r="AU48" s="3"/>
      <c r="AV48" s="3">
        <v>100</v>
      </c>
      <c r="AW48" s="3">
        <v>100</v>
      </c>
      <c r="AX48" s="3"/>
      <c r="AY48" s="3"/>
      <c r="AZ48" s="3">
        <v>0</v>
      </c>
      <c r="BA48" s="3">
        <f t="shared" si="236"/>
        <v>100</v>
      </c>
      <c r="BB48" s="3">
        <f t="shared" si="237"/>
        <v>100</v>
      </c>
      <c r="BC48" s="3"/>
      <c r="BD48" s="3">
        <v>0</v>
      </c>
      <c r="BE48" s="3">
        <v>1</v>
      </c>
      <c r="BF48" s="3">
        <f t="shared" si="238"/>
        <v>99</v>
      </c>
      <c r="BG48" s="3">
        <f t="shared" si="239"/>
        <v>100</v>
      </c>
      <c r="BH48" s="3"/>
      <c r="BI48" s="3"/>
      <c r="BJ48" s="3">
        <v>0</v>
      </c>
      <c r="BK48" s="3">
        <f t="shared" si="240"/>
        <v>99</v>
      </c>
      <c r="BL48" s="3">
        <f t="shared" si="216"/>
        <v>100</v>
      </c>
      <c r="BM48" s="3"/>
      <c r="BN48" s="3"/>
      <c r="BO48" s="3">
        <v>0</v>
      </c>
      <c r="BP48" s="3">
        <f t="shared" si="241"/>
        <v>99</v>
      </c>
      <c r="BQ48" s="3">
        <f t="shared" si="217"/>
        <v>100</v>
      </c>
      <c r="BR48" s="3"/>
      <c r="BS48" s="3"/>
      <c r="BT48" s="3">
        <v>10</v>
      </c>
      <c r="BU48" s="3">
        <f t="shared" si="242"/>
        <v>89</v>
      </c>
      <c r="BV48" s="3">
        <f t="shared" si="218"/>
        <v>100</v>
      </c>
      <c r="BW48" s="3"/>
      <c r="BX48" s="3"/>
      <c r="BY48" s="3">
        <v>0</v>
      </c>
      <c r="BZ48" s="3">
        <f t="shared" si="243"/>
        <v>89</v>
      </c>
      <c r="CA48" s="3">
        <f t="shared" si="219"/>
        <v>100</v>
      </c>
      <c r="CB48" s="3"/>
      <c r="CC48" s="3"/>
      <c r="CD48" s="3">
        <v>0</v>
      </c>
      <c r="CE48" s="3">
        <f t="shared" si="244"/>
        <v>89</v>
      </c>
      <c r="CF48" s="3">
        <f t="shared" si="220"/>
        <v>100</v>
      </c>
      <c r="CG48" s="3"/>
      <c r="CH48" s="3"/>
      <c r="CI48" s="3">
        <v>0</v>
      </c>
    </row>
    <row r="49" spans="1:87" x14ac:dyDescent="0.35">
      <c r="A49" s="33" t="s">
        <v>68</v>
      </c>
      <c r="B49" s="33"/>
      <c r="C49" s="5">
        <v>62</v>
      </c>
      <c r="D49" s="5">
        <v>56</v>
      </c>
      <c r="E49" s="5">
        <f t="shared" ref="E49:AJ49" si="252">SUM(E39:E48)</f>
        <v>136</v>
      </c>
      <c r="F49" s="5">
        <f t="shared" si="252"/>
        <v>0</v>
      </c>
      <c r="G49" s="5">
        <f t="shared" si="252"/>
        <v>0</v>
      </c>
      <c r="H49" s="14">
        <f t="shared" si="252"/>
        <v>78</v>
      </c>
      <c r="I49" s="14">
        <f t="shared" si="252"/>
        <v>192</v>
      </c>
      <c r="J49" s="14">
        <f t="shared" si="252"/>
        <v>260</v>
      </c>
      <c r="K49" s="14">
        <f t="shared" si="252"/>
        <v>284</v>
      </c>
      <c r="L49" s="14">
        <f t="shared" si="252"/>
        <v>157</v>
      </c>
      <c r="M49" s="5">
        <f t="shared" si="252"/>
        <v>205</v>
      </c>
      <c r="N49" s="5">
        <f t="shared" si="252"/>
        <v>168</v>
      </c>
      <c r="O49" s="5">
        <f t="shared" si="252"/>
        <v>224</v>
      </c>
      <c r="P49" s="5">
        <f t="shared" si="252"/>
        <v>172</v>
      </c>
      <c r="Q49" s="5">
        <f t="shared" si="252"/>
        <v>85</v>
      </c>
      <c r="R49" s="14">
        <f t="shared" si="252"/>
        <v>292</v>
      </c>
      <c r="S49" s="14">
        <f t="shared" si="252"/>
        <v>220</v>
      </c>
      <c r="T49" s="14">
        <f t="shared" si="252"/>
        <v>170</v>
      </c>
      <c r="U49" s="14">
        <f t="shared" si="252"/>
        <v>148</v>
      </c>
      <c r="V49" s="14">
        <f t="shared" si="252"/>
        <v>136</v>
      </c>
      <c r="W49" s="5">
        <f t="shared" si="252"/>
        <v>336</v>
      </c>
      <c r="X49" s="5">
        <f t="shared" si="252"/>
        <v>242</v>
      </c>
      <c r="Y49" s="5">
        <f t="shared" si="252"/>
        <v>135</v>
      </c>
      <c r="Z49" s="5">
        <f t="shared" si="252"/>
        <v>72</v>
      </c>
      <c r="AA49" s="5">
        <f t="shared" si="252"/>
        <v>173</v>
      </c>
      <c r="AB49" s="14">
        <f t="shared" si="252"/>
        <v>239</v>
      </c>
      <c r="AC49" s="14">
        <f t="shared" si="252"/>
        <v>305</v>
      </c>
      <c r="AD49" s="14">
        <f t="shared" si="252"/>
        <v>146</v>
      </c>
      <c r="AE49" s="14">
        <f t="shared" si="252"/>
        <v>164</v>
      </c>
      <c r="AF49" s="14">
        <f t="shared" si="252"/>
        <v>129</v>
      </c>
      <c r="AG49" s="5">
        <f t="shared" si="252"/>
        <v>287</v>
      </c>
      <c r="AH49" s="5">
        <f t="shared" si="252"/>
        <v>287</v>
      </c>
      <c r="AI49" s="5">
        <f t="shared" si="252"/>
        <v>185</v>
      </c>
      <c r="AJ49" s="5">
        <f t="shared" si="252"/>
        <v>232</v>
      </c>
      <c r="AK49" s="5">
        <f t="shared" ref="AK49:BJ49" si="253">SUM(AK39:AK48)</f>
        <v>209</v>
      </c>
      <c r="AL49" s="14">
        <f t="shared" si="253"/>
        <v>320</v>
      </c>
      <c r="AM49" s="14">
        <f t="shared" si="253"/>
        <v>206</v>
      </c>
      <c r="AN49" s="14">
        <f t="shared" si="253"/>
        <v>196</v>
      </c>
      <c r="AO49" s="14">
        <f t="shared" si="253"/>
        <v>96</v>
      </c>
      <c r="AP49" s="14">
        <f t="shared" si="253"/>
        <v>125</v>
      </c>
      <c r="AQ49" s="5">
        <f t="shared" si="253"/>
        <v>260</v>
      </c>
      <c r="AR49" s="5">
        <f t="shared" si="253"/>
        <v>0</v>
      </c>
      <c r="AS49" s="5">
        <f t="shared" si="253"/>
        <v>0</v>
      </c>
      <c r="AT49" s="5">
        <f t="shared" si="253"/>
        <v>0</v>
      </c>
      <c r="AU49" s="5">
        <f t="shared" si="253"/>
        <v>0</v>
      </c>
      <c r="AV49" s="14">
        <f t="shared" si="253"/>
        <v>444</v>
      </c>
      <c r="AW49" s="14">
        <f t="shared" si="253"/>
        <v>2664</v>
      </c>
      <c r="AX49" s="14">
        <f t="shared" si="253"/>
        <v>418</v>
      </c>
      <c r="AY49" s="14">
        <f t="shared" si="253"/>
        <v>1456</v>
      </c>
      <c r="AZ49" s="14">
        <f t="shared" si="253"/>
        <v>421</v>
      </c>
      <c r="BA49" s="5">
        <f t="shared" si="253"/>
        <v>1479</v>
      </c>
      <c r="BB49" s="5">
        <f t="shared" si="253"/>
        <v>2282</v>
      </c>
      <c r="BC49" s="5">
        <f t="shared" si="253"/>
        <v>2155</v>
      </c>
      <c r="BD49" s="5">
        <f t="shared" si="253"/>
        <v>901</v>
      </c>
      <c r="BE49" s="5">
        <f t="shared" si="253"/>
        <v>560</v>
      </c>
      <c r="BF49" s="14">
        <f t="shared" si="253"/>
        <v>1820</v>
      </c>
      <c r="BG49" s="14">
        <f t="shared" si="253"/>
        <v>3536</v>
      </c>
      <c r="BH49" s="14">
        <f t="shared" si="253"/>
        <v>360</v>
      </c>
      <c r="BI49" s="14">
        <f t="shared" si="253"/>
        <v>424</v>
      </c>
      <c r="BJ49" s="14">
        <f t="shared" si="253"/>
        <v>680</v>
      </c>
      <c r="BK49" s="5">
        <f t="shared" ref="BK49:BO49" si="254">SUM(BK39:BK48)</f>
        <v>2194</v>
      </c>
      <c r="BL49" s="5">
        <f t="shared" si="254"/>
        <v>3496</v>
      </c>
      <c r="BM49" s="5">
        <f t="shared" si="254"/>
        <v>1134</v>
      </c>
      <c r="BN49" s="5">
        <f t="shared" si="254"/>
        <v>664</v>
      </c>
      <c r="BO49" s="5">
        <f t="shared" si="254"/>
        <v>745</v>
      </c>
      <c r="BP49" s="14">
        <f t="shared" ref="BP49:BT49" si="255">SUM(BP39:BP48)</f>
        <v>2113</v>
      </c>
      <c r="BQ49" s="14">
        <f t="shared" si="255"/>
        <v>3966</v>
      </c>
      <c r="BR49" s="14">
        <f t="shared" si="255"/>
        <v>0</v>
      </c>
      <c r="BS49" s="14">
        <f t="shared" si="255"/>
        <v>0</v>
      </c>
      <c r="BT49" s="14">
        <f t="shared" si="255"/>
        <v>725</v>
      </c>
      <c r="BU49" s="5">
        <f t="shared" ref="BU49:BY49" si="256">SUM(BU39:BU48)</f>
        <v>1388</v>
      </c>
      <c r="BV49" s="5">
        <f t="shared" si="256"/>
        <v>3966</v>
      </c>
      <c r="BW49" s="5">
        <f t="shared" si="256"/>
        <v>0</v>
      </c>
      <c r="BX49" s="5">
        <f t="shared" si="256"/>
        <v>0</v>
      </c>
      <c r="BY49" s="5">
        <f t="shared" si="256"/>
        <v>719</v>
      </c>
      <c r="BZ49" s="14">
        <f t="shared" ref="BZ49:CD49" si="257">SUM(BZ39:BZ48)</f>
        <v>669</v>
      </c>
      <c r="CA49" s="14">
        <f t="shared" si="257"/>
        <v>3966</v>
      </c>
      <c r="CB49" s="14">
        <f t="shared" si="257"/>
        <v>0</v>
      </c>
      <c r="CC49" s="14">
        <f t="shared" si="257"/>
        <v>0</v>
      </c>
      <c r="CD49" s="14">
        <f t="shared" si="257"/>
        <v>739</v>
      </c>
      <c r="CE49" s="5">
        <f t="shared" ref="CE49:CI49" si="258">SUM(CE39:CE48)</f>
        <v>-70</v>
      </c>
      <c r="CF49" s="5">
        <f t="shared" si="258"/>
        <v>3966</v>
      </c>
      <c r="CG49" s="5">
        <f t="shared" si="258"/>
        <v>0</v>
      </c>
      <c r="CH49" s="5">
        <f t="shared" si="258"/>
        <v>0</v>
      </c>
      <c r="CI49" s="5">
        <f t="shared" si="258"/>
        <v>739</v>
      </c>
    </row>
  </sheetData>
  <mergeCells count="25">
    <mergeCell ref="A49:B49"/>
    <mergeCell ref="A37:B37"/>
    <mergeCell ref="A36:B36"/>
    <mergeCell ref="A30:A35"/>
    <mergeCell ref="AB2:AF2"/>
    <mergeCell ref="A8:B8"/>
    <mergeCell ref="A27:B27"/>
    <mergeCell ref="A28:B28"/>
    <mergeCell ref="C2:G2"/>
    <mergeCell ref="H2:L2"/>
    <mergeCell ref="M2:Q2"/>
    <mergeCell ref="R2:V2"/>
    <mergeCell ref="BZ2:CD2"/>
    <mergeCell ref="CE2:CI2"/>
    <mergeCell ref="W2:AA2"/>
    <mergeCell ref="A18:B18"/>
    <mergeCell ref="BA2:BE2"/>
    <mergeCell ref="BF2:BJ2"/>
    <mergeCell ref="AL2:AP2"/>
    <mergeCell ref="AQ2:AU2"/>
    <mergeCell ref="AV2:AZ2"/>
    <mergeCell ref="BP2:BT2"/>
    <mergeCell ref="BU2:BY2"/>
    <mergeCell ref="BK2:BO2"/>
    <mergeCell ref="AG2:AK2"/>
  </mergeCells>
  <pageMargins left="0.7" right="0.7" top="0.75" bottom="0.75" header="0.3" footer="0.3"/>
  <headerFooter>
    <oddFooter>&amp;L_x000D_&amp;1#&amp;"Calibri Light"&amp;8&amp;K000000 Classified as Public</oddFooter>
  </headerFooter>
</worksheet>
</file>

<file path=docMetadata/LabelInfo.xml><?xml version="1.0" encoding="utf-8"?>
<clbl:labelList xmlns:clbl="http://schemas.microsoft.com/office/2020/mipLabelMetadata">
  <clbl:label id="{25553302-3573-40de-8e04-0e1540a82063}" enabled="0" method="" siteId="{25553302-3573-40de-8e04-0e1540a8206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Nov 2025</vt:lpstr>
      <vt:lpstr>Dec 2025</vt:lpstr>
      <vt:lpstr>Jan 2026</vt:lpstr>
      <vt:lpstr>Feb 2026</vt:lpstr>
      <vt:lpstr>Apr-2026</vt:lpstr>
      <vt:lpstr>May_2026</vt:lpstr>
      <vt:lpstr>Jun_2026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Balasaheb Chavan</cp:lastModifiedBy>
  <cp:lastPrinted>2026-01-06T06:26:52Z</cp:lastPrinted>
  <dcterms:created xsi:type="dcterms:W3CDTF">2025-11-03T06:19:33Z</dcterms:created>
  <dcterms:modified xsi:type="dcterms:W3CDTF">2026-06-16T09:52:06Z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acf4f5e-b788-4bdd-9371-71ab982a2897_Enabled">
    <vt:lpwstr>true</vt:lpwstr>
  </property>
  <property fmtid="{D5CDD505-2E9C-101B-9397-08002B2CF9AE}" pid="3" name="MSIP_Label_aacf4f5e-b788-4bdd-9371-71ab982a2897_SetDate">
    <vt:lpwstr>2025-11-03T07:03:00Z</vt:lpwstr>
  </property>
  <property fmtid="{D5CDD505-2E9C-101B-9397-08002B2CF9AE}" pid="4" name="MSIP_Label_aacf4f5e-b788-4bdd-9371-71ab982a2897_Method">
    <vt:lpwstr>Privileged</vt:lpwstr>
  </property>
  <property fmtid="{D5CDD505-2E9C-101B-9397-08002B2CF9AE}" pid="5" name="MSIP_Label_aacf4f5e-b788-4bdd-9371-71ab982a2897_Name">
    <vt:lpwstr>aacf4f5e-b788-4bdd-9371-71ab982a2897</vt:lpwstr>
  </property>
  <property fmtid="{D5CDD505-2E9C-101B-9397-08002B2CF9AE}" pid="6" name="MSIP_Label_aacf4f5e-b788-4bdd-9371-71ab982a2897_SiteId">
    <vt:lpwstr>a9e8893d-f1a4-4d8d-978f-862edfd3686a</vt:lpwstr>
  </property>
  <property fmtid="{D5CDD505-2E9C-101B-9397-08002B2CF9AE}" pid="7" name="MSIP_Label_aacf4f5e-b788-4bdd-9371-71ab982a2897_ActionId">
    <vt:lpwstr>aec5ce34-f38f-4b57-aeb7-d2f65a7e7253</vt:lpwstr>
  </property>
  <property fmtid="{D5CDD505-2E9C-101B-9397-08002B2CF9AE}" pid="8" name="MSIP_Label_aacf4f5e-b788-4bdd-9371-71ab982a2897_ContentBits">
    <vt:lpwstr>2</vt:lpwstr>
  </property>
  <property fmtid="{D5CDD505-2E9C-101B-9397-08002B2CF9AE}" pid="9" name="MSIP_Label_aacf4f5e-b788-4bdd-9371-71ab982a2897_Tag">
    <vt:lpwstr>10, 0, 1, 1</vt:lpwstr>
  </property>
</Properties>
</file>